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6780" activeTab="2"/>
  </bookViews>
  <sheets>
    <sheet name="Personal Medical Cost on Insura" sheetId="1" r:id="rId1"/>
    <sheet name="Pivot table" sheetId="2" r:id="rId2"/>
    <sheet name="Dashboard" sheetId="3" r:id="rId3"/>
  </sheets>
  <definedNames>
    <definedName name="Slicer_sex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<sst xmlns="http://schemas.openxmlformats.org/spreadsheetml/2006/main" count="4068" uniqueCount="29">
  <si>
    <t>age</t>
  </si>
  <si>
    <t>sex</t>
  </si>
  <si>
    <t>bmi</t>
  </si>
  <si>
    <t>children</t>
  </si>
  <si>
    <t>smoker</t>
  </si>
  <si>
    <t>region</t>
  </si>
  <si>
    <t>charges</t>
  </si>
  <si>
    <t>Age Group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</si>
  <si>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</si>
  <si>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</si>
  <si>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</si>
  <si>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</si>
  <si>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</si>
  <si>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</si>
  <si>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</si>
  <si>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</si>
  <si>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Sum of charges</t>
  </si>
  <si>
    <t>Average of charges</t>
  </si>
  <si>
    <t>Average of bmi</t>
  </si>
  <si>
    <t>Count of smoker</t>
  </si>
  <si>
    <t>Elderly</t>
  </si>
  <si>
    <t>Seniors</t>
  </si>
  <si>
    <t>Adults</t>
  </si>
  <si>
    <t>Young Adults</t>
  </si>
  <si>
    <t>Grand Total</t>
  </si>
  <si>
    <t>Total Charges</t>
  </si>
  <si>
    <t>Average Charges</t>
  </si>
  <si>
    <t>Average BMI</t>
  </si>
  <si>
    <t>Count of Smokers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</si>
</sst>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_(&quot;$&quot;* #,##0_);_(&quot;$&quot;* \(#,##0\);_(&quot;$&quot;* &quot;-&quot;??_);_(@_)"/>
    <numFmt numFmtId="180" formatCode="0_ "/>
  </numFmts>
  <fonts count="22">
    <font>
      <sz val="11"/>
      <color theme="1"/>
      <name val="Calibri"/>
      <charset val="134"/>
      <scheme val="minor"/>
    </font>
    <font>
      <b/>
      <sz val="12"/>
      <color theme="1"/>
      <name val="Georgia"/>
      <charset val="134"/>
    </font>
    <font>
      <b/>
      <sz val="13"/>
      <color theme="1"/>
      <name val="Georg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180" fontId="2" fillId="0" borderId="0" xfId="0" applyNumberFormat="1" applyFont="1" applyAlignment="1">
      <alignment horizontal="left"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9">
    <dxf>
      <numFmt numFmtId="181" formatCode="0.000_ "/>
    </dxf>
    <dxf>
      <numFmt numFmtId="182" formatCode="0.00_ "/>
    </dxf>
    <dxf>
      <numFmt numFmtId="183" formatCode="0.0_ "/>
    </dxf>
    <dxf>
      <numFmt numFmtId="180" formatCode="0_ "/>
    </dxf>
    <dxf>
      <numFmt numFmtId="184" formatCode="0.000_ "/>
    </dxf>
    <dxf>
      <numFmt numFmtId="185" formatCode="0.00_ "/>
    </dxf>
    <dxf>
      <numFmt numFmtId="186" formatCode="0.0_ "/>
    </dxf>
    <dxf>
      <numFmt numFmtId="180" formatCode="0_ "/>
    </dxf>
    <dxf>
      <numFmt numFmtId="44" formatCode="_(&quot;$&quot;* #,##0.00_);_(&quot;$&quot;* \(#,##0.00\);_(&quot;$&quot;* &quot;-&quot;??_);_(@_)"/>
    </dxf>
    <dxf>
      <numFmt numFmtId="187" formatCode="_(&quot;$&quot;* #,##0.0_);_(&quot;$&quot;* \(#,##0.0\);_(&quot;$&quot;* &quot;-&quot;??_);_(@_)"/>
    </dxf>
    <dxf>
      <numFmt numFmtId="178" formatCode="_(&quot;$&quot;* #,##0_);_(&quot;$&quot;* \(#,##0\);_(&quot;$&quot;* &quot;-&quot;??_);_(@_)"/>
    </dxf>
    <dxf>
      <numFmt numFmtId="188" formatCode="0.000_ "/>
    </dxf>
    <dxf>
      <numFmt numFmtId="189" formatCode="0.00_ "/>
    </dxf>
    <dxf>
      <numFmt numFmtId="190" formatCode="0.0_ "/>
    </dxf>
    <dxf>
      <numFmt numFmtId="180" formatCode="0_ "/>
    </dxf>
    <dxf>
      <numFmt numFmtId="44" formatCode="_(&quot;$&quot;* #,##0.00_);_(&quot;$&quot;* \(#,##0.00\);_(&quot;$&quot;* &quot;-&quot;??_);_(@_)"/>
    </dxf>
    <dxf>
      <numFmt numFmtId="191" formatCode="_(&quot;$&quot;* #,##0.0_);_(&quot;$&quot;* \(#,##0.0\);_(&quot;$&quot;* &quot;-&quot;??_);_(@_)"/>
    </dxf>
    <dxf>
      <numFmt numFmtId="178" formatCode="_(&quot;$&quot;* #,##0_);_(&quot;$&quot;* \(#,##0\);_(&quot;$&quot;* &quot;-&quot;??_);_(@_)"/>
    </dxf>
    <dxf>
      <numFmt numFmtId="44" formatCode="_(&quot;$&quot;* #,##0.00_);_(&quot;$&quot;* \(#,##0.00\);_(&quot;$&quot;* &quot;-&quot;??_);_(@_)"/>
    </dxf>
    <dxf>
      <numFmt numFmtId="192" formatCode="_(&quot;$&quot;* #,##0.0_);_(&quot;$&quot;* \(#,##0.0\);_(&quot;$&quot;* &quot;-&quot;??_);_(@_)"/>
    </dxf>
    <dxf>
      <numFmt numFmtId="178" formatCode="_(&quot;$&quot;* #,##0_);_(&quot;$&quot;* \(#,##0\);_(&quot;$&quot;* &quot;-&quot;??_);_(@_)"/>
    </dxf>
    <dxf>
      <numFmt numFmtId="44" formatCode="_(&quot;$&quot;* #,##0.00_);_(&quot;$&quot;* \(#,##0.00\);_(&quot;$&quot;* &quot;-&quot;??_);_(@_)"/>
    </dxf>
    <dxf>
      <numFmt numFmtId="193" formatCode="_(&quot;$&quot;* #,##0.0_);_(&quot;$&quot;* \(#,##0.0\);_(&quot;$&quot;* &quot;-&quot;??_);_(@_)"/>
    </dxf>
    <dxf>
      <numFmt numFmtId="178" formatCode="_(&quot;$&quot;* #,##0_);_(&quot;$&quot;* \(#,##0\);_(&quot;$&quot;* &quot;-&quot;??_);_(@_)"/>
    </dxf>
    <dxf>
      <numFmt numFmtId="194" formatCode="0.000_ "/>
    </dxf>
    <dxf>
      <numFmt numFmtId="195" formatCode="0.00_ "/>
    </dxf>
    <dxf>
      <numFmt numFmtId="196" formatCode="0.0_ "/>
    </dxf>
    <dxf>
      <numFmt numFmtId="180" formatCode="0_ "/>
    </dxf>
    <dxf>
      <numFmt numFmtId="197" formatCode="0.000_ "/>
    </dxf>
    <dxf>
      <numFmt numFmtId="198" formatCode="0.00_ "/>
    </dxf>
    <dxf>
      <numFmt numFmtId="199" formatCode="0.0_ "/>
    </dxf>
    <dxf>
      <numFmt numFmtId="180" formatCode="0_ "/>
    </dxf>
    <dxf>
      <numFmt numFmtId="200" formatCode="0.000_ "/>
    </dxf>
    <dxf>
      <numFmt numFmtId="201" formatCode="0.00_ "/>
    </dxf>
    <dxf>
      <numFmt numFmtId="202" formatCode="0.0_ "/>
    </dxf>
    <dxf>
      <numFmt numFmtId="180" formatCode="0_ "/>
    </dxf>
    <dxf>
      <numFmt numFmtId="203" formatCode="0.000_ "/>
    </dxf>
    <dxf>
      <numFmt numFmtId="204" formatCode="0.00_ "/>
    </dxf>
    <dxf>
      <numFmt numFmtId="205" formatCode="0.0_ "/>
    </dxf>
    <dxf>
      <numFmt numFmtId="180" formatCode="0_ "/>
    </dxf>
    <dxf>
      <numFmt numFmtId="44" formatCode="_(&quot;$&quot;* #,##0.00_);_(&quot;$&quot;* \(#,##0.00\);_(&quot;$&quot;* &quot;-&quot;??_);_(@_)"/>
    </dxf>
    <dxf>
      <numFmt numFmtId="206" formatCode="_(&quot;$&quot;* #,##0.0_);_(&quot;$&quot;* \(#,##0.0\);_(&quot;$&quot;* &quot;-&quot;??_);_(@_)"/>
    </dxf>
    <dxf>
      <numFmt numFmtId="178" formatCode="_(&quot;$&quot;* #,##0_);_(&quot;$&quot;* \(#,##0\);_(&quot;$&quot;* &quot;-&quot;??_);_(@_)"/>
    </dxf>
    <dxf>
      <numFmt numFmtId="207" formatCode="0.000_ "/>
    </dxf>
    <dxf>
      <numFmt numFmtId="208" formatCode="0.00_ "/>
    </dxf>
    <dxf>
      <numFmt numFmtId="209" formatCode="0.0_ "/>
    </dxf>
    <dxf>
      <numFmt numFmtId="180" formatCode="0_ "/>
    </dxf>
    <dxf>
      <numFmt numFmtId="44" formatCode="_(&quot;$&quot;* #,##0.00_);_(&quot;$&quot;* \(#,##0.00\);_(&quot;$&quot;* &quot;-&quot;??_);_(@_)"/>
    </dxf>
    <dxf>
      <numFmt numFmtId="210" formatCode="_(&quot;$&quot;* #,##0.0_);_(&quot;$&quot;* \(#,##0.0\);_(&quot;$&quot;* &quot;-&quot;??_);_(@_)"/>
    </dxf>
    <dxf>
      <numFmt numFmtId="178" formatCode="_(&quot;$&quot;* #,##0_);_(&quot;$&quot;* \(#,##0\);_(&quot;$&quot;* &quot;-&quot;??_);_(@_)"/>
    </dxf>
    <dxf>
      <numFmt numFmtId="211" formatCode="0.000_ "/>
    </dxf>
    <dxf>
      <numFmt numFmtId="212" formatCode="0.00_ "/>
    </dxf>
    <dxf>
      <numFmt numFmtId="213" formatCode="0.0_ "/>
    </dxf>
    <dxf>
      <numFmt numFmtId="180" formatCode="0_ "/>
    </dxf>
    <dxf>
      <numFmt numFmtId="214" formatCode="0.000_ "/>
    </dxf>
    <dxf>
      <numFmt numFmtId="215" formatCode="0.00_ "/>
    </dxf>
    <dxf>
      <numFmt numFmtId="216" formatCode="0.0_ "/>
    </dxf>
    <dxf>
      <numFmt numFmtId="180" formatCode="0_ "/>
    </dxf>
    <dxf>
      <numFmt numFmtId="44" formatCode="_(&quot;$&quot;* #,##0.00_);_(&quot;$&quot;* \(#,##0.00\);_(&quot;$&quot;* &quot;-&quot;??_);_(@_)"/>
    </dxf>
    <dxf>
      <numFmt numFmtId="217" formatCode="_(&quot;$&quot;* #,##0.0_);_(&quot;$&quot;* \(#,##0.0\);_(&quot;$&quot;* &quot;-&quot;??_);_(@_)"/>
    </dxf>
    <dxf>
      <numFmt numFmtId="178" formatCode="_(&quot;$&quot;* #,##0_);_(&quot;$&quot;* \(#,##0\);_(&quot;$&quot;* &quot;-&quot;??_);_(@_)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8"/>
      <tableStyleElement type="headerRow" dxfId="67"/>
      <tableStyleElement type="totalRow" dxfId="66"/>
      <tableStyleElement type="firstColumn" dxfId="65"/>
      <tableStyleElement type="lastColumn" dxfId="64"/>
      <tableStyleElement type="firstRowStripe" dxfId="63"/>
      <tableStyleElement type="firstColumnStripe" dxfId="62"/>
    </tableStyle>
    <tableStyle name="PivotStylePreset2_Accent1" table="0" count="10" xr9:uid="{267968C8-6FFD-4C36-ACC1-9EA1FD1885CA}">
      <tableStyleElement type="headerRow" dxfId="78"/>
      <tableStyleElement type="totalRow" dxfId="77"/>
      <tableStyleElement type="firstRowStripe" dxfId="76"/>
      <tableStyleElement type="firstColumnStripe" dxfId="75"/>
      <tableStyleElement type="firstSubtotalRow" dxfId="74"/>
      <tableStyleElement type="secondSubtotalRow" dxfId="73"/>
      <tableStyleElement type="firstRowSubheading" dxfId="72"/>
      <tableStyleElement type="secondRowSubheading" dxfId="71"/>
      <tableStyleElement type="pageFieldLabels" dxfId="70"/>
      <tableStyleElement type="pageFieldValues" dxfId="6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Charges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table'!$A$19:$A$23</c:f>
              <c:strCache>
                <c:ptCount val="4"/>
                <c:pt idx="0">
                  <c:v>Elderly</c:v>
                </c:pt>
                <c:pt idx="1">
                  <c:v>Seniors</c:v>
                </c:pt>
                <c:pt idx="2">
                  <c:v>Adults</c:v>
                </c:pt>
                <c:pt idx="3">
                  <c:v>Young Adults</c:v>
                </c:pt>
              </c:strCache>
            </c:strRef>
          </c:cat>
          <c:val>
            <c:numRef>
              <c:f>'Pivot table'!$B$19:$B$23</c:f>
              <c:numCache>
                <c:formatCode>_("$"* #,##0_);_("$"* \(#,##0\);_("$"* "-"??_);_(@_)</c:formatCode>
                <c:ptCount val="4"/>
                <c:pt idx="0">
                  <c:v>21063.1634065934</c:v>
                </c:pt>
                <c:pt idx="1">
                  <c:v>16340.99400978</c:v>
                </c:pt>
                <c:pt idx="2">
                  <c:v>12647.4557360406</c:v>
                </c:pt>
                <c:pt idx="3">
                  <c:v>9397.55227477478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06759143"/>
        <c:axId val="207651166"/>
      </c:barChart>
      <c:catAx>
        <c:axId val="106759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651166"/>
        <c:crosses val="autoZero"/>
        <c:auto val="1"/>
        <c:lblAlgn val="ctr"/>
        <c:lblOffset val="100"/>
        <c:noMultiLvlLbl val="0"/>
      </c:catAx>
      <c:valAx>
        <c:axId val="207651166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759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5c4b7db-405b-4db2-991d-ca3a42e9b2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Smoking vs Charges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table'!$A$35:$A$37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table'!$B$35:$B$37</c:f>
              <c:numCache>
                <c:formatCode>_("$"* #,##0_);_("$"* \(#,##0\);_("$"* "-"??_);_(@_)</c:formatCode>
                <c:ptCount val="2"/>
                <c:pt idx="0">
                  <c:v>32050.2319708029</c:v>
                </c:pt>
                <c:pt idx="1">
                  <c:v>8434.26844924812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6714639"/>
        <c:axId val="368448190"/>
      </c:barChart>
      <c:catAx>
        <c:axId val="6671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448190"/>
        <c:crosses val="autoZero"/>
        <c:auto val="1"/>
        <c:lblAlgn val="ctr"/>
        <c:lblOffset val="100"/>
        <c:noMultiLvlLbl val="0"/>
      </c:catAx>
      <c:valAx>
        <c:axId val="36844819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1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78efc1b-a9c0-4736-bc52-e6688f5caf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BMI vs Regions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table'!$A$53:$A$57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southwest</c:v>
                </c:pt>
                <c:pt idx="3">
                  <c:v>southeast</c:v>
                </c:pt>
              </c:strCache>
            </c:strRef>
          </c:cat>
          <c:val>
            <c:numRef>
              <c:f>'Pivot table'!$B$53:$B$57</c:f>
              <c:numCache>
                <c:formatCode>0_ </c:formatCode>
                <c:ptCount val="4"/>
                <c:pt idx="0">
                  <c:v>29.1735030864198</c:v>
                </c:pt>
                <c:pt idx="1">
                  <c:v>29.1997846153846</c:v>
                </c:pt>
                <c:pt idx="2">
                  <c:v>30.5966153846154</c:v>
                </c:pt>
                <c:pt idx="3">
                  <c:v>33.355989010989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74152670"/>
        <c:axId val="436360303"/>
      </c:barChart>
      <c:catAx>
        <c:axId val="77415267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360303"/>
        <c:crosses val="autoZero"/>
        <c:auto val="1"/>
        <c:lblAlgn val="ctr"/>
        <c:lblOffset val="100"/>
        <c:noMultiLvlLbl val="0"/>
      </c:catAx>
      <c:valAx>
        <c:axId val="436360303"/>
        <c:scaling>
          <c:orientation val="minMax"/>
        </c:scaling>
        <c:delete val="1"/>
        <c:axPos val="b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1526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80ebe4-6289-494d-8914-a15d77a2b4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Charges by Children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table'!$A$70:$A$76</c:f>
              <c:strCache>
                <c:ptCount val="6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</c:strCache>
            </c:strRef>
          </c:cat>
          <c:val>
            <c:numRef>
              <c:f>'Pivot table'!$B$70:$B$76</c:f>
              <c:numCache>
                <c:formatCode>_("$"* #,##0_);_("$"* \(#,##0\);_("$"* "-"??_);_(@_)</c:formatCode>
                <c:ptCount val="6"/>
                <c:pt idx="0">
                  <c:v>8786.03555555555</c:v>
                </c:pt>
                <c:pt idx="1">
                  <c:v>12365.9757665505</c:v>
                </c:pt>
                <c:pt idx="2">
                  <c:v>12731.1718209877</c:v>
                </c:pt>
                <c:pt idx="3">
                  <c:v>13850.6568</c:v>
                </c:pt>
                <c:pt idx="4">
                  <c:v>15073.564</c:v>
                </c:pt>
                <c:pt idx="5">
                  <c:v>15355.3185350318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71567829"/>
        <c:axId val="390985952"/>
      </c:barChart>
      <c:catAx>
        <c:axId val="37156782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85952"/>
        <c:crosses val="autoZero"/>
        <c:auto val="1"/>
        <c:lblAlgn val="ctr"/>
        <c:lblOffset val="100"/>
        <c:noMultiLvlLbl val="0"/>
      </c:catAx>
      <c:valAx>
        <c:axId val="3909859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5678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f57306c-2e48-4ac6-9201-6ced8fcc68b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Charges by Gender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table'!$A$87:$A$89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table'!$B$87:$B$89</c:f>
              <c:numCache>
                <c:formatCode>_("$"* #,##0_);_("$"* \(#,##0\);_("$"* "-"??_);_(@_)</c:formatCode>
                <c:ptCount val="2"/>
                <c:pt idx="0">
                  <c:v>13956.7514201184</c:v>
                </c:pt>
                <c:pt idx="1">
                  <c:v>12569.578897281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9119177"/>
        <c:axId val="835484224"/>
      </c:barChart>
      <c:catAx>
        <c:axId val="1891191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484224"/>
        <c:crosses val="autoZero"/>
        <c:auto val="1"/>
        <c:lblAlgn val="ctr"/>
        <c:lblOffset val="100"/>
        <c:noMultiLvlLbl val="0"/>
      </c:catAx>
      <c:valAx>
        <c:axId val="83548422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1191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01cec0-07ed-4a53-9503-ee4ce275ed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+ Smoking Combined Effect</a:t>
            </a:r>
          </a:p>
        </c:rich>
      </c:tx>
      <c:layout>
        <c:manualLayout>
          <c:xMode val="edge"/>
          <c:yMode val="edge"/>
          <c:x val="0.272590738423029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table'!$B$101:$B$102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table'!$A$103:$A$107</c:f>
              <c:strCache>
                <c:ptCount val="4"/>
                <c:pt idx="0">
                  <c:v>Elderly</c:v>
                </c:pt>
                <c:pt idx="1">
                  <c:v>Seniors</c:v>
                </c:pt>
                <c:pt idx="2">
                  <c:v>Adults</c:v>
                </c:pt>
                <c:pt idx="3">
                  <c:v>Young Adults</c:v>
                </c:pt>
              </c:strCache>
            </c:strRef>
          </c:cat>
          <c:val>
            <c:numRef>
              <c:f>'Pivot table'!$B$103:$B$107</c:f>
              <c:numCache>
                <c:formatCode>_("$"* #,##0_);_("$"* \(#,##0\);_("$"* "-"??_);_(@_)</c:formatCode>
                <c:ptCount val="4"/>
                <c:pt idx="0">
                  <c:v>15366.6136231884</c:v>
                </c:pt>
                <c:pt idx="1">
                  <c:v>12188.3343067847</c:v>
                </c:pt>
                <c:pt idx="2">
                  <c:v>7246.17016286645</c:v>
                </c:pt>
                <c:pt idx="3">
                  <c:v>4462.30865329513</c:v>
                </c:pt>
              </c:numCache>
            </c:numRef>
          </c:val>
        </c:ser>
        <c:ser>
          <c:idx val="1"/>
          <c:order val="1"/>
          <c:tx>
            <c:strRef>
              <c:f>'Pivot table'!$C$101:$C$102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table'!$A$103:$A$107</c:f>
              <c:strCache>
                <c:ptCount val="4"/>
                <c:pt idx="0">
                  <c:v>Elderly</c:v>
                </c:pt>
                <c:pt idx="1">
                  <c:v>Seniors</c:v>
                </c:pt>
                <c:pt idx="2">
                  <c:v>Adults</c:v>
                </c:pt>
                <c:pt idx="3">
                  <c:v>Young Adults</c:v>
                </c:pt>
              </c:strCache>
            </c:strRef>
          </c:cat>
          <c:val>
            <c:numRef>
              <c:f>'Pivot table'!$C$103:$C$107</c:f>
              <c:numCache>
                <c:formatCode>_("$"* #,##0_);_("$"* \(#,##0\);_("$"* "-"??_);_(@_)</c:formatCode>
                <c:ptCount val="4"/>
                <c:pt idx="0">
                  <c:v>38929.615</c:v>
                </c:pt>
                <c:pt idx="1">
                  <c:v>36451.7317142857</c:v>
                </c:pt>
                <c:pt idx="2">
                  <c:v>31707.1645977011</c:v>
                </c:pt>
                <c:pt idx="3">
                  <c:v>27528.0788421053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142612198"/>
        <c:axId val="981700244"/>
      </c:barChart>
      <c:catAx>
        <c:axId val="1426121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700244"/>
        <c:crosses val="autoZero"/>
        <c:auto val="1"/>
        <c:lblAlgn val="ctr"/>
        <c:lblOffset val="100"/>
        <c:noMultiLvlLbl val="0"/>
      </c:catAx>
      <c:valAx>
        <c:axId val="98170024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612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fde00c-e5ff-4ff7-a6e5-3f465d482e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table!PivotTable5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440" b="1">
                <a:ln>
                  <a:noFill/>
                </a:ln>
                <a:solidFill>
                  <a:sysClr val="windowText" lastClr="000000"/>
                </a:solidFill>
              </a:rPr>
              <a:t>Average Charges by Age Group</a:t>
            </a:r>
            <a:endParaRPr sz="1440" b="1">
              <a:ln>
                <a:noFill/>
              </a:ln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table'!$A$19:$A$23</c:f>
              <c:strCache>
                <c:ptCount val="4"/>
                <c:pt idx="0">
                  <c:v>Elderly</c:v>
                </c:pt>
                <c:pt idx="1">
                  <c:v>Seniors</c:v>
                </c:pt>
                <c:pt idx="2">
                  <c:v>Adults</c:v>
                </c:pt>
                <c:pt idx="3">
                  <c:v>Young Adults</c:v>
                </c:pt>
              </c:strCache>
            </c:strRef>
          </c:cat>
          <c:val>
            <c:numRef>
              <c:f>'Pivot table'!$B$19:$B$23</c:f>
              <c:numCache>
                <c:formatCode>_("$"* #,##0_);_("$"* \(#,##0\);_("$"* "-"??_);_(@_)</c:formatCode>
                <c:ptCount val="4"/>
                <c:pt idx="0">
                  <c:v>21063.1634065934</c:v>
                </c:pt>
                <c:pt idx="1">
                  <c:v>16340.99400978</c:v>
                </c:pt>
                <c:pt idx="2">
                  <c:v>12647.4557360406</c:v>
                </c:pt>
                <c:pt idx="3">
                  <c:v>9397.55227477478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06759143"/>
        <c:axId val="207651166"/>
      </c:barChart>
      <c:catAx>
        <c:axId val="106759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07651166"/>
        <c:crosses val="autoZero"/>
        <c:auto val="1"/>
        <c:lblAlgn val="ctr"/>
        <c:lblOffset val="100"/>
        <c:noMultiLvlLbl val="0"/>
      </c:catAx>
      <c:valAx>
        <c:axId val="207651166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06759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5c4b7db-405b-4db2-991d-ca3a42e9b22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200" b="1">
          <a:ln>
            <a:noFill/>
          </a:ln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Average Charges by Smoking Status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table'!$A$35:$A$37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'Pivot table'!$B$35:$B$37</c:f>
              <c:numCache>
                <c:formatCode>_("$"* #,##0_);_("$"* \(#,##0\);_("$"* "-"??_);_(@_)</c:formatCode>
                <c:ptCount val="2"/>
                <c:pt idx="0">
                  <c:v>32050.2319708029</c:v>
                </c:pt>
                <c:pt idx="1">
                  <c:v>8434.26844924812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6714639"/>
        <c:axId val="368448190"/>
      </c:barChart>
      <c:catAx>
        <c:axId val="6671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448190"/>
        <c:crosses val="autoZero"/>
        <c:auto val="1"/>
        <c:lblAlgn val="ctr"/>
        <c:lblOffset val="100"/>
        <c:noMultiLvlLbl val="0"/>
      </c:catAx>
      <c:valAx>
        <c:axId val="36844819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1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78efc1b-a9c0-4736-bc52-e6688f5cafd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Average Charges by Number of Children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table'!$A$70:$A$76</c:f>
              <c:strCache>
                <c:ptCount val="6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</c:strCache>
            </c:strRef>
          </c:cat>
          <c:val>
            <c:numRef>
              <c:f>'Pivot table'!$B$70:$B$76</c:f>
              <c:numCache>
                <c:formatCode>_("$"* #,##0_);_("$"* \(#,##0\);_("$"* "-"??_);_(@_)</c:formatCode>
                <c:ptCount val="6"/>
                <c:pt idx="0">
                  <c:v>8786.03555555555</c:v>
                </c:pt>
                <c:pt idx="1">
                  <c:v>12365.9757665505</c:v>
                </c:pt>
                <c:pt idx="2">
                  <c:v>12731.1718209877</c:v>
                </c:pt>
                <c:pt idx="3">
                  <c:v>13850.6568</c:v>
                </c:pt>
                <c:pt idx="4">
                  <c:v>15073.564</c:v>
                </c:pt>
                <c:pt idx="5">
                  <c:v>15355.3185350318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71567829"/>
        <c:axId val="390985952"/>
      </c:barChart>
      <c:catAx>
        <c:axId val="37156782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0985952"/>
        <c:crosses val="autoZero"/>
        <c:auto val="1"/>
        <c:lblAlgn val="ctr"/>
        <c:lblOffset val="100"/>
        <c:noMultiLvlLbl val="0"/>
      </c:catAx>
      <c:valAx>
        <c:axId val="390985952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5678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f57306c-2e48-4ac6-9201-6ced8fcc68b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BMI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table'!$A$53:$A$57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southwest</c:v>
                </c:pt>
                <c:pt idx="3">
                  <c:v>southeast</c:v>
                </c:pt>
              </c:strCache>
            </c:strRef>
          </c:cat>
          <c:val>
            <c:numRef>
              <c:f>'Pivot table'!$B$53:$B$57</c:f>
              <c:numCache>
                <c:formatCode>0_ </c:formatCode>
                <c:ptCount val="4"/>
                <c:pt idx="0">
                  <c:v>29.1735030864198</c:v>
                </c:pt>
                <c:pt idx="1">
                  <c:v>29.1997846153846</c:v>
                </c:pt>
                <c:pt idx="2">
                  <c:v>30.5966153846154</c:v>
                </c:pt>
                <c:pt idx="3">
                  <c:v>33.355989010989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74152670"/>
        <c:axId val="436360303"/>
      </c:barChart>
      <c:catAx>
        <c:axId val="77415267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360303"/>
        <c:crosses val="autoZero"/>
        <c:auto val="1"/>
        <c:lblAlgn val="ctr"/>
        <c:lblOffset val="100"/>
        <c:noMultiLvlLbl val="0"/>
      </c:catAx>
      <c:valAx>
        <c:axId val="436360303"/>
        <c:scaling>
          <c:orientation val="minMax"/>
        </c:scaling>
        <c:delete val="1"/>
        <c:axPos val="b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1526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80ebe4-6289-494d-8914-a15d77a2b41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table!PivotTable10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Combined Effect of Age &amp; Smoking on Charges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table'!$B$101:$B$102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table'!$A$103:$A$107</c:f>
              <c:strCache>
                <c:ptCount val="4"/>
                <c:pt idx="0">
                  <c:v>Elderly</c:v>
                </c:pt>
                <c:pt idx="1">
                  <c:v>Seniors</c:v>
                </c:pt>
                <c:pt idx="2">
                  <c:v>Adults</c:v>
                </c:pt>
                <c:pt idx="3">
                  <c:v>Young Adults</c:v>
                </c:pt>
              </c:strCache>
            </c:strRef>
          </c:cat>
          <c:val>
            <c:numRef>
              <c:f>'Pivot table'!$B$103:$B$107</c:f>
              <c:numCache>
                <c:formatCode>_("$"* #,##0_);_("$"* \(#,##0\);_("$"* "-"??_);_(@_)</c:formatCode>
                <c:ptCount val="4"/>
                <c:pt idx="0">
                  <c:v>15366.6136231884</c:v>
                </c:pt>
                <c:pt idx="1">
                  <c:v>12188.3343067847</c:v>
                </c:pt>
                <c:pt idx="2">
                  <c:v>7246.17016286645</c:v>
                </c:pt>
                <c:pt idx="3">
                  <c:v>4462.30865329513</c:v>
                </c:pt>
              </c:numCache>
            </c:numRef>
          </c:val>
        </c:ser>
        <c:ser>
          <c:idx val="1"/>
          <c:order val="1"/>
          <c:tx>
            <c:strRef>
              <c:f>'Pivot table'!$C$101:$C$102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table'!$A$103:$A$107</c:f>
              <c:strCache>
                <c:ptCount val="4"/>
                <c:pt idx="0">
                  <c:v>Elderly</c:v>
                </c:pt>
                <c:pt idx="1">
                  <c:v>Seniors</c:v>
                </c:pt>
                <c:pt idx="2">
                  <c:v>Adults</c:v>
                </c:pt>
                <c:pt idx="3">
                  <c:v>Young Adults</c:v>
                </c:pt>
              </c:strCache>
            </c:strRef>
          </c:cat>
          <c:val>
            <c:numRef>
              <c:f>'Pivot table'!$C$103:$C$107</c:f>
              <c:numCache>
                <c:formatCode>_("$"* #,##0_);_("$"* \(#,##0\);_("$"* "-"??_);_(@_)</c:formatCode>
                <c:ptCount val="4"/>
                <c:pt idx="0">
                  <c:v>38929.615</c:v>
                </c:pt>
                <c:pt idx="1">
                  <c:v>36451.7317142857</c:v>
                </c:pt>
                <c:pt idx="2">
                  <c:v>31707.1645977011</c:v>
                </c:pt>
                <c:pt idx="3">
                  <c:v>27528.0788421053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142612198"/>
        <c:axId val="981700244"/>
      </c:barChart>
      <c:catAx>
        <c:axId val="1426121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1700244"/>
        <c:crosses val="autoZero"/>
        <c:auto val="1"/>
        <c:lblAlgn val="ctr"/>
        <c:lblOffset val="100"/>
        <c:noMultiLvlLbl val="0"/>
      </c:catAx>
      <c:valAx>
        <c:axId val="98170024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612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fde00c-e5ff-4ff7-a6e5-3f465d482e7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Medical Cost on Insurance Excel 4.xlsx]Pivot table!PivotTable9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40" b="1"/>
              <a:t>Average Charges by Gender</a:t>
            </a:r>
            <a:endParaRPr sz="144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table'!$A$87:$A$89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table'!$B$87:$B$89</c:f>
              <c:numCache>
                <c:formatCode>_("$"* #,##0_);_("$"* \(#,##0\);_("$"* "-"??_);_(@_)</c:formatCode>
                <c:ptCount val="2"/>
                <c:pt idx="0">
                  <c:v>13956.7514201184</c:v>
                </c:pt>
                <c:pt idx="1">
                  <c:v>12569.578897281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9119177"/>
        <c:axId val="835484224"/>
      </c:barChart>
      <c:catAx>
        <c:axId val="1891191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484224"/>
        <c:crosses val="autoZero"/>
        <c:auto val="1"/>
        <c:lblAlgn val="ctr"/>
        <c:lblOffset val="100"/>
        <c:noMultiLvlLbl val="0"/>
      </c:catAx>
      <c:valAx>
        <c:axId val="83548422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11917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01cec0-07ed-4a53-9503-ee4ce275edb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2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88900</xdr:colOff>
      <xdr:row>16</xdr:row>
      <xdr:rowOff>149225</xdr:rowOff>
    </xdr:from>
    <xdr:to>
      <xdr:col>11</xdr:col>
      <xdr:colOff>104775</xdr:colOff>
      <xdr:row>28</xdr:row>
      <xdr:rowOff>139700</xdr:rowOff>
    </xdr:to>
    <xdr:graphicFrame>
      <xdr:nvGraphicFramePr>
        <xdr:cNvPr id="2" name="Chart 1"/>
        <xdr:cNvGraphicFramePr/>
      </xdr:nvGraphicFramePr>
      <xdr:xfrm>
        <a:off x="2936875" y="3197225"/>
        <a:ext cx="5073650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127000</xdr:colOff>
      <xdr:row>33</xdr:row>
      <xdr:rowOff>25400</xdr:rowOff>
    </xdr:from>
    <xdr:to>
      <xdr:col>10</xdr:col>
      <xdr:colOff>76200</xdr:colOff>
      <xdr:row>46</xdr:row>
      <xdr:rowOff>83185</xdr:rowOff>
    </xdr:to>
    <xdr:graphicFrame>
      <xdr:nvGraphicFramePr>
        <xdr:cNvPr id="3" name="Chart 2"/>
        <xdr:cNvGraphicFramePr/>
      </xdr:nvGraphicFramePr>
      <xdr:xfrm>
        <a:off x="2241550" y="6311900"/>
        <a:ext cx="5130800" cy="2534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88900</xdr:colOff>
      <xdr:row>50</xdr:row>
      <xdr:rowOff>161925</xdr:rowOff>
    </xdr:from>
    <xdr:to>
      <xdr:col>10</xdr:col>
      <xdr:colOff>38100</xdr:colOff>
      <xdr:row>65</xdr:row>
      <xdr:rowOff>47625</xdr:rowOff>
    </xdr:to>
    <xdr:graphicFrame>
      <xdr:nvGraphicFramePr>
        <xdr:cNvPr id="4" name="Chart 3"/>
        <xdr:cNvGraphicFramePr/>
      </xdr:nvGraphicFramePr>
      <xdr:xfrm>
        <a:off x="2203450" y="9686925"/>
        <a:ext cx="5130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1279525</xdr:colOff>
      <xdr:row>67</xdr:row>
      <xdr:rowOff>155575</xdr:rowOff>
    </xdr:from>
    <xdr:to>
      <xdr:col>9</xdr:col>
      <xdr:colOff>552450</xdr:colOff>
      <xdr:row>82</xdr:row>
      <xdr:rowOff>41275</xdr:rowOff>
    </xdr:to>
    <xdr:graphicFrame>
      <xdr:nvGraphicFramePr>
        <xdr:cNvPr id="5" name="Chart 4"/>
        <xdr:cNvGraphicFramePr/>
      </xdr:nvGraphicFramePr>
      <xdr:xfrm>
        <a:off x="2108200" y="12919075"/>
        <a:ext cx="5130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98425</xdr:colOff>
      <xdr:row>85</xdr:row>
      <xdr:rowOff>60325</xdr:rowOff>
    </xdr:from>
    <xdr:to>
      <xdr:col>10</xdr:col>
      <xdr:colOff>47625</xdr:colOff>
      <xdr:row>96</xdr:row>
      <xdr:rowOff>13335</xdr:rowOff>
    </xdr:to>
    <xdr:graphicFrame>
      <xdr:nvGraphicFramePr>
        <xdr:cNvPr id="6" name="Chart 5"/>
        <xdr:cNvGraphicFramePr/>
      </xdr:nvGraphicFramePr>
      <xdr:xfrm>
        <a:off x="2212975" y="16252825"/>
        <a:ext cx="5130800" cy="2048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327025</xdr:colOff>
      <xdr:row>100</xdr:row>
      <xdr:rowOff>60325</xdr:rowOff>
    </xdr:from>
    <xdr:to>
      <xdr:col>12</xdr:col>
      <xdr:colOff>523875</xdr:colOff>
      <xdr:row>114</xdr:row>
      <xdr:rowOff>136525</xdr:rowOff>
    </xdr:to>
    <xdr:graphicFrame>
      <xdr:nvGraphicFramePr>
        <xdr:cNvPr id="7" name="Chart 6"/>
        <xdr:cNvGraphicFramePr/>
      </xdr:nvGraphicFramePr>
      <xdr:xfrm>
        <a:off x="3965575" y="19110325"/>
        <a:ext cx="50736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39370</xdr:rowOff>
    </xdr:from>
    <xdr:to>
      <xdr:col>10</xdr:col>
      <xdr:colOff>553085</xdr:colOff>
      <xdr:row>2</xdr:row>
      <xdr:rowOff>171450</xdr:rowOff>
    </xdr:to>
    <xdr:sp>
      <xdr:nvSpPr>
        <xdr:cNvPr id="2" name="Rounded Rectangle 1"/>
        <xdr:cNvSpPr/>
      </xdr:nvSpPr>
      <xdr:spPr>
        <a:xfrm>
          <a:off x="66675" y="39370"/>
          <a:ext cx="8058785" cy="51308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66675</xdr:colOff>
      <xdr:row>3</xdr:row>
      <xdr:rowOff>9525</xdr:rowOff>
    </xdr:from>
    <xdr:to>
      <xdr:col>2</xdr:col>
      <xdr:colOff>48260</xdr:colOff>
      <xdr:row>5</xdr:row>
      <xdr:rowOff>114300</xdr:rowOff>
    </xdr:to>
    <xdr:sp>
      <xdr:nvSpPr>
        <xdr:cNvPr id="3" name="Rounded Rectangle 2"/>
        <xdr:cNvSpPr/>
      </xdr:nvSpPr>
      <xdr:spPr>
        <a:xfrm>
          <a:off x="66675" y="581025"/>
          <a:ext cx="2277110" cy="50482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109220</xdr:colOff>
      <xdr:row>3</xdr:row>
      <xdr:rowOff>12700</xdr:rowOff>
    </xdr:from>
    <xdr:to>
      <xdr:col>4</xdr:col>
      <xdr:colOff>594360</xdr:colOff>
      <xdr:row>5</xdr:row>
      <xdr:rowOff>116840</xdr:rowOff>
    </xdr:to>
    <xdr:sp>
      <xdr:nvSpPr>
        <xdr:cNvPr id="4" name="Rounded Rectangle 3"/>
        <xdr:cNvSpPr/>
      </xdr:nvSpPr>
      <xdr:spPr>
        <a:xfrm>
          <a:off x="2404745" y="584200"/>
          <a:ext cx="2085340" cy="50419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45720</xdr:colOff>
      <xdr:row>3</xdr:row>
      <xdr:rowOff>15875</xdr:rowOff>
    </xdr:from>
    <xdr:to>
      <xdr:col>7</xdr:col>
      <xdr:colOff>568325</xdr:colOff>
      <xdr:row>5</xdr:row>
      <xdr:rowOff>120650</xdr:rowOff>
    </xdr:to>
    <xdr:sp>
      <xdr:nvSpPr>
        <xdr:cNvPr id="5" name="Rounded Rectangle 4"/>
        <xdr:cNvSpPr/>
      </xdr:nvSpPr>
      <xdr:spPr>
        <a:xfrm>
          <a:off x="4551045" y="587375"/>
          <a:ext cx="1741805" cy="50482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11430</xdr:colOff>
      <xdr:row>3</xdr:row>
      <xdr:rowOff>9525</xdr:rowOff>
    </xdr:from>
    <xdr:to>
      <xdr:col>10</xdr:col>
      <xdr:colOff>583565</xdr:colOff>
      <xdr:row>5</xdr:row>
      <xdr:rowOff>123825</xdr:rowOff>
    </xdr:to>
    <xdr:sp>
      <xdr:nvSpPr>
        <xdr:cNvPr id="6" name="Rounded Rectangle 5"/>
        <xdr:cNvSpPr/>
      </xdr:nvSpPr>
      <xdr:spPr>
        <a:xfrm>
          <a:off x="6345555" y="581025"/>
          <a:ext cx="1810385" cy="51435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5</xdr:row>
      <xdr:rowOff>180340</xdr:rowOff>
    </xdr:from>
    <xdr:to>
      <xdr:col>4</xdr:col>
      <xdr:colOff>390525</xdr:colOff>
      <xdr:row>16</xdr:row>
      <xdr:rowOff>113030</xdr:rowOff>
    </xdr:to>
    <xdr:sp>
      <xdr:nvSpPr>
        <xdr:cNvPr id="7" name="Rounded Rectangle 6"/>
        <xdr:cNvSpPr/>
      </xdr:nvSpPr>
      <xdr:spPr>
        <a:xfrm>
          <a:off x="95250" y="1151890"/>
          <a:ext cx="4191000" cy="202819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114935</xdr:colOff>
      <xdr:row>17</xdr:row>
      <xdr:rowOff>45085</xdr:rowOff>
    </xdr:from>
    <xdr:to>
      <xdr:col>4</xdr:col>
      <xdr:colOff>434340</xdr:colOff>
      <xdr:row>27</xdr:row>
      <xdr:rowOff>168275</xdr:rowOff>
    </xdr:to>
    <xdr:sp>
      <xdr:nvSpPr>
        <xdr:cNvPr id="8" name="Rounded Rectangle 7"/>
        <xdr:cNvSpPr/>
      </xdr:nvSpPr>
      <xdr:spPr>
        <a:xfrm>
          <a:off x="114935" y="3302635"/>
          <a:ext cx="4215130" cy="202819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459105</xdr:colOff>
      <xdr:row>6</xdr:row>
      <xdr:rowOff>29845</xdr:rowOff>
    </xdr:from>
    <xdr:to>
      <xdr:col>11</xdr:col>
      <xdr:colOff>33020</xdr:colOff>
      <xdr:row>16</xdr:row>
      <xdr:rowOff>118110</xdr:rowOff>
    </xdr:to>
    <xdr:sp>
      <xdr:nvSpPr>
        <xdr:cNvPr id="9" name="Rounded Rectangle 8"/>
        <xdr:cNvSpPr/>
      </xdr:nvSpPr>
      <xdr:spPr>
        <a:xfrm>
          <a:off x="4354830" y="1191895"/>
          <a:ext cx="3860165" cy="1993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514350</xdr:colOff>
      <xdr:row>17</xdr:row>
      <xdr:rowOff>50800</xdr:rowOff>
    </xdr:from>
    <xdr:to>
      <xdr:col>11</xdr:col>
      <xdr:colOff>99695</xdr:colOff>
      <xdr:row>27</xdr:row>
      <xdr:rowOff>186055</xdr:rowOff>
    </xdr:to>
    <xdr:sp>
      <xdr:nvSpPr>
        <xdr:cNvPr id="10" name="Rounded Rectangle 9"/>
        <xdr:cNvSpPr/>
      </xdr:nvSpPr>
      <xdr:spPr>
        <a:xfrm>
          <a:off x="4410075" y="3308350"/>
          <a:ext cx="3871595" cy="204025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145415</xdr:colOff>
      <xdr:row>6</xdr:row>
      <xdr:rowOff>32385</xdr:rowOff>
    </xdr:from>
    <xdr:to>
      <xdr:col>4</xdr:col>
      <xdr:colOff>340360</xdr:colOff>
      <xdr:row>16</xdr:row>
      <xdr:rowOff>57150</xdr:rowOff>
    </xdr:to>
    <xdr:graphicFrame>
      <xdr:nvGraphicFramePr>
        <xdr:cNvPr id="12" name="Chart 11"/>
        <xdr:cNvGraphicFramePr/>
      </xdr:nvGraphicFramePr>
      <xdr:xfrm>
        <a:off x="145415" y="1194435"/>
        <a:ext cx="4090670" cy="1929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497840</xdr:colOff>
      <xdr:row>6</xdr:row>
      <xdr:rowOff>41910</xdr:rowOff>
    </xdr:from>
    <xdr:to>
      <xdr:col>11</xdr:col>
      <xdr:colOff>10160</xdr:colOff>
      <xdr:row>16</xdr:row>
      <xdr:rowOff>87630</xdr:rowOff>
    </xdr:to>
    <xdr:graphicFrame>
      <xdr:nvGraphicFramePr>
        <xdr:cNvPr id="13" name="Chart 12"/>
        <xdr:cNvGraphicFramePr/>
      </xdr:nvGraphicFramePr>
      <xdr:xfrm>
        <a:off x="4393565" y="1203960"/>
        <a:ext cx="3798570" cy="195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145415</xdr:colOff>
      <xdr:row>17</xdr:row>
      <xdr:rowOff>56515</xdr:rowOff>
    </xdr:from>
    <xdr:to>
      <xdr:col>4</xdr:col>
      <xdr:colOff>403860</xdr:colOff>
      <xdr:row>27</xdr:row>
      <xdr:rowOff>132080</xdr:rowOff>
    </xdr:to>
    <xdr:graphicFrame>
      <xdr:nvGraphicFramePr>
        <xdr:cNvPr id="14" name="Chart 13"/>
        <xdr:cNvGraphicFramePr/>
      </xdr:nvGraphicFramePr>
      <xdr:xfrm>
        <a:off x="145415" y="3314065"/>
        <a:ext cx="4154170" cy="1980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509905</xdr:colOff>
      <xdr:row>17</xdr:row>
      <xdr:rowOff>88265</xdr:rowOff>
    </xdr:from>
    <xdr:to>
      <xdr:col>11</xdr:col>
      <xdr:colOff>59055</xdr:colOff>
      <xdr:row>27</xdr:row>
      <xdr:rowOff>164465</xdr:rowOff>
    </xdr:to>
    <xdr:graphicFrame>
      <xdr:nvGraphicFramePr>
        <xdr:cNvPr id="15" name="Chart 14"/>
        <xdr:cNvGraphicFramePr/>
      </xdr:nvGraphicFramePr>
      <xdr:xfrm>
        <a:off x="4405630" y="3345815"/>
        <a:ext cx="3835400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97790</xdr:colOff>
      <xdr:row>6</xdr:row>
      <xdr:rowOff>10160</xdr:rowOff>
    </xdr:from>
    <xdr:to>
      <xdr:col>17</xdr:col>
      <xdr:colOff>300355</xdr:colOff>
      <xdr:row>16</xdr:row>
      <xdr:rowOff>134620</xdr:rowOff>
    </xdr:to>
    <xdr:sp>
      <xdr:nvSpPr>
        <xdr:cNvPr id="16" name="Rounded Rectangle 15"/>
        <xdr:cNvSpPr/>
      </xdr:nvSpPr>
      <xdr:spPr>
        <a:xfrm>
          <a:off x="8279765" y="1172210"/>
          <a:ext cx="3860165" cy="202946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165735</xdr:colOff>
      <xdr:row>17</xdr:row>
      <xdr:rowOff>77470</xdr:rowOff>
    </xdr:from>
    <xdr:to>
      <xdr:col>17</xdr:col>
      <xdr:colOff>368300</xdr:colOff>
      <xdr:row>28</xdr:row>
      <xdr:rowOff>11430</xdr:rowOff>
    </xdr:to>
    <xdr:sp>
      <xdr:nvSpPr>
        <xdr:cNvPr id="17" name="Rounded Rectangle 16"/>
        <xdr:cNvSpPr/>
      </xdr:nvSpPr>
      <xdr:spPr>
        <a:xfrm>
          <a:off x="8347710" y="3335020"/>
          <a:ext cx="3860165" cy="202946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119380</xdr:colOff>
      <xdr:row>6</xdr:row>
      <xdr:rowOff>31750</xdr:rowOff>
    </xdr:from>
    <xdr:to>
      <xdr:col>17</xdr:col>
      <xdr:colOff>247015</xdr:colOff>
      <xdr:row>16</xdr:row>
      <xdr:rowOff>107315</xdr:rowOff>
    </xdr:to>
    <xdr:graphicFrame>
      <xdr:nvGraphicFramePr>
        <xdr:cNvPr id="18" name="Chart 17"/>
        <xdr:cNvGraphicFramePr/>
      </xdr:nvGraphicFramePr>
      <xdr:xfrm>
        <a:off x="8301355" y="1193800"/>
        <a:ext cx="3785235" cy="1980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205105</xdr:colOff>
      <xdr:row>17</xdr:row>
      <xdr:rowOff>111760</xdr:rowOff>
    </xdr:from>
    <xdr:to>
      <xdr:col>17</xdr:col>
      <xdr:colOff>317500</xdr:colOff>
      <xdr:row>27</xdr:row>
      <xdr:rowOff>147955</xdr:rowOff>
    </xdr:to>
    <xdr:graphicFrame>
      <xdr:nvGraphicFramePr>
        <xdr:cNvPr id="19" name="Chart 18"/>
        <xdr:cNvGraphicFramePr/>
      </xdr:nvGraphicFramePr>
      <xdr:xfrm>
        <a:off x="8387080" y="3369310"/>
        <a:ext cx="3769995" cy="1941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40005</xdr:colOff>
      <xdr:row>0</xdr:row>
      <xdr:rowOff>69850</xdr:rowOff>
    </xdr:from>
    <xdr:to>
      <xdr:col>17</xdr:col>
      <xdr:colOff>193675</xdr:colOff>
      <xdr:row>5</xdr:row>
      <xdr:rowOff>140335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sex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1980" y="69850"/>
              <a:ext cx="3811270" cy="1042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139700</xdr:colOff>
      <xdr:row>0</xdr:row>
      <xdr:rowOff>104775</xdr:rowOff>
    </xdr:from>
    <xdr:to>
      <xdr:col>9</xdr:col>
      <xdr:colOff>342265</xdr:colOff>
      <xdr:row>2</xdr:row>
      <xdr:rowOff>128905</xdr:rowOff>
    </xdr:to>
    <xdr:sp>
      <xdr:nvSpPr>
        <xdr:cNvPr id="21" name="Text Box 20"/>
        <xdr:cNvSpPr txBox="1"/>
      </xdr:nvSpPr>
      <xdr:spPr>
        <a:xfrm>
          <a:off x="139700" y="104775"/>
          <a:ext cx="7146290" cy="4051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lvl="1" algn="l"/>
          <a:r>
            <a:rPr lang="en-US" sz="1800" b="1">
              <a:latin typeface="Georgia" panose="02040502050405020303" charset="0"/>
              <a:cs typeface="Georgia" panose="02040502050405020303" charset="0"/>
            </a:rPr>
            <a:t>Personal Medical Cost &amp; Insurance Insights Dashboard</a:t>
          </a:r>
          <a:endParaRPr lang="en-US" sz="1800" b="1">
            <a:latin typeface="Georgia" panose="02040502050405020303" charset="0"/>
            <a:cs typeface="Georgia" panose="02040502050405020303" charset="0"/>
          </a:endParaRPr>
        </a:p>
      </xdr:txBody>
    </xdr:sp>
    <xdr:clientData/>
  </xdr:twoCellAnchor>
  <xdr:twoCellAnchor>
    <xdr:from>
      <xdr:col>8</xdr:col>
      <xdr:colOff>497205</xdr:colOff>
      <xdr:row>1</xdr:row>
      <xdr:rowOff>139700</xdr:rowOff>
    </xdr:from>
    <xdr:to>
      <xdr:col>10</xdr:col>
      <xdr:colOff>516255</xdr:colOff>
      <xdr:row>2</xdr:row>
      <xdr:rowOff>158750</xdr:rowOff>
    </xdr:to>
    <xdr:sp>
      <xdr:nvSpPr>
        <xdr:cNvPr id="22" name="Text Box 21"/>
        <xdr:cNvSpPr txBox="1"/>
      </xdr:nvSpPr>
      <xdr:spPr>
        <a:xfrm>
          <a:off x="6831330" y="330200"/>
          <a:ext cx="125730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latin typeface="Georgia" panose="02040502050405020303" charset="0"/>
              <a:cs typeface="Georgia" panose="02040502050405020303" charset="0"/>
            </a:rPr>
            <a:t>NDIDIAMAKA</a:t>
          </a:r>
          <a:endParaRPr lang="en-US" sz="1100" b="1">
            <a:latin typeface="Georgia" panose="02040502050405020303" charset="0"/>
            <a:cs typeface="Georgia" panose="02040502050405020303" charset="0"/>
          </a:endParaRPr>
        </a:p>
      </xdr:txBody>
    </xdr:sp>
    <xdr:clientData/>
  </xdr:twoCellAnchor>
  <xdr:twoCellAnchor>
    <xdr:from>
      <xdr:col>17</xdr:col>
      <xdr:colOff>402590</xdr:colOff>
      <xdr:row>0</xdr:row>
      <xdr:rowOff>92710</xdr:rowOff>
    </xdr:from>
    <xdr:to>
      <xdr:col>23</xdr:col>
      <xdr:colOff>174625</xdr:colOff>
      <xdr:row>28</xdr:row>
      <xdr:rowOff>6985</xdr:rowOff>
    </xdr:to>
    <xdr:sp>
      <xdr:nvSpPr>
        <xdr:cNvPr id="23" name="Rectangles 22"/>
        <xdr:cNvSpPr/>
      </xdr:nvSpPr>
      <xdr:spPr>
        <a:xfrm>
          <a:off x="12242165" y="92710"/>
          <a:ext cx="3429635" cy="526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402590</xdr:colOff>
      <xdr:row>0</xdr:row>
      <xdr:rowOff>118745</xdr:rowOff>
    </xdr:from>
    <xdr:to>
      <xdr:col>23</xdr:col>
      <xdr:colOff>175895</xdr:colOff>
      <xdr:row>27</xdr:row>
      <xdr:rowOff>183515</xdr:rowOff>
    </xdr:to>
    <xdr:sp>
      <xdr:nvSpPr>
        <xdr:cNvPr id="24" name="Text Box 23"/>
        <xdr:cNvSpPr txBox="1"/>
      </xdr:nvSpPr>
      <xdr:spPr>
        <a:xfrm>
          <a:off x="12242165" y="118745"/>
          <a:ext cx="3430905" cy="52273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/>
            <a:t>INSIGHTS</a:t>
          </a:r>
          <a:endParaRPr lang="en-US" sz="1100"/>
        </a:p>
        <a:p>
          <a:pPr algn="l"/>
          <a:r>
            <a:rPr lang="en-US" sz="1100"/>
            <a:t>1. </a:t>
          </a:r>
          <a:r>
            <a:rPr lang="en-US" sz="1200"/>
            <a:t>The dataset reflects a very high overall medical insurance expenditure.</a:t>
          </a:r>
          <a:endParaRPr lang="en-US" sz="1200"/>
        </a:p>
        <a:p>
          <a:pPr algn="l"/>
          <a:r>
            <a:rPr lang="en-US" sz="1200"/>
            <a:t> 2. Older individuals, especially the elderly, incur the highest medical charges.</a:t>
          </a:r>
          <a:endParaRPr lang="en-US" sz="1200"/>
        </a:p>
        <a:p>
          <a:pPr algn="l"/>
          <a:r>
            <a:rPr lang="en-US" sz="1200"/>
            <a:t>3.  Smokers have significantly higher medical charges.</a:t>
          </a:r>
          <a:endParaRPr lang="en-US" sz="1200"/>
        </a:p>
        <a:p>
          <a:pPr algn="l"/>
          <a:r>
            <a:rPr lang="en-US" sz="1200"/>
            <a:t>4. Older smokers experience the highest medical costs among all groups.</a:t>
          </a:r>
          <a:endParaRPr lang="en-US" sz="1200"/>
        </a:p>
        <a:p>
          <a:pPr algn="l"/>
          <a:r>
            <a:rPr lang="en-US" sz="1200"/>
            <a:t>5. Medical charges generally increase for individuals with more children, although some variations exist.</a:t>
          </a:r>
          <a:endParaRPr lang="en-US" sz="1200"/>
        </a:p>
        <a:p>
          <a:pPr algn="l"/>
          <a:endParaRPr lang="en-US" sz="1100"/>
        </a:p>
        <a:p>
          <a:pPr algn="ctr"/>
          <a:r>
            <a:rPr lang="en-US" sz="1400" b="1"/>
            <a:t>RECOMMENDATIONS</a:t>
          </a:r>
          <a:endParaRPr lang="en-US" sz="1400" b="1"/>
        </a:p>
        <a:p>
          <a:pPr algn="l"/>
          <a:r>
            <a:rPr lang="en-US" sz="1200"/>
            <a:t>1. Insurance providers should focus on preventive healthcare strategies to reduce rising healthcare costs.</a:t>
          </a:r>
          <a:endParaRPr lang="en-US" sz="1200"/>
        </a:p>
        <a:p>
          <a:pPr algn="l"/>
          <a:r>
            <a:rPr lang="en-US" sz="1200"/>
            <a:t>2. Develop age-focused healthcare plans and preventive programs for older age groups.</a:t>
          </a:r>
          <a:endParaRPr lang="en-US" sz="1200"/>
        </a:p>
        <a:p>
          <a:pPr algn="l"/>
          <a:r>
            <a:rPr lang="en-US" sz="1200"/>
            <a:t>3. Insurance companies should promote anti-smoking initiatives and wellness incentives.</a:t>
          </a:r>
          <a:endParaRPr lang="en-US" sz="1200"/>
        </a:p>
        <a:p>
          <a:pPr algn="l"/>
          <a:r>
            <a:rPr lang="en-US" sz="1200"/>
            <a:t>4. Target high-risk groups with specialized healthcare interventions.</a:t>
          </a:r>
          <a:endParaRPr lang="en-US" sz="1200"/>
        </a:p>
        <a:p>
          <a:pPr algn="l"/>
          <a:r>
            <a:rPr lang="en-US" sz="1200"/>
            <a:t>5. Create flexible family insurance plans for larger households.</a:t>
          </a:r>
          <a:endParaRPr lang="en-US" sz="1200"/>
        </a:p>
        <a:p>
          <a:pPr algn="l"/>
          <a:endParaRPr lang="en-US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9.8671527778" refreshedBy="NDIDIAMAKA" recordCount="1338">
  <cacheSource type="worksheet">
    <worksheetSource name="Table1"/>
  </cacheSource>
  <cacheFields count="8">
    <cacheField name="age" numFmtId="0">
      <sharedItems containsSemiMixedTypes="0" containsString="0" containsNumber="1" containsInteger="1" minValue="0" maxValue="64" count="47">
        <n v="19"/>
        <n v="18"/>
        <n v="28"/>
        <n v="33"/>
        <n v="32"/>
        <n v="31"/>
        <n v="46"/>
        <n v="37"/>
        <n v="60"/>
        <n v="25"/>
        <n v="62"/>
        <n v="23"/>
        <n v="56"/>
        <n v="27"/>
        <n v="52"/>
        <n v="30"/>
        <n v="34"/>
        <n v="59"/>
        <n v="63"/>
        <n v="55"/>
        <n v="22"/>
        <n v="26"/>
        <n v="35"/>
        <n v="24"/>
        <n v="41"/>
        <n v="38"/>
        <n v="36"/>
        <n v="21"/>
        <n v="48"/>
        <n v="40"/>
        <n v="58"/>
        <n v="53"/>
        <n v="43"/>
        <n v="64"/>
        <n v="20"/>
        <n v="61"/>
        <n v="44"/>
        <n v="57"/>
        <n v="29"/>
        <n v="45"/>
        <n v="54"/>
        <n v="49"/>
        <n v="47"/>
        <n v="51"/>
        <n v="42"/>
        <n v="50"/>
        <n v="39"/>
      </sharedItems>
    </cacheField>
    <cacheField name="sex" numFmtId="0">
      <sharedItems count="2">
        <s v="female"/>
        <s v="male"/>
      </sharedItems>
    </cacheField>
    <cacheField name="bmi" numFmtId="0">
      <sharedItems containsSemiMixedTypes="0" containsString="0" containsNumber="1" minValue="0" maxValue="53.13" count="548">
        <n v="27.9"/>
        <n v="33.77"/>
        <n v="33"/>
        <n v="22.705"/>
        <n v="28.88"/>
        <n v="25.74"/>
        <n v="33.44"/>
        <n v="27.74"/>
        <n v="29.83"/>
        <n v="25.84"/>
        <n v="26.22"/>
        <n v="26.29"/>
        <n v="34.4"/>
        <n v="39.82"/>
        <n v="42.13"/>
        <n v="24.6"/>
        <n v="30.78"/>
        <n v="23.845"/>
        <n v="40.3"/>
        <n v="35.3"/>
        <n v="36.005"/>
        <n v="32.4"/>
        <n v="34.1"/>
        <n v="31.92"/>
        <n v="28.025"/>
        <n v="27.72"/>
        <n v="23.085"/>
        <n v="32.775"/>
        <n v="17.385"/>
        <n v="36.3"/>
        <n v="35.6"/>
        <n v="26.315"/>
        <n v="28.6"/>
        <n v="28.31"/>
        <n v="36.4"/>
        <n v="20.425"/>
        <n v="32.965"/>
        <n v="20.8"/>
        <n v="36.67"/>
        <n v="39.9"/>
        <n v="26.6"/>
        <n v="36.63"/>
        <n v="21.78"/>
        <n v="30.8"/>
        <n v="37.05"/>
        <n v="37.3"/>
        <n v="38.665"/>
        <n v="34.77"/>
        <n v="24.53"/>
        <n v="35.2"/>
        <n v="35.625"/>
        <n v="33.63"/>
        <n v="28"/>
        <n v="34.43"/>
        <n v="28.69"/>
        <n v="36.955"/>
        <n v="31.825"/>
        <n v="31.68"/>
        <n v="22.88"/>
        <n v="37.335"/>
        <n v="27.36"/>
        <n v="33.66"/>
        <n v="24.7"/>
        <n v="25.935"/>
        <n v="22.42"/>
        <n v="28.9"/>
        <n v="39.1"/>
        <n v="36.19"/>
        <n v="23.98"/>
        <n v="24.75"/>
        <n v="28.5"/>
        <n v="28.1"/>
        <n v="32.01"/>
        <n v="27.4"/>
        <n v="34.01"/>
        <n v="29.59"/>
        <n v="35.53"/>
        <n v="39.805"/>
        <n v="26.885"/>
        <n v="38.285"/>
        <n v="37.62"/>
        <n v="41.23"/>
        <n v="34.8"/>
        <n v="22.895"/>
        <n v="31.16"/>
        <n v="27.2"/>
        <n v="26.98"/>
        <n v="39.49"/>
        <n v="24.795"/>
        <n v="31.3"/>
        <n v="38.28"/>
        <n v="19.95"/>
        <n v="19.3"/>
        <n v="31.6"/>
        <n v="25.46"/>
        <n v="30.115"/>
        <n v="29.92"/>
        <n v="27.5"/>
        <n v="28.4"/>
        <n v="30.875"/>
        <n v="27.94"/>
        <n v="35.09"/>
        <n v="29.7"/>
        <n v="35.72"/>
        <n v="32.205"/>
        <n v="28.595"/>
        <n v="49.06"/>
        <n v="27.17"/>
        <n v="23.37"/>
        <n v="37.1"/>
        <n v="23.75"/>
        <n v="28.975"/>
        <n v="31.35"/>
        <n v="33.915"/>
        <n v="28.785"/>
        <n v="28.3"/>
        <n v="37.4"/>
        <n v="17.765"/>
        <n v="34.7"/>
        <n v="26.505"/>
        <n v="22.04"/>
        <n v="35.9"/>
        <n v="25.555"/>
        <n v="28.05"/>
        <n v="25.175"/>
        <n v="31.9"/>
        <n v="36"/>
        <n v="32.49"/>
        <n v="25.3"/>
        <n v="29.735"/>
        <n v="38.83"/>
        <n v="30.495"/>
        <n v="37.73"/>
        <n v="37.43"/>
        <n v="24.13"/>
        <n v="37.145"/>
        <n v="39.52"/>
        <n v="24.42"/>
        <n v="27.83"/>
        <n v="36.85"/>
        <n v="39.6"/>
        <n v="29.8"/>
        <n v="29.64"/>
        <n v="28.215"/>
        <n v="37"/>
        <n v="33.155"/>
        <n v="18.905"/>
        <n v="41.47"/>
        <n v="30.3"/>
        <n v="15.96"/>
        <n v="33.345"/>
        <n v="37.7"/>
        <n v="27.835"/>
        <n v="29.2"/>
        <n v="26.41"/>
        <n v="30.69"/>
        <n v="41.895"/>
        <n v="30.9"/>
        <n v="32.2"/>
        <n v="32.11"/>
        <n v="31.57"/>
        <n v="26.2"/>
        <n v="30.59"/>
        <n v="32.8"/>
        <n v="18.05"/>
        <n v="39.33"/>
        <n v="32.23"/>
        <n v="24.035"/>
        <n v="36.08"/>
        <n v="22.3"/>
        <n v="26.4"/>
        <n v="31.8"/>
        <n v="26.73"/>
        <n v="23.1"/>
        <n v="23.21"/>
        <n v="33.7"/>
        <n v="33.25"/>
        <n v="24.64"/>
        <n v="33.88"/>
        <n v="38.06"/>
        <n v="41.91"/>
        <n v="31.635"/>
        <n v="36.195"/>
        <n v="17.8"/>
        <n v="24.51"/>
        <n v="22.22"/>
        <n v="38.39"/>
        <n v="29.07"/>
        <n v="22.135"/>
        <n v="26.8"/>
        <n v="30.02"/>
        <n v="35.86"/>
        <n v="20.9"/>
        <n v="17.29"/>
        <n v="34.21"/>
        <n v="25.365"/>
        <n v="40.15"/>
        <n v="24.415"/>
        <n v="25.2"/>
        <n v="26.84"/>
        <n v="24.32"/>
        <n v="42.35"/>
        <n v="19.8"/>
        <n v="32.395"/>
        <n v="30.2"/>
        <n v="29.37"/>
        <n v="34.2"/>
        <n v="27.455"/>
        <n v="27.55"/>
        <n v="20.615"/>
        <n v="24.3"/>
        <n v="31.79"/>
        <n v="21.56"/>
        <n v="28.12"/>
        <n v="40.565"/>
        <n v="27.645"/>
        <n v="31.2"/>
        <n v="26.62"/>
        <n v="48.07"/>
        <n v="36.765"/>
        <n v="33.4"/>
        <n v="45.54"/>
        <n v="28.82"/>
        <n v="22.99"/>
        <n v="27.7"/>
        <n v="25.41"/>
        <n v="34.39"/>
        <n v="22.61"/>
        <n v="37.51"/>
        <n v="38"/>
        <n v="33.33"/>
        <n v="34.865"/>
        <n v="33.06"/>
        <n v="35.97"/>
        <n v="31.4"/>
        <n v="25.27"/>
        <n v="40.945"/>
        <n v="34.105"/>
        <n v="36.48"/>
        <n v="33.8"/>
        <n v="36.7"/>
        <n v="36.385"/>
        <n v="34.5"/>
        <n v="32.3"/>
        <n v="27.6"/>
        <n v="29.26"/>
        <n v="35.75"/>
        <n v="23.18"/>
        <n v="25.6"/>
        <n v="35.245"/>
        <n v="43.89"/>
        <n v="20.79"/>
        <n v="30.5"/>
        <n v="21.7"/>
        <n v="21.89"/>
        <n v="24.985"/>
        <n v="32.015"/>
        <n v="30.4"/>
        <n v="21.09"/>
        <n v="22.23"/>
        <n v="32.9"/>
        <n v="24.89"/>
        <n v="31.46"/>
        <n v="17.955"/>
        <n v="30.685"/>
        <n v="43.34"/>
        <n v="39.05"/>
        <n v="30.21"/>
        <n v="31.445"/>
        <n v="19.855"/>
        <n v="31.02"/>
        <n v="38.17"/>
        <n v="20.6"/>
        <n v="47.52"/>
        <n v="20.4"/>
        <n v="38.38"/>
        <n v="24.31"/>
        <n v="23.6"/>
        <n v="21.12"/>
        <n v="30.03"/>
        <n v="17.48"/>
        <n v="20.235"/>
        <n v="17.195"/>
        <n v="23.9"/>
        <n v="35.15"/>
        <n v="35.64"/>
        <n v="22.6"/>
        <n v="39.16"/>
        <n v="27.265"/>
        <n v="29.165"/>
        <n v="16.815"/>
        <n v="33.1"/>
        <n v="26.9"/>
        <n v="33.11"/>
        <n v="31.73"/>
        <n v="46.75"/>
        <n v="29.45"/>
        <n v="32.68"/>
        <n v="33.5"/>
        <n v="43.01"/>
        <n v="36.52"/>
        <n v="26.695"/>
        <n v="25.65"/>
        <n v="29.6"/>
        <n v="38.6"/>
        <n v="23.4"/>
        <n v="46.53"/>
        <n v="30.14"/>
        <n v="30"/>
        <n v="38.095"/>
        <n v="28.38"/>
        <n v="28.7"/>
        <n v="33.82"/>
        <n v="24.09"/>
        <n v="32.67"/>
        <n v="25.1"/>
        <n v="32.56"/>
        <n v="41.325"/>
        <n v="39.5"/>
        <n v="34.3"/>
        <n v="31.065"/>
        <n v="21.47"/>
        <n v="25.08"/>
        <n v="43.4"/>
        <n v="25.7"/>
        <n v="27.93"/>
        <n v="39.2"/>
        <n v="26.03"/>
        <n v="30.25"/>
        <n v="28.93"/>
        <n v="35.7"/>
        <n v="35.31"/>
        <n v="31"/>
        <n v="44.22"/>
        <n v="26.07"/>
        <n v="25.8"/>
        <n v="39.425"/>
        <n v="40.48"/>
        <n v="38.9"/>
        <n v="47.41"/>
        <n v="35.435"/>
        <n v="46.7"/>
        <n v="46.2"/>
        <n v="21.4"/>
        <n v="23.8"/>
        <n v="44.77"/>
        <n v="32.12"/>
        <n v="29.1"/>
        <n v="37.29"/>
        <n v="43.12"/>
        <n v="36.86"/>
        <n v="34.295"/>
        <n v="23.465"/>
        <n v="45.43"/>
        <n v="23.65"/>
        <n v="20.7"/>
        <n v="28.27"/>
        <n v="35.91"/>
        <n v="29"/>
        <n v="19.57"/>
        <n v="31.13"/>
        <n v="21.85"/>
        <n v="40.26"/>
        <n v="33.725"/>
        <n v="29.48"/>
        <n v="32.6"/>
        <n v="37.525"/>
        <n v="23.655"/>
        <n v="37.8"/>
        <n v="19"/>
        <n v="21.3"/>
        <n v="33.535"/>
        <n v="42.46"/>
        <n v="38.95"/>
        <n v="36.1"/>
        <n v="29.3"/>
        <n v="39.7"/>
        <n v="38.19"/>
        <n v="42.4"/>
        <n v="34.96"/>
        <n v="42.68"/>
        <n v="31.54"/>
        <n v="29.81"/>
        <n v="21.375"/>
        <n v="40.81"/>
        <n v="17.4"/>
        <n v="20.3"/>
        <n v="18.5"/>
        <n v="26.125"/>
        <n v="41.69"/>
        <n v="24.1"/>
        <n v="36.2"/>
        <n v="40.185"/>
        <n v="39.27"/>
        <n v="34.87"/>
        <n v="44.745"/>
        <n v="29.545"/>
        <n v="23.54"/>
        <n v="40.47"/>
        <n v="40.66"/>
        <n v="36.6"/>
        <n v="35.4"/>
        <n v="27.075"/>
        <n v="28.405"/>
        <n v="21.755"/>
        <n v="40.28"/>
        <n v="30.1"/>
        <n v="32.1"/>
        <n v="23.7"/>
        <n v="35.5"/>
        <n v="29.15"/>
        <n v="27"/>
        <n v="37.905"/>
        <n v="22.77"/>
        <n v="22.8"/>
        <n v="34.58"/>
        <n v="27.1"/>
        <n v="19.475"/>
        <n v="26.7"/>
        <n v="34.32"/>
        <n v="24.4"/>
        <n v="41.14"/>
        <n v="22.515"/>
        <n v="41.8"/>
        <n v="26.18"/>
        <n v="42.24"/>
        <n v="26.51"/>
        <n v="35.815"/>
        <n v="41.42"/>
        <n v="36.575"/>
        <n v="42.94"/>
        <n v="21.01"/>
        <n v="24.225"/>
        <n v="17.67"/>
        <n v="31.5"/>
        <n v="31.1"/>
        <n v="32.78"/>
        <n v="32.45"/>
        <n v="50.38"/>
        <n v="47.6"/>
        <n v="25.4"/>
        <n v="29.9"/>
        <n v="43.7"/>
        <n v="24.86"/>
        <n v="28.8"/>
        <n v="29.5"/>
        <n v="29.04"/>
        <n v="38.94"/>
        <n v="44"/>
        <n v="20.045"/>
        <n v="40.92"/>
        <n v="35.1"/>
        <n v="29.355"/>
        <n v="32.585"/>
        <n v="32.34"/>
        <n v="39.8"/>
        <n v="24.605"/>
        <n v="33.99"/>
        <n v="28.2"/>
        <n v="25"/>
        <n v="33.2"/>
        <n v="23.2"/>
        <n v="20.1"/>
        <n v="32.5"/>
        <n v="37.18"/>
        <n v="46.09"/>
        <n v="39.93"/>
        <n v="35.8"/>
        <n v="31.255"/>
        <n v="18.335"/>
        <n v="42.9"/>
        <n v="26.79"/>
        <n v="39.615"/>
        <n v="25.9"/>
        <n v="25.745"/>
        <n v="28.16"/>
        <n v="23.56"/>
        <n v="40.5"/>
        <n v="35.42"/>
        <n v="39.995"/>
        <n v="34.675"/>
        <n v="20.52"/>
        <n v="23.275"/>
        <n v="36.29"/>
        <n v="32.7"/>
        <n v="19.19"/>
        <n v="20.13"/>
        <n v="23.32"/>
        <n v="45.32"/>
        <n v="34.6"/>
        <n v="18.715"/>
        <n v="21.565"/>
        <n v="23"/>
        <n v="37.07"/>
        <n v="52.58"/>
        <n v="42.655"/>
        <n v="21.66"/>
        <n v="32"/>
        <n v="18.3"/>
        <n v="47.74"/>
        <n v="22.1"/>
        <n v="19.095"/>
        <n v="31.24"/>
        <n v="29.925"/>
        <n v="20.35"/>
        <n v="25.85"/>
        <n v="42.75"/>
        <n v="18.6"/>
        <n v="23.87"/>
        <n v="45.9"/>
        <n v="21.5"/>
        <n v="30.305"/>
        <n v="44.88"/>
        <n v="41.1"/>
        <n v="40.37"/>
        <n v="28.49"/>
        <n v="33.55"/>
        <n v="40.375"/>
        <n v="27.28"/>
        <n v="17.86"/>
        <n v="33.3"/>
        <n v="39.14"/>
        <n v="21.945"/>
        <n v="24.97"/>
        <n v="23.94"/>
        <n v="34.485"/>
        <n v="21.8"/>
        <n v="23.3"/>
        <n v="36.96"/>
        <n v="21.28"/>
        <n v="29.4"/>
        <n v="27.3"/>
        <n v="37.9"/>
        <n v="37.715"/>
        <n v="23.76"/>
        <n v="25.52"/>
        <n v="27.61"/>
        <n v="27.06"/>
        <n v="39.4"/>
        <n v="34.9"/>
        <n v="22"/>
        <n v="30.36"/>
        <n v="27.8"/>
        <n v="53.13"/>
        <n v="39.71"/>
        <n v="32.87"/>
        <n v="44.7"/>
        <n v="30.97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3"/>
        <n v="2"/>
        <n v="5"/>
        <n v="4"/>
      </sharedItems>
    </cacheField>
    <cacheField name="smoker" numFmtId="0">
      <sharedItems count="2">
        <s v="yes"/>
        <s v="no"/>
      </sharedItems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0" maxValue="63770.43" count="1337">
        <n v="16884.92"/>
        <n v="1725.55"/>
        <n v="4449.46"/>
        <n v="21984.47"/>
        <n v="3866.86"/>
        <n v="3756.62"/>
        <n v="8240.59"/>
        <n v="7281.51"/>
        <n v="6406.41"/>
        <n v="28923.14"/>
        <n v="2721.32"/>
        <n v="27808.73"/>
        <n v="1826.84"/>
        <n v="11090.72"/>
        <n v="39611.76"/>
        <n v="1837.24"/>
        <n v="10797.34"/>
        <n v="2395.17"/>
        <n v="10602.39"/>
        <n v="36837.47"/>
        <n v="13228.85"/>
        <n v="4149.74"/>
        <n v="1137.01"/>
        <n v="37701.88"/>
        <n v="6203.9"/>
        <n v="14001.13"/>
        <n v="14451.84"/>
        <n v="12268.63"/>
        <n v="2775.19"/>
        <n v="38711"/>
        <n v="35585.58"/>
        <n v="2198.19"/>
        <n v="4687.8"/>
        <n v="13770.1"/>
        <n v="51194.56"/>
        <n v="1625.43"/>
        <n v="15612.19"/>
        <n v="2302.3"/>
        <n v="39774.28"/>
        <n v="48173.36"/>
        <n v="3046.06"/>
        <n v="4949.76"/>
        <n v="6272.48"/>
        <n v="6313.76"/>
        <n v="6079.67"/>
        <n v="20630.28"/>
        <n v="3393.36"/>
        <n v="3556.92"/>
        <n v="12629.9"/>
        <n v="38709.18"/>
        <n v="2211.13"/>
        <n v="3579.83"/>
        <n v="23568.27"/>
        <n v="37742.58"/>
        <n v="8059.68"/>
        <n v="47496.49"/>
        <n v="13607.37"/>
        <n v="34303.17"/>
        <n v="23244.79"/>
        <n v="5989.52"/>
        <n v="8606.22"/>
        <n v="4504.66"/>
        <n v="30166.62"/>
        <n v="4133.64"/>
        <n v="14711.74"/>
        <n v="1743.21"/>
        <n v="14235.07"/>
        <n v="6389.38"/>
        <n v="5920.1"/>
        <n v="17663.14"/>
        <n v="16577.78"/>
        <n v="6799.46"/>
        <n v="11741.73"/>
        <n v="11946.63"/>
        <n v="7726.85"/>
        <n v="11356.66"/>
        <n v="3947.41"/>
        <n v="1532.47"/>
        <n v="2755.02"/>
        <n v="6571.02"/>
        <n v="4441.21"/>
        <n v="7935.29"/>
        <n v="37165.16"/>
        <n v="11033.66"/>
        <n v="39836.52"/>
        <n v="21098.55"/>
        <n v="43578.94"/>
        <n v="11073.18"/>
        <n v="8026.67"/>
        <n v="11082.58"/>
        <n v="2026.97"/>
        <n v="10942.13"/>
        <n v="30184.94"/>
        <n v="5729.01"/>
        <n v="47291.06"/>
        <n v="3766.88"/>
        <n v="12105.32"/>
        <n v="10226.28"/>
        <n v="22412.65"/>
        <n v="15820.7"/>
        <n v="6186.13"/>
        <n v="3645.09"/>
        <n v="21344.85"/>
        <n v="30942.19"/>
        <n v="5003.85"/>
        <n v="17560.38"/>
        <n v="2331.52"/>
        <n v="3877.3"/>
        <n v="2867.12"/>
        <n v="47055.53"/>
        <n v="10825.25"/>
        <n v="11881.36"/>
        <n v="4646.76"/>
        <n v="2404.73"/>
        <n v="11488.32"/>
        <n v="30260"/>
        <n v="11381.33"/>
        <n v="19107.78"/>
        <n v="8601.33"/>
        <n v="6686.43"/>
        <n v="7740.34"/>
        <n v="1705.62"/>
        <n v="2257.48"/>
        <n v="39556.49"/>
        <n v="10115.01"/>
        <n v="3385.4"/>
        <n v="17081.08"/>
        <n v="9634.54"/>
        <n v="32734.19"/>
        <n v="6082.41"/>
        <n v="12815.44"/>
        <n v="13616.36"/>
        <n v="11163.57"/>
        <n v="1632.56"/>
        <n v="2457.21"/>
        <n v="2155.68"/>
        <n v="1261.44"/>
        <n v="2045.69"/>
        <n v="27322.73"/>
        <n v="2166.73"/>
        <n v="27375.9"/>
        <n v="3490.55"/>
        <n v="18972.5"/>
        <n v="18157.88"/>
        <n v="20745.99"/>
        <n v="5138.26"/>
        <n v="40720.55"/>
        <n v="9877.61"/>
        <n v="10959.69"/>
        <n v="1842.52"/>
        <n v="5125.22"/>
        <n v="7789.64"/>
        <n v="6334.34"/>
        <n v="19964.75"/>
        <n v="7077.19"/>
        <n v="6948.7"/>
        <n v="21223.68"/>
        <n v="15518.18"/>
        <n v="36950.26"/>
        <n v="19749.38"/>
        <n v="21348.71"/>
        <n v="36149.48"/>
        <n v="10450.55"/>
        <n v="5152.13"/>
        <n v="5028.15"/>
        <n v="10407.09"/>
        <n v="4830.63"/>
        <n v="6128.8"/>
        <n v="2719.28"/>
        <n v="4827.9"/>
        <n v="13405.39"/>
        <n v="8116.68"/>
        <n v="1694.8"/>
        <n v="5246.05"/>
        <n v="2855.44"/>
        <n v="48824.45"/>
        <n v="6455.86"/>
        <n v="10436.1"/>
        <n v="8823.28"/>
        <n v="8538.29"/>
        <n v="11735.88"/>
        <n v="1631.82"/>
        <n v="4005.42"/>
        <n v="7419.48"/>
        <n v="7731.43"/>
        <n v="43753.34"/>
        <n v="3981.98"/>
        <n v="5325.65"/>
        <n v="6775.96"/>
        <n v="4922.92"/>
        <n v="12557.61"/>
        <n v="4883.87"/>
        <n v="2137.65"/>
        <n v="12044.34"/>
        <n v="1137.47"/>
        <n v="1639.56"/>
        <n v="5649.72"/>
        <n v="8516.83"/>
        <n v="9644.25"/>
        <n v="14901.52"/>
        <n v="2130.68"/>
        <n v="8871.15"/>
        <n v="13012.21"/>
        <n v="37133.9"/>
        <n v="7147.11"/>
        <n v="4337.74"/>
        <n v="11743.3"/>
        <n v="20984.09"/>
        <n v="13880.95"/>
        <n v="6610.11"/>
        <n v="1980.07"/>
        <n v="8162.72"/>
        <n v="3537.7"/>
        <n v="5002.78"/>
        <n v="8520.03"/>
        <n v="7371.77"/>
        <n v="10355.64"/>
        <n v="2483.74"/>
        <n v="3392.98"/>
        <n v="25081.77"/>
        <n v="5012.47"/>
        <n v="10564.88"/>
        <n v="5253.52"/>
        <n v="34779.62"/>
        <n v="19515.54"/>
        <n v="11987.17"/>
        <n v="2689.5"/>
        <n v="24227.34"/>
        <n v="7358.18"/>
        <n v="9225.26"/>
        <n v="7443.64"/>
        <n v="14001.29"/>
        <n v="1727.79"/>
        <n v="12333.83"/>
        <n v="6710.19"/>
        <n v="19444.27"/>
        <n v="1615.77"/>
        <n v="4463.21"/>
        <n v="17352.68"/>
        <n v="7152.67"/>
        <n v="38511.63"/>
        <n v="5354.07"/>
        <n v="35160.13"/>
        <n v="7196.87"/>
        <n v="29523.17"/>
        <n v="24476.48"/>
        <n v="12648.7"/>
        <n v="1986.93"/>
        <n v="1832.09"/>
        <n v="4040.56"/>
        <n v="12829.46"/>
        <n v="47305.31"/>
        <n v="44260.75"/>
        <n v="4260.74"/>
        <n v="41097.16"/>
        <n v="13047.33"/>
        <n v="43921.18"/>
        <n v="5400.98"/>
        <n v="11520.1"/>
        <n v="33750.29"/>
        <n v="11837.16"/>
        <n v="17085.27"/>
        <n v="24869.84"/>
        <n v="36219.41"/>
        <n v="20463"/>
        <n v="46151.12"/>
        <n v="17179.52"/>
        <n v="14590.63"/>
        <n v="7441.05"/>
        <n v="9282.48"/>
        <n v="1719.44"/>
        <n v="42856.84"/>
        <n v="7265.7"/>
        <n v="9617.66"/>
        <n v="2523.17"/>
        <n v="9715.84"/>
        <n v="2803.7"/>
        <n v="2150.47"/>
        <n v="12928.79"/>
        <n v="9855.13"/>
        <n v="22331.57"/>
        <n v="48549.18"/>
        <n v="4237.13"/>
        <n v="11879.1"/>
        <n v="9625.92"/>
        <n v="7742.11"/>
        <n v="9432.93"/>
        <n v="14256.19"/>
        <n v="47896.79"/>
        <n v="25992.82"/>
        <n v="3172.02"/>
        <n v="20277.81"/>
        <n v="42112.24"/>
        <n v="2156.75"/>
        <n v="3906.13"/>
        <n v="1704.57"/>
        <n v="16297.85"/>
        <n v="21978.68"/>
        <n v="38746.36"/>
        <n v="9249.5"/>
        <n v="6746.74"/>
        <n v="24873.38"/>
        <n v="12265.51"/>
        <n v="4349.46"/>
        <n v="12646.21"/>
        <n v="19442.35"/>
        <n v="20177.67"/>
        <n v="4151.03"/>
        <n v="11944.59"/>
        <n v="7749.16"/>
        <n v="8444.47"/>
        <n v="1737.38"/>
        <n v="42124.52"/>
        <n v="8124.41"/>
        <n v="34838.87"/>
        <n v="9722.77"/>
        <n v="8835.26"/>
        <n v="10435.07"/>
        <n v="7421.19"/>
        <n v="4667.61"/>
        <n v="4894.75"/>
        <n v="24671.66"/>
        <n v="35491.64"/>
        <n v="11566.3"/>
        <n v="2866.09"/>
        <n v="6600.21"/>
        <n v="3561.89"/>
        <n v="42760.5"/>
        <n v="47928.03"/>
        <n v="9144.57"/>
        <n v="48517.56"/>
        <n v="24393.62"/>
        <n v="13429.04"/>
        <n v="11658.38"/>
        <n v="19144.58"/>
        <n v="13822.8"/>
        <n v="12142.58"/>
        <n v="13937.67"/>
        <n v="41919.1"/>
        <n v="8232.64"/>
        <n v="18955.22"/>
        <n v="13352.1"/>
        <n v="13217.09"/>
        <n v="13981.85"/>
        <n v="10977.21"/>
        <n v="6184.3"/>
        <n v="4890"/>
        <n v="8334.46"/>
        <n v="5478.04"/>
        <n v="1635.73"/>
        <n v="11830.61"/>
        <n v="8932.08"/>
        <n v="3554.2"/>
        <n v="12404.88"/>
        <n v="14133.04"/>
        <n v="24603.05"/>
        <n v="8944.12"/>
        <n v="9620.33"/>
        <n v="1837.28"/>
        <n v="1607.51"/>
        <n v="10043.25"/>
        <n v="4751.07"/>
        <n v="13844.51"/>
        <n v="2597.78"/>
        <n v="3180.51"/>
        <n v="9778.35"/>
        <n v="13430.27"/>
        <n v="8017.06"/>
        <n v="8116.27"/>
        <n v="3481.87"/>
        <n v="13415.04"/>
        <n v="12029.29"/>
        <n v="7639.42"/>
        <n v="36085.22"/>
        <n v="1391.53"/>
        <n v="18033.97"/>
        <n v="21659.93"/>
        <n v="38126.25"/>
        <n v="16455.71"/>
        <n v="27000.98"/>
        <n v="15006.58"/>
        <n v="42303.69"/>
        <n v="20781.49"/>
        <n v="5846.92"/>
        <n v="8302.54"/>
        <n v="1261.86"/>
        <n v="11856.41"/>
        <n v="30284.64"/>
        <n v="3176.82"/>
        <n v="4618.08"/>
        <n v="10736.87"/>
        <n v="2138.07"/>
        <n v="8964.06"/>
        <n v="9290.14"/>
        <n v="9411.01"/>
        <n v="7526.71"/>
        <n v="8522"/>
        <n v="16586.5"/>
        <n v="14988.43"/>
        <n v="1631.67"/>
        <n v="9264.8"/>
        <n v="8083.92"/>
        <n v="14692.67"/>
        <n v="10269.46"/>
        <n v="3260.2"/>
        <n v="11396.9"/>
        <n v="4185.1"/>
        <n v="8539.67"/>
        <n v="6652.53"/>
        <n v="4074.45"/>
        <n v="1621.34"/>
        <n v="19594.81"/>
        <n v="14455.64"/>
        <n v="5080.1"/>
        <n v="2134.9"/>
        <n v="7345.73"/>
        <n v="9140.95"/>
        <n v="18608.26"/>
        <n v="14418.28"/>
        <n v="28950.47"/>
        <n v="46889.26"/>
        <n v="46599.11"/>
        <n v="39125.33"/>
        <n v="2727.4"/>
        <n v="8968.33"/>
        <n v="9788.87"/>
        <n v="6555.07"/>
        <n v="7323.73"/>
        <n v="3167.46"/>
        <n v="18804.75"/>
        <n v="23082.96"/>
        <n v="4906.41"/>
        <n v="5969.72"/>
        <n v="12638.2"/>
        <n v="4243.59"/>
        <n v="13919.82"/>
        <n v="2254.8"/>
        <n v="5926.85"/>
        <n v="12592.53"/>
        <n v="2897.32"/>
        <n v="4738.27"/>
        <n v="37079.37"/>
        <n v="1149.4"/>
        <n v="28287.9"/>
        <n v="26109.33"/>
        <n v="7345.08"/>
        <n v="12731"/>
        <n v="11454.02"/>
        <n v="5910.94"/>
        <n v="4762.33"/>
        <n v="7512.27"/>
        <n v="4032.24"/>
        <n v="1969.61"/>
        <n v="1769.53"/>
        <n v="4686.39"/>
        <n v="21797"/>
        <n v="11881.97"/>
        <n v="11840.78"/>
        <n v="10601.41"/>
        <n v="7682.67"/>
        <n v="10381.48"/>
        <n v="22144.03"/>
        <n v="15230.32"/>
        <n v="11165.42"/>
        <n v="1632.04"/>
        <n v="19521.97"/>
        <n v="13224.69"/>
        <n v="12643.38"/>
        <n v="23288.93"/>
        <n v="2201.1"/>
        <n v="2497.04"/>
        <n v="2203.47"/>
        <n v="1744.47"/>
        <n v="20878.78"/>
        <n v="25382.3"/>
        <n v="28868.66"/>
        <n v="35147.53"/>
        <n v="2534.39"/>
        <n v="1534.3"/>
        <n v="1824.29"/>
        <n v="15555.19"/>
        <n v="9304.7"/>
        <n v="1622.19"/>
        <n v="9880.07"/>
        <n v="9563.03"/>
        <n v="4347.02"/>
        <n v="12475.35"/>
        <n v="1253.94"/>
        <n v="48885.14"/>
        <n v="10461.98"/>
        <n v="1748.77"/>
        <n v="24513.09"/>
        <n v="2196.47"/>
        <n v="12574.05"/>
        <n v="17942.11"/>
        <n v="1967.02"/>
        <n v="4931.65"/>
        <n v="8027.97"/>
        <n v="8211.1"/>
        <n v="13470.86"/>
        <n v="36197.7"/>
        <n v="6837.37"/>
        <n v="22218.11"/>
        <n v="32548.34"/>
        <n v="5974.38"/>
        <n v="6796.86"/>
        <n v="2643.27"/>
        <n v="3077.1"/>
        <n v="3044.21"/>
        <n v="11455.28"/>
        <n v="11763"/>
        <n v="2498.41"/>
        <n v="9361.33"/>
        <n v="1256.3"/>
        <n v="21082.16"/>
        <n v="11362.76"/>
        <n v="27724.29"/>
        <n v="8413.46"/>
        <n v="5240.77"/>
        <n v="3857.76"/>
        <n v="25656.58"/>
        <n v="3994.18"/>
        <n v="9866.3"/>
        <n v="5397.62"/>
        <n v="38245.59"/>
        <n v="11482.63"/>
        <n v="24059.68"/>
        <n v="9861.03"/>
        <n v="8342.91"/>
        <n v="1708"/>
        <n v="48675.52"/>
        <n v="14043.48"/>
        <n v="12925.89"/>
        <n v="19214.71"/>
        <n v="13831.12"/>
        <n v="6067.13"/>
        <n v="5972.38"/>
        <n v="8825.09"/>
        <n v="8233.1"/>
        <n v="27346.04"/>
        <n v="6196.45"/>
        <n v="3056.39"/>
        <n v="13887.2"/>
        <n v="63770.43"/>
        <n v="10231.5"/>
        <n v="23807.24"/>
        <n v="3268.85"/>
        <n v="11538.42"/>
        <n v="3213.62"/>
        <n v="45863.21"/>
        <n v="13390.56"/>
        <n v="3972.92"/>
        <n v="12957.12"/>
        <n v="11187.66"/>
        <n v="17878.9"/>
        <n v="3847.67"/>
        <n v="8334.59"/>
        <n v="3935.18"/>
        <n v="39983.43"/>
        <n v="1646.43"/>
        <n v="9193.84"/>
        <n v="10923.93"/>
        <n v="2494.02"/>
        <n v="9058.73"/>
        <n v="2801.26"/>
        <n v="2128.43"/>
        <n v="6373.56"/>
        <n v="7256.72"/>
        <n v="11552.9"/>
        <n v="45702.02"/>
        <n v="3761.29"/>
        <n v="2219.45"/>
        <n v="4753.64"/>
        <n v="31620"/>
        <n v="13224.06"/>
        <n v="12222.9"/>
        <n v="1665"/>
        <n v="58571.07"/>
        <n v="9724.53"/>
        <n v="3206.49"/>
        <n v="12913.99"/>
        <n v="6356.27"/>
        <n v="17626.24"/>
        <n v="1242.82"/>
        <n v="4779.6"/>
        <n v="3861.21"/>
        <n v="43943.88"/>
        <n v="13635.64"/>
        <n v="5976.83"/>
        <n v="11842.44"/>
        <n v="8428.07"/>
        <n v="2566.47"/>
        <n v="15359.1"/>
        <n v="5709.16"/>
        <n v="8823.99"/>
        <n v="7640.31"/>
        <n v="5594.85"/>
        <n v="7441.5"/>
        <n v="33471.97"/>
        <n v="1633.04"/>
        <n v="9174.14"/>
        <n v="11070.54"/>
        <n v="16085.13"/>
        <n v="17468.98"/>
        <n v="9283.56"/>
        <n v="3558.62"/>
        <n v="25678.78"/>
        <n v="4435.09"/>
        <n v="39241.44"/>
        <n v="8547.69"/>
        <n v="6571.54"/>
        <n v="2207.7"/>
        <n v="6753.04"/>
        <n v="1880.07"/>
        <n v="42969.85"/>
        <n v="11658.12"/>
        <n v="23306.55"/>
        <n v="34439.86"/>
        <n v="10713.64"/>
        <n v="3659.35"/>
        <n v="40182.25"/>
        <n v="9182.17"/>
        <n v="34617.84"/>
        <n v="12129.61"/>
        <n v="3736.46"/>
        <n v="6748.59"/>
        <n v="11326.71"/>
        <n v="11365.95"/>
        <n v="42983.46"/>
        <n v="10085.85"/>
        <n v="1977.82"/>
        <n v="3366.67"/>
        <n v="7173.36"/>
        <n v="9391.35"/>
        <n v="14410.93"/>
        <n v="2709.11"/>
        <n v="24915.05"/>
        <n v="20149.32"/>
        <n v="12949.16"/>
        <n v="6666.24"/>
        <n v="32787.46"/>
        <n v="13143.86"/>
        <n v="4466.62"/>
        <n v="18806.15"/>
        <n v="10141.14"/>
        <n v="6123.57"/>
        <n v="8252.28"/>
        <n v="1712.23"/>
        <n v="12430.95"/>
        <n v="9800.89"/>
        <n v="10579.71"/>
        <n v="8280.62"/>
        <n v="8527.53"/>
        <n v="12244.53"/>
        <n v="24667.42"/>
        <n v="3410.32"/>
        <n v="4058.71"/>
        <n v="26392.26"/>
        <n v="14394.4"/>
        <n v="6435.62"/>
        <n v="22192.44"/>
        <n v="5148.55"/>
        <n v="1136.4"/>
        <n v="27037.91"/>
        <n v="42560.43"/>
        <n v="8703.46"/>
        <n v="40003.33"/>
        <n v="45710.21"/>
        <n v="6500.24"/>
        <n v="4837.58"/>
        <n v="3943.6"/>
        <n v="4399.73"/>
        <n v="6185.32"/>
        <n v="46200.99"/>
        <n v="7222.79"/>
        <n v="12485.8"/>
        <n v="46130.53"/>
        <n v="12363.55"/>
        <n v="10156.78"/>
        <n v="2585.27"/>
        <n v="1242.26"/>
        <n v="40103.89"/>
        <n v="9863.47"/>
        <n v="4766.02"/>
        <n v="11244.38"/>
        <n v="7729.65"/>
        <n v="5438.75"/>
        <n v="26236.58"/>
        <n v="34806.47"/>
        <n v="2104.11"/>
        <n v="8068.19"/>
        <n v="2362.23"/>
        <n v="2352.97"/>
        <n v="3578"/>
        <n v="3201.25"/>
        <n v="29186.48"/>
        <n v="40273.65"/>
        <n v="10976.25"/>
        <n v="3500.61"/>
        <n v="2020.55"/>
        <n v="9541.7"/>
        <n v="9504.31"/>
        <n v="5385.34"/>
        <n v="8930.93"/>
        <n v="5375.04"/>
        <n v="44400.41"/>
        <n v="10264.44"/>
        <n v="6113.23"/>
        <n v="5469.01"/>
        <n v="1727.54"/>
        <n v="10107.22"/>
        <n v="8310.84"/>
        <n v="1984.45"/>
        <n v="2457.5"/>
        <n v="12146.97"/>
        <n v="9566.99"/>
        <n v="13112.6"/>
        <n v="10848.13"/>
        <n v="12231.61"/>
        <n v="9875.68"/>
        <n v="11264.54"/>
        <n v="12979.36"/>
        <n v="1263.25"/>
        <n v="10106.13"/>
        <n v="40932.43"/>
        <n v="6664.69"/>
        <n v="16657.72"/>
        <n v="2217.6"/>
        <n v="6781.35"/>
        <n v="19362"/>
        <n v="10065.41"/>
        <n v="4234.93"/>
        <n v="9447.25"/>
        <n v="14007.22"/>
        <n v="9583.89"/>
        <n v="40419.02"/>
        <n v="3484.33"/>
        <n v="36189.1"/>
        <n v="44585.46"/>
        <n v="8604.48"/>
        <n v="18246.5"/>
        <n v="43254.42"/>
        <n v="3757.84"/>
        <n v="8827.21"/>
        <n v="9910.36"/>
        <n v="11737.85"/>
        <n v="1627.28"/>
        <n v="8556.91"/>
        <n v="3062.51"/>
        <n v="19539.24"/>
        <n v="1906.36"/>
        <n v="14210.54"/>
        <n v="11833.78"/>
        <n v="17128.43"/>
        <n v="5031.27"/>
        <n v="7985.82"/>
        <n v="23065.42"/>
        <n v="5428.73"/>
        <n v="36307.8"/>
        <n v="3925.76"/>
        <n v="2416.96"/>
        <n v="19040.88"/>
        <n v="3070.81"/>
        <n v="9095.07"/>
        <n v="11842.62"/>
        <n v="8062.76"/>
        <n v="7050.64"/>
        <n v="14319.03"/>
        <n v="6933.24"/>
        <n v="27941.29"/>
        <n v="11150.78"/>
        <n v="12797.21"/>
        <n v="17748.51"/>
        <n v="7261.74"/>
        <n v="10560.49"/>
        <n v="6986.7"/>
        <n v="7448.4"/>
        <n v="5934.38"/>
        <n v="9869.81"/>
        <n v="18259.22"/>
        <n v="1146.8"/>
        <n v="9386.16"/>
        <n v="24520.26"/>
        <n v="4350.51"/>
        <n v="6414.18"/>
        <n v="12741.17"/>
        <n v="1917.32"/>
        <n v="5209.58"/>
        <n v="13457.96"/>
        <n v="5662.23"/>
        <n v="1252.41"/>
        <n v="2731.91"/>
        <n v="21195.82"/>
        <n v="7209.49"/>
        <n v="18310.74"/>
        <n v="4266.17"/>
        <n v="4719.52"/>
        <n v="11848.14"/>
        <n v="17904.53"/>
        <n v="7046.72"/>
        <n v="14313.85"/>
        <n v="2103.08"/>
        <n v="38792.69"/>
        <n v="1815.88"/>
        <n v="7731.86"/>
        <n v="28476.73"/>
        <n v="2136.88"/>
        <n v="1131.51"/>
        <n v="3309.79"/>
        <n v="9414.92"/>
        <n v="6360.99"/>
        <n v="11013.71"/>
        <n v="4428.89"/>
        <n v="5584.31"/>
        <n v="1877.93"/>
        <n v="2842.76"/>
        <n v="3597.6"/>
        <n v="23401.31"/>
        <n v="55135.4"/>
        <n v="7445.92"/>
        <n v="2680.95"/>
        <n v="1621.88"/>
        <n v="8219.2"/>
        <n v="12523.6"/>
        <n v="16069.08"/>
        <n v="43813.87"/>
        <n v="20773.63"/>
        <n v="39597.41"/>
        <n v="6117.49"/>
        <n v="13393.76"/>
        <n v="5266.37"/>
        <n v="4719.74"/>
        <n v="11743.93"/>
        <n v="5377.46"/>
        <n v="7160.33"/>
        <n v="4402.23"/>
        <n v="11657.72"/>
        <n v="6402.29"/>
        <n v="12622.18"/>
        <n v="1526.31"/>
        <n v="12323.94"/>
        <n v="36021.01"/>
        <n v="27533.91"/>
        <n v="10072.06"/>
        <n v="45008.96"/>
        <n v="9872.7"/>
        <n v="2438.06"/>
        <n v="2974.13"/>
        <n v="10601.63"/>
        <n v="37270.15"/>
        <n v="14119.62"/>
        <n v="42111.66"/>
        <n v="11729.68"/>
        <n v="24106.91"/>
        <n v="1875.34"/>
        <n v="40974.16"/>
        <n v="15817.99"/>
        <n v="18218.16"/>
        <n v="10965.45"/>
        <n v="46113.51"/>
        <n v="7151.09"/>
        <n v="12269.69"/>
        <n v="5458.05"/>
        <n v="8782.47"/>
        <n v="6600.36"/>
        <n v="1141.45"/>
        <n v="11576.13"/>
        <n v="13129.6"/>
        <n v="4391.65"/>
        <n v="8457.82"/>
        <n v="3392.37"/>
        <n v="5966.89"/>
        <n v="6849.03"/>
        <n v="8891.14"/>
        <n v="2690.11"/>
        <n v="26140.36"/>
        <n v="6653.79"/>
        <n v="6282.24"/>
        <n v="6311.95"/>
        <n v="3443.06"/>
        <n v="2789.06"/>
        <n v="2585.85"/>
        <n v="46255.11"/>
        <n v="4877.98"/>
        <n v="19719.69"/>
        <n v="27218.44"/>
        <n v="5272.18"/>
        <n v="1682.6"/>
        <n v="11945.13"/>
        <n v="29330.98"/>
        <n v="7243.81"/>
        <n v="10422.92"/>
        <n v="44202.65"/>
        <n v="13555"/>
        <n v="13063.88"/>
        <n v="19798.05"/>
        <n v="2221.56"/>
        <n v="1634.57"/>
        <n v="2117.34"/>
        <n v="8688.86"/>
        <n v="48673.56"/>
        <n v="4661.29"/>
        <n v="8125.78"/>
        <n v="12644.59"/>
        <n v="4564.19"/>
        <n v="4846.92"/>
        <n v="7633.72"/>
        <n v="15170.07"/>
        <n v="17496.31"/>
        <n v="2639.04"/>
        <n v="33732.69"/>
        <n v="14382.71"/>
        <n v="7626.99"/>
        <n v="5257.51"/>
        <n v="2473.33"/>
        <n v="21774.32"/>
        <n v="35069.37"/>
        <n v="13041.92"/>
        <n v="5245.23"/>
        <n v="13451.12"/>
        <n v="13462.52"/>
        <n v="5488.26"/>
        <n v="4320.41"/>
        <n v="6250.44"/>
        <n v="25333.33"/>
        <n v="2913.57"/>
        <n v="12032.33"/>
        <n v="13470.8"/>
        <n v="6289.75"/>
        <n v="2927.06"/>
        <n v="6238.3"/>
        <n v="10096.97"/>
        <n v="7348.14"/>
        <n v="4673.39"/>
        <n v="12233.83"/>
        <n v="32108.66"/>
        <n v="8965.8"/>
        <n v="2304"/>
        <n v="9487.64"/>
        <n v="1121.87"/>
        <n v="9549.57"/>
        <n v="2217.47"/>
        <n v="1628.47"/>
        <n v="12982.87"/>
        <n v="11674.13"/>
        <n v="7160.09"/>
        <n v="39047.29"/>
        <n v="6358.78"/>
        <n v="19933.46"/>
        <n v="11534.87"/>
        <n v="47462.89"/>
        <n v="4527.18"/>
        <n v="38998.55"/>
        <n v="20009.63"/>
        <n v="3875.73"/>
        <n v="41999.52"/>
        <n v="12609.89"/>
        <n v="41034.22"/>
        <n v="28468.92"/>
        <n v="2730.11"/>
        <n v="3353.28"/>
        <n v="14474.68"/>
        <n v="9500.57"/>
        <n v="26467.1"/>
        <n v="4746.34"/>
        <n v="23967.38"/>
        <n v="7518.03"/>
        <n v="3279.87"/>
        <n v="8596.83"/>
        <n v="10702.64"/>
        <n v="4992.38"/>
        <n v="2527.82"/>
        <n v="1759.34"/>
        <n v="2322.62"/>
        <n v="16138.76"/>
        <n v="7804.16"/>
        <n v="2902.91"/>
        <n v="9704.67"/>
        <n v="4889.04"/>
        <n v="25517.11"/>
        <n v="4500.34"/>
        <n v="19199.94"/>
        <n v="16796.41"/>
        <n v="4915.06"/>
        <n v="7624.63"/>
        <n v="8410.05"/>
        <n v="28340.19"/>
        <n v="4518.83"/>
        <n v="14571.89"/>
        <n v="3378.91"/>
        <n v="7144.86"/>
        <n v="10118.42"/>
        <n v="5484.47"/>
        <n v="16420.49"/>
        <n v="7986.48"/>
        <n v="7418.52"/>
        <n v="13887.97"/>
        <n v="6551.75"/>
        <n v="5267.82"/>
        <n v="17361.77"/>
        <n v="34472.84"/>
        <n v="1972.95"/>
        <n v="21232.18"/>
        <n v="8627.54"/>
        <n v="4433.39"/>
        <n v="4438.26"/>
        <n v="24915.22"/>
        <n v="23241.47"/>
        <n v="9957.72"/>
        <n v="8269.04"/>
        <n v="18767.74"/>
        <n v="36580.28"/>
        <n v="8765.25"/>
        <n v="5383.54"/>
        <n v="12124.99"/>
        <n v="2709.24"/>
        <n v="3987.93"/>
        <n v="12495.29"/>
        <n v="26018.95"/>
        <n v="8798.59"/>
        <n v="35595.59"/>
        <n v="42211.14"/>
        <n v="1711.03"/>
        <n v="8569.86"/>
        <n v="2020.18"/>
        <n v="16450.89"/>
        <n v="21595.38"/>
        <n v="9850.43"/>
        <n v="6877.98"/>
        <n v="21677.28"/>
        <n v="44423.8"/>
        <n v="4137.52"/>
        <n v="13747.87"/>
        <n v="12950.07"/>
        <n v="12094.48"/>
        <n v="37484.45"/>
        <n v="39725.52"/>
        <n v="2250.84"/>
        <n v="22493.66"/>
        <n v="20234.85"/>
        <n v="1704.7"/>
        <n v="33475.82"/>
        <n v="3161.45"/>
        <n v="11394.07"/>
        <n v="21880.82"/>
        <n v="7325.05"/>
        <n v="44501.4"/>
        <n v="3594.17"/>
        <n v="39727.61"/>
        <n v="8023.14"/>
        <n v="14394.56"/>
        <n v="9288.03"/>
        <n v="25309.49"/>
        <n v="3353.47"/>
        <n v="10594.5"/>
        <n v="8277.52"/>
        <n v="17929.3"/>
        <n v="2480.98"/>
        <n v="4462.72"/>
        <n v="1981.58"/>
        <n v="11554.22"/>
        <n v="48970.25"/>
        <n v="6548.2"/>
        <n v="5708.87"/>
        <n v="7045.5"/>
        <n v="8978.19"/>
        <n v="5757.41"/>
        <n v="14349.85"/>
        <n v="10928.85"/>
        <n v="39871.7"/>
        <n v="13974.46"/>
        <n v="1909.53"/>
        <n v="12096.65"/>
        <n v="13204.29"/>
        <n v="4562.84"/>
        <n v="8551.35"/>
        <n v="2102.26"/>
        <n v="34672.15"/>
        <n v="15161.53"/>
        <n v="11884.05"/>
        <n v="4454.4"/>
        <n v="5855.9"/>
        <n v="4076.5"/>
        <n v="15019.76"/>
        <n v="19023.26"/>
        <n v="10796.35"/>
        <n v="11353.23"/>
        <n v="9748.91"/>
        <n v="10577.09"/>
        <n v="41676.08"/>
        <n v="11286.54"/>
        <n v="3591.48"/>
        <n v="33907.55"/>
        <n v="11299.34"/>
        <n v="4561.19"/>
        <n v="44641.2"/>
        <n v="1674.63"/>
        <n v="23045.57"/>
        <n v="3227.12"/>
        <n v="16776.3"/>
        <n v="11253.42"/>
        <n v="3471.41"/>
        <n v="11363.28"/>
        <n v="20420.6"/>
        <n v="10338.93"/>
        <n v="8988.16"/>
        <n v="10493.95"/>
        <n v="2904.09"/>
        <n v="8605.36"/>
        <n v="11512.41"/>
        <n v="41949.24"/>
        <n v="24180.93"/>
        <n v="5312.17"/>
        <n v="2396.1"/>
        <n v="10807.49"/>
        <n v="9222.4"/>
        <n v="36124.57"/>
        <n v="38282.75"/>
        <n v="5693.43"/>
        <n v="34166.27"/>
        <n v="8347.16"/>
        <n v="46661.44"/>
        <n v="18903.49"/>
        <n v="40904.2"/>
        <n v="14254.61"/>
        <n v="10214.64"/>
        <n v="5836.52"/>
        <n v="14358.36"/>
        <n v="1728.9"/>
        <n v="8582.3"/>
        <n v="3693.43"/>
        <n v="20709.02"/>
        <n v="9991.04"/>
        <n v="19673.34"/>
        <n v="11085.59"/>
        <n v="7623.52"/>
        <n v="3176.29"/>
        <n v="3704.35"/>
        <n v="36898.73"/>
        <n v="9048.03"/>
        <n v="7954.52"/>
        <n v="27117.99"/>
        <n v="6338.08"/>
        <n v="9630.4"/>
        <n v="11289.11"/>
        <n v="52590.83"/>
        <n v="2261.57"/>
        <n v="10791.96"/>
        <n v="5979.73"/>
        <n v="2203.74"/>
        <n v="12235.84"/>
        <n v="40941.29"/>
        <n v="5630.46"/>
        <n v="11015.17"/>
        <n v="7228.22"/>
        <n v="39722.75"/>
        <n v="14426.07"/>
        <n v="2459.72"/>
        <n v="3989.84"/>
        <n v="7727.25"/>
        <n v="5124.19"/>
        <n v="18963.17"/>
        <n v="2200.83"/>
        <n v="7153.55"/>
        <n v="5227.99"/>
        <n v="10982.5"/>
        <n v="4529.48"/>
        <n v="4670.64"/>
        <n v="6112.35"/>
        <n v="17178.68"/>
        <n v="22478.6"/>
        <n v="11093.62"/>
        <n v="6457.84"/>
        <n v="4433.92"/>
        <n v="2154.36"/>
        <n v="23887.66"/>
        <n v="6496.89"/>
        <n v="2899.49"/>
        <n v="19350.37"/>
        <n v="7650.77"/>
        <n v="2850.68"/>
        <n v="2632.99"/>
        <n v="9447.38"/>
        <n v="18328.24"/>
        <n v="8603.82"/>
        <n v="37465.34"/>
        <n v="13844.8"/>
        <n v="21771.34"/>
        <n v="13126.68"/>
        <n v="5327.4"/>
        <n v="13725.47"/>
        <n v="13019.16"/>
        <n v="8671.19"/>
        <n v="4134.08"/>
        <n v="18838.7"/>
        <n v="33307.55"/>
        <n v="5699.84"/>
        <n v="6393.6"/>
        <n v="4934.71"/>
        <n v="6198.75"/>
        <n v="8733.23"/>
        <n v="2055.32"/>
        <n v="9964.06"/>
        <n v="18223.45"/>
        <n v="5116.5"/>
        <n v="36910.61"/>
        <n v="38415.47"/>
        <n v="20296.86"/>
        <n v="12347.17"/>
        <n v="5373.36"/>
        <n v="23563.02"/>
        <n v="1702.46"/>
        <n v="10806.84"/>
        <n v="3956.07"/>
        <n v="12890.06"/>
        <n v="5415.66"/>
        <n v="4058.12"/>
        <n v="41661.6"/>
        <n v="7537.16"/>
        <n v="4718.2"/>
        <n v="6593.51"/>
        <n v="8442.67"/>
        <n v="26125.67"/>
        <n v="6858.48"/>
        <n v="4795.66"/>
        <n v="6640.54"/>
        <n v="7162.01"/>
        <n v="10594.23"/>
        <n v="11938.26"/>
        <n v="60021.4"/>
        <n v="20167.34"/>
        <n v="12479.71"/>
        <n v="11345.52"/>
        <n v="8515.76"/>
        <n v="2699.57"/>
        <n v="14449.85"/>
        <n v="12224.35"/>
        <n v="6985.51"/>
        <n v="3238.44"/>
        <n v="47269.85"/>
        <n v="49577.66"/>
        <n v="4296.27"/>
        <n v="3171.61"/>
        <n v="1135.94"/>
        <n v="5615.37"/>
        <n v="9101.8"/>
        <n v="6059.17"/>
        <n v="1633.96"/>
        <n v="37607.53"/>
        <n v="18648.42"/>
        <n v="1241.57"/>
        <n v="16232.85"/>
        <n v="15828.82"/>
        <n v="4415.16"/>
        <n v="6474.01"/>
        <n v="11436.74"/>
        <n v="11305.93"/>
        <n v="30063.58"/>
        <n v="10197.77"/>
        <n v="4544.23"/>
        <n v="3277.16"/>
        <n v="6770.19"/>
        <n v="7337.75"/>
        <n v="10370.91"/>
        <n v="26926.51"/>
        <n v="10704.47"/>
        <n v="34254.05"/>
        <n v="1880.49"/>
        <n v="8615.3"/>
        <n v="3292.53"/>
        <n v="3021.81"/>
        <n v="14478.33"/>
        <n v="4747.05"/>
        <n v="17043.34"/>
        <n v="10959.33"/>
        <n v="2741.95"/>
        <n v="4357.04"/>
        <n v="22462.04"/>
        <n v="4189.11"/>
        <n v="8283.68"/>
        <n v="24535.7"/>
        <n v="14283.46"/>
        <n v="1720.35"/>
        <n v="47403.88"/>
        <n v="8534.67"/>
        <n v="3732.63"/>
        <n v="5472.45"/>
        <n v="38344.57"/>
        <n v="7147.47"/>
        <n v="7133.9"/>
        <n v="34828.65"/>
        <n v="1515.34"/>
        <n v="9301.89"/>
        <n v="11931.13"/>
        <n v="1964.78"/>
        <n v="1708.93"/>
        <n v="4340.44"/>
        <n v="5261.47"/>
        <n v="2710.83"/>
        <n v="62592.87"/>
        <n v="46718.16"/>
        <n v="3208.79"/>
        <n v="37829.72"/>
        <n v="21259.38"/>
        <n v="2464.62"/>
        <n v="16115.3"/>
        <n v="21472.48"/>
        <n v="33900.65"/>
        <n v="6875.96"/>
        <n v="6940.91"/>
        <n v="4571.41"/>
        <n v="4536.26"/>
        <n v="36397.58"/>
        <n v="18765.88"/>
        <n v="11272.33"/>
        <n v="1731.68"/>
        <n v="1163.46"/>
        <n v="19496.72"/>
        <n v="7201.7"/>
        <n v="5425.02"/>
        <n v="28101.33"/>
        <n v="12981.35"/>
        <n v="43896.38"/>
        <n v="4239.89"/>
        <n v="13143.34"/>
        <n v="7050.02"/>
        <n v="9377.9"/>
        <n v="22395.74"/>
        <n v="10325.21"/>
        <n v="12629.17"/>
        <n v="10795.94"/>
        <n v="11411.69"/>
        <n v="10600.55"/>
        <n v="2205.98"/>
        <n v="1629.83"/>
        <n v="2007.95"/>
        <n v="29141.36"/>
      </sharedItems>
    </cacheField>
    <cacheField name="Age Group" numFmtId="0">
      <sharedItems count="4">
        <s v="Young Adults"/>
        <s v="Adults"/>
        <s v="Seniors"/>
        <s v="Elderl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8">
  <r>
    <x v="0"/>
    <x v="0"/>
    <x v="0"/>
    <x v="0"/>
    <x v="0"/>
    <x v="0"/>
    <x v="0"/>
    <x v="0"/>
  </r>
  <r>
    <x v="1"/>
    <x v="1"/>
    <x v="1"/>
    <x v="1"/>
    <x v="1"/>
    <x v="1"/>
    <x v="1"/>
    <x v="0"/>
  </r>
  <r>
    <x v="2"/>
    <x v="1"/>
    <x v="2"/>
    <x v="2"/>
    <x v="1"/>
    <x v="1"/>
    <x v="2"/>
    <x v="0"/>
  </r>
  <r>
    <x v="3"/>
    <x v="1"/>
    <x v="3"/>
    <x v="0"/>
    <x v="1"/>
    <x v="2"/>
    <x v="3"/>
    <x v="1"/>
  </r>
  <r>
    <x v="4"/>
    <x v="1"/>
    <x v="4"/>
    <x v="0"/>
    <x v="1"/>
    <x v="2"/>
    <x v="4"/>
    <x v="1"/>
  </r>
  <r>
    <x v="5"/>
    <x v="0"/>
    <x v="5"/>
    <x v="0"/>
    <x v="1"/>
    <x v="1"/>
    <x v="5"/>
    <x v="1"/>
  </r>
  <r>
    <x v="6"/>
    <x v="0"/>
    <x v="6"/>
    <x v="1"/>
    <x v="1"/>
    <x v="1"/>
    <x v="6"/>
    <x v="2"/>
  </r>
  <r>
    <x v="7"/>
    <x v="0"/>
    <x v="7"/>
    <x v="2"/>
    <x v="1"/>
    <x v="2"/>
    <x v="7"/>
    <x v="1"/>
  </r>
  <r>
    <x v="7"/>
    <x v="1"/>
    <x v="8"/>
    <x v="3"/>
    <x v="1"/>
    <x v="3"/>
    <x v="8"/>
    <x v="1"/>
  </r>
  <r>
    <x v="8"/>
    <x v="0"/>
    <x v="9"/>
    <x v="0"/>
    <x v="1"/>
    <x v="2"/>
    <x v="9"/>
    <x v="2"/>
  </r>
  <r>
    <x v="9"/>
    <x v="1"/>
    <x v="10"/>
    <x v="0"/>
    <x v="1"/>
    <x v="3"/>
    <x v="10"/>
    <x v="0"/>
  </r>
  <r>
    <x v="10"/>
    <x v="0"/>
    <x v="11"/>
    <x v="0"/>
    <x v="0"/>
    <x v="1"/>
    <x v="11"/>
    <x v="3"/>
  </r>
  <r>
    <x v="11"/>
    <x v="1"/>
    <x v="12"/>
    <x v="0"/>
    <x v="1"/>
    <x v="0"/>
    <x v="12"/>
    <x v="0"/>
  </r>
  <r>
    <x v="12"/>
    <x v="0"/>
    <x v="13"/>
    <x v="0"/>
    <x v="1"/>
    <x v="1"/>
    <x v="13"/>
    <x v="2"/>
  </r>
  <r>
    <x v="13"/>
    <x v="1"/>
    <x v="14"/>
    <x v="0"/>
    <x v="0"/>
    <x v="1"/>
    <x v="14"/>
    <x v="0"/>
  </r>
  <r>
    <x v="0"/>
    <x v="1"/>
    <x v="15"/>
    <x v="1"/>
    <x v="1"/>
    <x v="0"/>
    <x v="15"/>
    <x v="0"/>
  </r>
  <r>
    <x v="14"/>
    <x v="0"/>
    <x v="16"/>
    <x v="1"/>
    <x v="1"/>
    <x v="3"/>
    <x v="16"/>
    <x v="2"/>
  </r>
  <r>
    <x v="11"/>
    <x v="1"/>
    <x v="17"/>
    <x v="0"/>
    <x v="1"/>
    <x v="3"/>
    <x v="17"/>
    <x v="0"/>
  </r>
  <r>
    <x v="12"/>
    <x v="1"/>
    <x v="18"/>
    <x v="0"/>
    <x v="1"/>
    <x v="0"/>
    <x v="18"/>
    <x v="2"/>
  </r>
  <r>
    <x v="15"/>
    <x v="1"/>
    <x v="19"/>
    <x v="0"/>
    <x v="0"/>
    <x v="0"/>
    <x v="19"/>
    <x v="0"/>
  </r>
  <r>
    <x v="8"/>
    <x v="0"/>
    <x v="20"/>
    <x v="0"/>
    <x v="1"/>
    <x v="3"/>
    <x v="20"/>
    <x v="2"/>
  </r>
  <r>
    <x v="15"/>
    <x v="0"/>
    <x v="21"/>
    <x v="1"/>
    <x v="1"/>
    <x v="0"/>
    <x v="21"/>
    <x v="0"/>
  </r>
  <r>
    <x v="1"/>
    <x v="1"/>
    <x v="22"/>
    <x v="0"/>
    <x v="1"/>
    <x v="1"/>
    <x v="22"/>
    <x v="0"/>
  </r>
  <r>
    <x v="16"/>
    <x v="0"/>
    <x v="23"/>
    <x v="1"/>
    <x v="0"/>
    <x v="3"/>
    <x v="23"/>
    <x v="1"/>
  </r>
  <r>
    <x v="7"/>
    <x v="1"/>
    <x v="24"/>
    <x v="3"/>
    <x v="1"/>
    <x v="2"/>
    <x v="24"/>
    <x v="1"/>
  </r>
  <r>
    <x v="17"/>
    <x v="0"/>
    <x v="25"/>
    <x v="2"/>
    <x v="1"/>
    <x v="1"/>
    <x v="25"/>
    <x v="2"/>
  </r>
  <r>
    <x v="18"/>
    <x v="0"/>
    <x v="26"/>
    <x v="0"/>
    <x v="1"/>
    <x v="3"/>
    <x v="26"/>
    <x v="3"/>
  </r>
  <r>
    <x v="19"/>
    <x v="0"/>
    <x v="27"/>
    <x v="3"/>
    <x v="1"/>
    <x v="2"/>
    <x v="27"/>
    <x v="2"/>
  </r>
  <r>
    <x v="11"/>
    <x v="1"/>
    <x v="28"/>
    <x v="1"/>
    <x v="1"/>
    <x v="2"/>
    <x v="28"/>
    <x v="0"/>
  </r>
  <r>
    <x v="5"/>
    <x v="1"/>
    <x v="29"/>
    <x v="3"/>
    <x v="0"/>
    <x v="0"/>
    <x v="29"/>
    <x v="1"/>
  </r>
  <r>
    <x v="20"/>
    <x v="1"/>
    <x v="30"/>
    <x v="0"/>
    <x v="0"/>
    <x v="0"/>
    <x v="30"/>
    <x v="0"/>
  </r>
  <r>
    <x v="1"/>
    <x v="0"/>
    <x v="31"/>
    <x v="0"/>
    <x v="1"/>
    <x v="3"/>
    <x v="31"/>
    <x v="0"/>
  </r>
  <r>
    <x v="0"/>
    <x v="0"/>
    <x v="32"/>
    <x v="4"/>
    <x v="1"/>
    <x v="0"/>
    <x v="32"/>
    <x v="0"/>
  </r>
  <r>
    <x v="18"/>
    <x v="1"/>
    <x v="33"/>
    <x v="0"/>
    <x v="1"/>
    <x v="2"/>
    <x v="33"/>
    <x v="3"/>
  </r>
  <r>
    <x v="2"/>
    <x v="1"/>
    <x v="34"/>
    <x v="1"/>
    <x v="0"/>
    <x v="0"/>
    <x v="34"/>
    <x v="0"/>
  </r>
  <r>
    <x v="0"/>
    <x v="1"/>
    <x v="35"/>
    <x v="0"/>
    <x v="1"/>
    <x v="2"/>
    <x v="35"/>
    <x v="0"/>
  </r>
  <r>
    <x v="10"/>
    <x v="0"/>
    <x v="36"/>
    <x v="2"/>
    <x v="1"/>
    <x v="2"/>
    <x v="36"/>
    <x v="3"/>
  </r>
  <r>
    <x v="21"/>
    <x v="1"/>
    <x v="37"/>
    <x v="0"/>
    <x v="1"/>
    <x v="0"/>
    <x v="37"/>
    <x v="0"/>
  </r>
  <r>
    <x v="22"/>
    <x v="1"/>
    <x v="38"/>
    <x v="1"/>
    <x v="0"/>
    <x v="3"/>
    <x v="38"/>
    <x v="1"/>
  </r>
  <r>
    <x v="8"/>
    <x v="1"/>
    <x v="39"/>
    <x v="0"/>
    <x v="0"/>
    <x v="0"/>
    <x v="39"/>
    <x v="2"/>
  </r>
  <r>
    <x v="23"/>
    <x v="0"/>
    <x v="40"/>
    <x v="0"/>
    <x v="1"/>
    <x v="3"/>
    <x v="40"/>
    <x v="0"/>
  </r>
  <r>
    <x v="5"/>
    <x v="0"/>
    <x v="41"/>
    <x v="3"/>
    <x v="1"/>
    <x v="1"/>
    <x v="41"/>
    <x v="1"/>
  </r>
  <r>
    <x v="24"/>
    <x v="1"/>
    <x v="42"/>
    <x v="1"/>
    <x v="1"/>
    <x v="1"/>
    <x v="42"/>
    <x v="1"/>
  </r>
  <r>
    <x v="7"/>
    <x v="0"/>
    <x v="43"/>
    <x v="3"/>
    <x v="1"/>
    <x v="1"/>
    <x v="43"/>
    <x v="1"/>
  </r>
  <r>
    <x v="25"/>
    <x v="1"/>
    <x v="44"/>
    <x v="1"/>
    <x v="1"/>
    <x v="3"/>
    <x v="44"/>
    <x v="1"/>
  </r>
  <r>
    <x v="19"/>
    <x v="1"/>
    <x v="45"/>
    <x v="0"/>
    <x v="1"/>
    <x v="0"/>
    <x v="45"/>
    <x v="2"/>
  </r>
  <r>
    <x v="1"/>
    <x v="0"/>
    <x v="46"/>
    <x v="3"/>
    <x v="1"/>
    <x v="3"/>
    <x v="46"/>
    <x v="0"/>
  </r>
  <r>
    <x v="2"/>
    <x v="0"/>
    <x v="47"/>
    <x v="0"/>
    <x v="1"/>
    <x v="2"/>
    <x v="47"/>
    <x v="0"/>
  </r>
  <r>
    <x v="8"/>
    <x v="0"/>
    <x v="48"/>
    <x v="0"/>
    <x v="1"/>
    <x v="1"/>
    <x v="48"/>
    <x v="2"/>
  </r>
  <r>
    <x v="26"/>
    <x v="1"/>
    <x v="49"/>
    <x v="1"/>
    <x v="0"/>
    <x v="1"/>
    <x v="49"/>
    <x v="1"/>
  </r>
  <r>
    <x v="1"/>
    <x v="0"/>
    <x v="50"/>
    <x v="0"/>
    <x v="1"/>
    <x v="3"/>
    <x v="50"/>
    <x v="0"/>
  </r>
  <r>
    <x v="27"/>
    <x v="0"/>
    <x v="51"/>
    <x v="3"/>
    <x v="1"/>
    <x v="2"/>
    <x v="51"/>
    <x v="0"/>
  </r>
  <r>
    <x v="28"/>
    <x v="1"/>
    <x v="52"/>
    <x v="1"/>
    <x v="0"/>
    <x v="0"/>
    <x v="52"/>
    <x v="2"/>
  </r>
  <r>
    <x v="26"/>
    <x v="1"/>
    <x v="53"/>
    <x v="0"/>
    <x v="0"/>
    <x v="1"/>
    <x v="53"/>
    <x v="1"/>
  </r>
  <r>
    <x v="29"/>
    <x v="0"/>
    <x v="54"/>
    <x v="2"/>
    <x v="1"/>
    <x v="2"/>
    <x v="54"/>
    <x v="1"/>
  </r>
  <r>
    <x v="30"/>
    <x v="1"/>
    <x v="55"/>
    <x v="3"/>
    <x v="0"/>
    <x v="2"/>
    <x v="55"/>
    <x v="2"/>
  </r>
  <r>
    <x v="30"/>
    <x v="0"/>
    <x v="56"/>
    <x v="3"/>
    <x v="1"/>
    <x v="3"/>
    <x v="56"/>
    <x v="2"/>
  </r>
  <r>
    <x v="1"/>
    <x v="1"/>
    <x v="57"/>
    <x v="3"/>
    <x v="0"/>
    <x v="1"/>
    <x v="57"/>
    <x v="0"/>
  </r>
  <r>
    <x v="31"/>
    <x v="0"/>
    <x v="58"/>
    <x v="1"/>
    <x v="0"/>
    <x v="1"/>
    <x v="58"/>
    <x v="2"/>
  </r>
  <r>
    <x v="16"/>
    <x v="0"/>
    <x v="59"/>
    <x v="3"/>
    <x v="1"/>
    <x v="2"/>
    <x v="59"/>
    <x v="1"/>
  </r>
  <r>
    <x v="32"/>
    <x v="1"/>
    <x v="60"/>
    <x v="2"/>
    <x v="1"/>
    <x v="3"/>
    <x v="60"/>
    <x v="1"/>
  </r>
  <r>
    <x v="9"/>
    <x v="1"/>
    <x v="61"/>
    <x v="5"/>
    <x v="1"/>
    <x v="1"/>
    <x v="61"/>
    <x v="0"/>
  </r>
  <r>
    <x v="33"/>
    <x v="1"/>
    <x v="62"/>
    <x v="1"/>
    <x v="1"/>
    <x v="2"/>
    <x v="62"/>
    <x v="3"/>
  </r>
  <r>
    <x v="2"/>
    <x v="0"/>
    <x v="63"/>
    <x v="1"/>
    <x v="1"/>
    <x v="2"/>
    <x v="63"/>
    <x v="0"/>
  </r>
  <r>
    <x v="34"/>
    <x v="0"/>
    <x v="64"/>
    <x v="0"/>
    <x v="0"/>
    <x v="2"/>
    <x v="64"/>
    <x v="0"/>
  </r>
  <r>
    <x v="0"/>
    <x v="0"/>
    <x v="65"/>
    <x v="0"/>
    <x v="1"/>
    <x v="0"/>
    <x v="65"/>
    <x v="0"/>
  </r>
  <r>
    <x v="35"/>
    <x v="0"/>
    <x v="66"/>
    <x v="3"/>
    <x v="1"/>
    <x v="0"/>
    <x v="66"/>
    <x v="3"/>
  </r>
  <r>
    <x v="29"/>
    <x v="1"/>
    <x v="31"/>
    <x v="1"/>
    <x v="1"/>
    <x v="2"/>
    <x v="67"/>
    <x v="1"/>
  </r>
  <r>
    <x v="29"/>
    <x v="0"/>
    <x v="67"/>
    <x v="0"/>
    <x v="1"/>
    <x v="1"/>
    <x v="68"/>
    <x v="1"/>
  </r>
  <r>
    <x v="2"/>
    <x v="1"/>
    <x v="68"/>
    <x v="2"/>
    <x v="0"/>
    <x v="1"/>
    <x v="69"/>
    <x v="0"/>
  </r>
  <r>
    <x v="13"/>
    <x v="0"/>
    <x v="69"/>
    <x v="0"/>
    <x v="0"/>
    <x v="1"/>
    <x v="70"/>
    <x v="0"/>
  </r>
  <r>
    <x v="5"/>
    <x v="1"/>
    <x v="70"/>
    <x v="4"/>
    <x v="1"/>
    <x v="3"/>
    <x v="71"/>
    <x v="1"/>
  </r>
  <r>
    <x v="31"/>
    <x v="0"/>
    <x v="71"/>
    <x v="2"/>
    <x v="1"/>
    <x v="0"/>
    <x v="72"/>
    <x v="2"/>
  </r>
  <r>
    <x v="30"/>
    <x v="1"/>
    <x v="72"/>
    <x v="1"/>
    <x v="1"/>
    <x v="1"/>
    <x v="73"/>
    <x v="2"/>
  </r>
  <r>
    <x v="36"/>
    <x v="1"/>
    <x v="73"/>
    <x v="3"/>
    <x v="1"/>
    <x v="0"/>
    <x v="74"/>
    <x v="1"/>
  </r>
  <r>
    <x v="37"/>
    <x v="1"/>
    <x v="74"/>
    <x v="0"/>
    <x v="1"/>
    <x v="2"/>
    <x v="75"/>
    <x v="2"/>
  </r>
  <r>
    <x v="38"/>
    <x v="0"/>
    <x v="75"/>
    <x v="1"/>
    <x v="1"/>
    <x v="1"/>
    <x v="76"/>
    <x v="0"/>
  </r>
  <r>
    <x v="27"/>
    <x v="1"/>
    <x v="76"/>
    <x v="0"/>
    <x v="1"/>
    <x v="1"/>
    <x v="77"/>
    <x v="0"/>
  </r>
  <r>
    <x v="20"/>
    <x v="0"/>
    <x v="77"/>
    <x v="0"/>
    <x v="1"/>
    <x v="3"/>
    <x v="78"/>
    <x v="0"/>
  </r>
  <r>
    <x v="24"/>
    <x v="0"/>
    <x v="36"/>
    <x v="0"/>
    <x v="1"/>
    <x v="2"/>
    <x v="79"/>
    <x v="1"/>
  </r>
  <r>
    <x v="5"/>
    <x v="1"/>
    <x v="78"/>
    <x v="1"/>
    <x v="1"/>
    <x v="3"/>
    <x v="80"/>
    <x v="1"/>
  </r>
  <r>
    <x v="39"/>
    <x v="0"/>
    <x v="79"/>
    <x v="0"/>
    <x v="1"/>
    <x v="3"/>
    <x v="81"/>
    <x v="1"/>
  </r>
  <r>
    <x v="20"/>
    <x v="1"/>
    <x v="80"/>
    <x v="1"/>
    <x v="0"/>
    <x v="1"/>
    <x v="82"/>
    <x v="0"/>
  </r>
  <r>
    <x v="28"/>
    <x v="0"/>
    <x v="81"/>
    <x v="5"/>
    <x v="1"/>
    <x v="2"/>
    <x v="83"/>
    <x v="2"/>
  </r>
  <r>
    <x v="7"/>
    <x v="0"/>
    <x v="82"/>
    <x v="3"/>
    <x v="0"/>
    <x v="0"/>
    <x v="84"/>
    <x v="1"/>
  </r>
  <r>
    <x v="39"/>
    <x v="1"/>
    <x v="83"/>
    <x v="3"/>
    <x v="0"/>
    <x v="2"/>
    <x v="85"/>
    <x v="1"/>
  </r>
  <r>
    <x v="37"/>
    <x v="0"/>
    <x v="84"/>
    <x v="0"/>
    <x v="0"/>
    <x v="2"/>
    <x v="86"/>
    <x v="2"/>
  </r>
  <r>
    <x v="12"/>
    <x v="0"/>
    <x v="85"/>
    <x v="0"/>
    <x v="1"/>
    <x v="0"/>
    <x v="87"/>
    <x v="2"/>
  </r>
  <r>
    <x v="6"/>
    <x v="0"/>
    <x v="7"/>
    <x v="0"/>
    <x v="1"/>
    <x v="2"/>
    <x v="88"/>
    <x v="2"/>
  </r>
  <r>
    <x v="19"/>
    <x v="0"/>
    <x v="86"/>
    <x v="0"/>
    <x v="1"/>
    <x v="2"/>
    <x v="89"/>
    <x v="2"/>
  </r>
  <r>
    <x v="27"/>
    <x v="0"/>
    <x v="87"/>
    <x v="0"/>
    <x v="1"/>
    <x v="1"/>
    <x v="90"/>
    <x v="0"/>
  </r>
  <r>
    <x v="31"/>
    <x v="0"/>
    <x v="88"/>
    <x v="1"/>
    <x v="1"/>
    <x v="2"/>
    <x v="91"/>
    <x v="2"/>
  </r>
  <r>
    <x v="17"/>
    <x v="1"/>
    <x v="8"/>
    <x v="2"/>
    <x v="0"/>
    <x v="3"/>
    <x v="92"/>
    <x v="2"/>
  </r>
  <r>
    <x v="22"/>
    <x v="1"/>
    <x v="47"/>
    <x v="3"/>
    <x v="1"/>
    <x v="2"/>
    <x v="93"/>
    <x v="1"/>
  </r>
  <r>
    <x v="33"/>
    <x v="0"/>
    <x v="89"/>
    <x v="3"/>
    <x v="0"/>
    <x v="0"/>
    <x v="94"/>
    <x v="3"/>
  </r>
  <r>
    <x v="2"/>
    <x v="0"/>
    <x v="80"/>
    <x v="1"/>
    <x v="1"/>
    <x v="1"/>
    <x v="95"/>
    <x v="0"/>
  </r>
  <r>
    <x v="40"/>
    <x v="0"/>
    <x v="43"/>
    <x v="2"/>
    <x v="1"/>
    <x v="0"/>
    <x v="96"/>
    <x v="2"/>
  </r>
  <r>
    <x v="19"/>
    <x v="1"/>
    <x v="90"/>
    <x v="0"/>
    <x v="1"/>
    <x v="1"/>
    <x v="97"/>
    <x v="2"/>
  </r>
  <r>
    <x v="12"/>
    <x v="1"/>
    <x v="91"/>
    <x v="0"/>
    <x v="0"/>
    <x v="3"/>
    <x v="98"/>
    <x v="2"/>
  </r>
  <r>
    <x v="25"/>
    <x v="1"/>
    <x v="92"/>
    <x v="0"/>
    <x v="0"/>
    <x v="0"/>
    <x v="99"/>
    <x v="1"/>
  </r>
  <r>
    <x v="24"/>
    <x v="0"/>
    <x v="93"/>
    <x v="0"/>
    <x v="1"/>
    <x v="0"/>
    <x v="100"/>
    <x v="1"/>
  </r>
  <r>
    <x v="15"/>
    <x v="1"/>
    <x v="94"/>
    <x v="0"/>
    <x v="1"/>
    <x v="3"/>
    <x v="101"/>
    <x v="0"/>
  </r>
  <r>
    <x v="1"/>
    <x v="0"/>
    <x v="95"/>
    <x v="0"/>
    <x v="1"/>
    <x v="3"/>
    <x v="102"/>
    <x v="0"/>
  </r>
  <r>
    <x v="35"/>
    <x v="0"/>
    <x v="96"/>
    <x v="2"/>
    <x v="0"/>
    <x v="1"/>
    <x v="103"/>
    <x v="3"/>
  </r>
  <r>
    <x v="16"/>
    <x v="0"/>
    <x v="97"/>
    <x v="1"/>
    <x v="1"/>
    <x v="0"/>
    <x v="104"/>
    <x v="1"/>
  </r>
  <r>
    <x v="34"/>
    <x v="1"/>
    <x v="24"/>
    <x v="1"/>
    <x v="0"/>
    <x v="2"/>
    <x v="105"/>
    <x v="0"/>
  </r>
  <r>
    <x v="0"/>
    <x v="0"/>
    <x v="98"/>
    <x v="1"/>
    <x v="1"/>
    <x v="0"/>
    <x v="106"/>
    <x v="0"/>
  </r>
  <r>
    <x v="21"/>
    <x v="1"/>
    <x v="99"/>
    <x v="3"/>
    <x v="1"/>
    <x v="2"/>
    <x v="107"/>
    <x v="0"/>
  </r>
  <r>
    <x v="38"/>
    <x v="1"/>
    <x v="100"/>
    <x v="0"/>
    <x v="1"/>
    <x v="1"/>
    <x v="108"/>
    <x v="0"/>
  </r>
  <r>
    <x v="18"/>
    <x v="1"/>
    <x v="101"/>
    <x v="0"/>
    <x v="0"/>
    <x v="1"/>
    <x v="109"/>
    <x v="3"/>
  </r>
  <r>
    <x v="40"/>
    <x v="1"/>
    <x v="51"/>
    <x v="1"/>
    <x v="1"/>
    <x v="2"/>
    <x v="110"/>
    <x v="2"/>
  </r>
  <r>
    <x v="19"/>
    <x v="0"/>
    <x v="102"/>
    <x v="3"/>
    <x v="1"/>
    <x v="0"/>
    <x v="111"/>
    <x v="2"/>
  </r>
  <r>
    <x v="7"/>
    <x v="1"/>
    <x v="43"/>
    <x v="0"/>
    <x v="1"/>
    <x v="0"/>
    <x v="112"/>
    <x v="1"/>
  </r>
  <r>
    <x v="27"/>
    <x v="0"/>
    <x v="103"/>
    <x v="0"/>
    <x v="1"/>
    <x v="2"/>
    <x v="113"/>
    <x v="0"/>
  </r>
  <r>
    <x v="14"/>
    <x v="1"/>
    <x v="104"/>
    <x v="2"/>
    <x v="1"/>
    <x v="3"/>
    <x v="114"/>
    <x v="2"/>
  </r>
  <r>
    <x v="8"/>
    <x v="1"/>
    <x v="105"/>
    <x v="0"/>
    <x v="1"/>
    <x v="3"/>
    <x v="115"/>
    <x v="2"/>
  </r>
  <r>
    <x v="30"/>
    <x v="1"/>
    <x v="106"/>
    <x v="0"/>
    <x v="1"/>
    <x v="1"/>
    <x v="116"/>
    <x v="2"/>
  </r>
  <r>
    <x v="38"/>
    <x v="0"/>
    <x v="100"/>
    <x v="1"/>
    <x v="0"/>
    <x v="1"/>
    <x v="117"/>
    <x v="0"/>
  </r>
  <r>
    <x v="41"/>
    <x v="0"/>
    <x v="107"/>
    <x v="0"/>
    <x v="1"/>
    <x v="1"/>
    <x v="118"/>
    <x v="2"/>
  </r>
  <r>
    <x v="7"/>
    <x v="0"/>
    <x v="108"/>
    <x v="3"/>
    <x v="1"/>
    <x v="2"/>
    <x v="119"/>
    <x v="1"/>
  </r>
  <r>
    <x v="36"/>
    <x v="1"/>
    <x v="109"/>
    <x v="3"/>
    <x v="1"/>
    <x v="0"/>
    <x v="120"/>
    <x v="1"/>
  </r>
  <r>
    <x v="1"/>
    <x v="1"/>
    <x v="110"/>
    <x v="0"/>
    <x v="1"/>
    <x v="3"/>
    <x v="121"/>
    <x v="0"/>
  </r>
  <r>
    <x v="34"/>
    <x v="0"/>
    <x v="111"/>
    <x v="0"/>
    <x v="1"/>
    <x v="2"/>
    <x v="122"/>
    <x v="0"/>
  </r>
  <r>
    <x v="36"/>
    <x v="1"/>
    <x v="112"/>
    <x v="1"/>
    <x v="0"/>
    <x v="3"/>
    <x v="123"/>
    <x v="1"/>
  </r>
  <r>
    <x v="42"/>
    <x v="0"/>
    <x v="113"/>
    <x v="2"/>
    <x v="1"/>
    <x v="2"/>
    <x v="124"/>
    <x v="2"/>
  </r>
  <r>
    <x v="21"/>
    <x v="0"/>
    <x v="114"/>
    <x v="0"/>
    <x v="1"/>
    <x v="3"/>
    <x v="125"/>
    <x v="0"/>
  </r>
  <r>
    <x v="0"/>
    <x v="0"/>
    <x v="115"/>
    <x v="0"/>
    <x v="0"/>
    <x v="0"/>
    <x v="126"/>
    <x v="0"/>
  </r>
  <r>
    <x v="14"/>
    <x v="0"/>
    <x v="116"/>
    <x v="0"/>
    <x v="1"/>
    <x v="0"/>
    <x v="127"/>
    <x v="2"/>
  </r>
  <r>
    <x v="4"/>
    <x v="0"/>
    <x v="117"/>
    <x v="3"/>
    <x v="0"/>
    <x v="2"/>
    <x v="128"/>
    <x v="1"/>
  </r>
  <r>
    <x v="25"/>
    <x v="1"/>
    <x v="118"/>
    <x v="3"/>
    <x v="1"/>
    <x v="0"/>
    <x v="129"/>
    <x v="1"/>
  </r>
  <r>
    <x v="17"/>
    <x v="0"/>
    <x v="119"/>
    <x v="0"/>
    <x v="1"/>
    <x v="3"/>
    <x v="130"/>
    <x v="2"/>
  </r>
  <r>
    <x v="35"/>
    <x v="0"/>
    <x v="120"/>
    <x v="0"/>
    <x v="1"/>
    <x v="3"/>
    <x v="131"/>
    <x v="3"/>
  </r>
  <r>
    <x v="31"/>
    <x v="0"/>
    <x v="121"/>
    <x v="3"/>
    <x v="1"/>
    <x v="0"/>
    <x v="132"/>
    <x v="2"/>
  </r>
  <r>
    <x v="0"/>
    <x v="1"/>
    <x v="122"/>
    <x v="0"/>
    <x v="1"/>
    <x v="2"/>
    <x v="133"/>
    <x v="0"/>
  </r>
  <r>
    <x v="34"/>
    <x v="0"/>
    <x v="114"/>
    <x v="0"/>
    <x v="1"/>
    <x v="3"/>
    <x v="134"/>
    <x v="0"/>
  </r>
  <r>
    <x v="20"/>
    <x v="0"/>
    <x v="123"/>
    <x v="0"/>
    <x v="1"/>
    <x v="1"/>
    <x v="135"/>
    <x v="0"/>
  </r>
  <r>
    <x v="0"/>
    <x v="1"/>
    <x v="22"/>
    <x v="0"/>
    <x v="1"/>
    <x v="0"/>
    <x v="136"/>
    <x v="0"/>
  </r>
  <r>
    <x v="20"/>
    <x v="1"/>
    <x v="124"/>
    <x v="0"/>
    <x v="1"/>
    <x v="2"/>
    <x v="137"/>
    <x v="0"/>
  </r>
  <r>
    <x v="40"/>
    <x v="0"/>
    <x v="125"/>
    <x v="2"/>
    <x v="1"/>
    <x v="1"/>
    <x v="138"/>
    <x v="2"/>
  </r>
  <r>
    <x v="20"/>
    <x v="0"/>
    <x v="126"/>
    <x v="0"/>
    <x v="1"/>
    <x v="0"/>
    <x v="139"/>
    <x v="0"/>
  </r>
  <r>
    <x v="16"/>
    <x v="1"/>
    <x v="64"/>
    <x v="3"/>
    <x v="1"/>
    <x v="3"/>
    <x v="140"/>
    <x v="1"/>
  </r>
  <r>
    <x v="21"/>
    <x v="1"/>
    <x v="127"/>
    <x v="1"/>
    <x v="1"/>
    <x v="3"/>
    <x v="141"/>
    <x v="0"/>
  </r>
  <r>
    <x v="16"/>
    <x v="1"/>
    <x v="128"/>
    <x v="3"/>
    <x v="0"/>
    <x v="1"/>
    <x v="142"/>
    <x v="1"/>
  </r>
  <r>
    <x v="38"/>
    <x v="1"/>
    <x v="129"/>
    <x v="3"/>
    <x v="1"/>
    <x v="2"/>
    <x v="143"/>
    <x v="0"/>
  </r>
  <r>
    <x v="15"/>
    <x v="1"/>
    <x v="54"/>
    <x v="2"/>
    <x v="0"/>
    <x v="2"/>
    <x v="144"/>
    <x v="0"/>
  </r>
  <r>
    <x v="38"/>
    <x v="0"/>
    <x v="130"/>
    <x v="2"/>
    <x v="1"/>
    <x v="1"/>
    <x v="145"/>
    <x v="0"/>
  </r>
  <r>
    <x v="6"/>
    <x v="1"/>
    <x v="131"/>
    <x v="2"/>
    <x v="0"/>
    <x v="2"/>
    <x v="146"/>
    <x v="2"/>
  </r>
  <r>
    <x v="43"/>
    <x v="0"/>
    <x v="132"/>
    <x v="1"/>
    <x v="1"/>
    <x v="1"/>
    <x v="147"/>
    <x v="2"/>
  </r>
  <r>
    <x v="31"/>
    <x v="0"/>
    <x v="133"/>
    <x v="1"/>
    <x v="1"/>
    <x v="2"/>
    <x v="148"/>
    <x v="2"/>
  </r>
  <r>
    <x v="0"/>
    <x v="1"/>
    <x v="98"/>
    <x v="1"/>
    <x v="1"/>
    <x v="0"/>
    <x v="149"/>
    <x v="0"/>
  </r>
  <r>
    <x v="22"/>
    <x v="1"/>
    <x v="134"/>
    <x v="1"/>
    <x v="1"/>
    <x v="2"/>
    <x v="150"/>
    <x v="1"/>
  </r>
  <r>
    <x v="28"/>
    <x v="1"/>
    <x v="102"/>
    <x v="0"/>
    <x v="1"/>
    <x v="1"/>
    <x v="151"/>
    <x v="2"/>
  </r>
  <r>
    <x v="4"/>
    <x v="0"/>
    <x v="135"/>
    <x v="2"/>
    <x v="1"/>
    <x v="3"/>
    <x v="152"/>
    <x v="1"/>
  </r>
  <r>
    <x v="44"/>
    <x v="0"/>
    <x v="108"/>
    <x v="0"/>
    <x v="0"/>
    <x v="3"/>
    <x v="153"/>
    <x v="1"/>
  </r>
  <r>
    <x v="29"/>
    <x v="0"/>
    <x v="94"/>
    <x v="1"/>
    <x v="1"/>
    <x v="3"/>
    <x v="154"/>
    <x v="1"/>
  </r>
  <r>
    <x v="36"/>
    <x v="1"/>
    <x v="136"/>
    <x v="0"/>
    <x v="1"/>
    <x v="2"/>
    <x v="155"/>
    <x v="1"/>
  </r>
  <r>
    <x v="28"/>
    <x v="1"/>
    <x v="137"/>
    <x v="0"/>
    <x v="0"/>
    <x v="1"/>
    <x v="156"/>
    <x v="2"/>
  </r>
  <r>
    <x v="1"/>
    <x v="1"/>
    <x v="124"/>
    <x v="0"/>
    <x v="0"/>
    <x v="3"/>
    <x v="157"/>
    <x v="0"/>
  </r>
  <r>
    <x v="15"/>
    <x v="1"/>
    <x v="76"/>
    <x v="0"/>
    <x v="0"/>
    <x v="1"/>
    <x v="158"/>
    <x v="0"/>
  </r>
  <r>
    <x v="45"/>
    <x v="0"/>
    <x v="138"/>
    <x v="2"/>
    <x v="1"/>
    <x v="1"/>
    <x v="159"/>
    <x v="2"/>
  </r>
  <r>
    <x v="44"/>
    <x v="0"/>
    <x v="40"/>
    <x v="0"/>
    <x v="0"/>
    <x v="2"/>
    <x v="160"/>
    <x v="1"/>
  </r>
  <r>
    <x v="1"/>
    <x v="0"/>
    <x v="139"/>
    <x v="0"/>
    <x v="0"/>
    <x v="1"/>
    <x v="161"/>
    <x v="0"/>
  </r>
  <r>
    <x v="40"/>
    <x v="1"/>
    <x v="140"/>
    <x v="1"/>
    <x v="1"/>
    <x v="0"/>
    <x v="162"/>
    <x v="2"/>
  </r>
  <r>
    <x v="4"/>
    <x v="0"/>
    <x v="141"/>
    <x v="3"/>
    <x v="1"/>
    <x v="0"/>
    <x v="163"/>
    <x v="1"/>
  </r>
  <r>
    <x v="7"/>
    <x v="1"/>
    <x v="142"/>
    <x v="0"/>
    <x v="1"/>
    <x v="2"/>
    <x v="164"/>
    <x v="1"/>
  </r>
  <r>
    <x v="42"/>
    <x v="1"/>
    <x v="143"/>
    <x v="5"/>
    <x v="1"/>
    <x v="3"/>
    <x v="165"/>
    <x v="2"/>
  </r>
  <r>
    <x v="34"/>
    <x v="0"/>
    <x v="144"/>
    <x v="4"/>
    <x v="1"/>
    <x v="0"/>
    <x v="166"/>
    <x v="0"/>
  </r>
  <r>
    <x v="4"/>
    <x v="0"/>
    <x v="145"/>
    <x v="2"/>
    <x v="1"/>
    <x v="2"/>
    <x v="167"/>
    <x v="1"/>
  </r>
  <r>
    <x v="0"/>
    <x v="0"/>
    <x v="56"/>
    <x v="1"/>
    <x v="1"/>
    <x v="2"/>
    <x v="168"/>
    <x v="0"/>
  </r>
  <r>
    <x v="13"/>
    <x v="1"/>
    <x v="146"/>
    <x v="2"/>
    <x v="1"/>
    <x v="3"/>
    <x v="169"/>
    <x v="0"/>
  </r>
  <r>
    <x v="18"/>
    <x v="1"/>
    <x v="147"/>
    <x v="0"/>
    <x v="1"/>
    <x v="1"/>
    <x v="170"/>
    <x v="3"/>
  </r>
  <r>
    <x v="41"/>
    <x v="1"/>
    <x v="148"/>
    <x v="0"/>
    <x v="1"/>
    <x v="0"/>
    <x v="171"/>
    <x v="2"/>
  </r>
  <r>
    <x v="1"/>
    <x v="1"/>
    <x v="149"/>
    <x v="0"/>
    <x v="1"/>
    <x v="3"/>
    <x v="172"/>
    <x v="0"/>
  </r>
  <r>
    <x v="22"/>
    <x v="0"/>
    <x v="82"/>
    <x v="1"/>
    <x v="1"/>
    <x v="0"/>
    <x v="173"/>
    <x v="1"/>
  </r>
  <r>
    <x v="23"/>
    <x v="0"/>
    <x v="150"/>
    <x v="0"/>
    <x v="1"/>
    <x v="2"/>
    <x v="174"/>
    <x v="0"/>
  </r>
  <r>
    <x v="18"/>
    <x v="0"/>
    <x v="151"/>
    <x v="0"/>
    <x v="0"/>
    <x v="0"/>
    <x v="175"/>
    <x v="3"/>
  </r>
  <r>
    <x v="25"/>
    <x v="1"/>
    <x v="152"/>
    <x v="3"/>
    <x v="1"/>
    <x v="2"/>
    <x v="176"/>
    <x v="1"/>
  </r>
  <r>
    <x v="40"/>
    <x v="1"/>
    <x v="153"/>
    <x v="1"/>
    <x v="1"/>
    <x v="0"/>
    <x v="177"/>
    <x v="2"/>
  </r>
  <r>
    <x v="6"/>
    <x v="0"/>
    <x v="65"/>
    <x v="3"/>
    <x v="1"/>
    <x v="0"/>
    <x v="178"/>
    <x v="2"/>
  </r>
  <r>
    <x v="24"/>
    <x v="0"/>
    <x v="145"/>
    <x v="2"/>
    <x v="1"/>
    <x v="3"/>
    <x v="179"/>
    <x v="1"/>
  </r>
  <r>
    <x v="30"/>
    <x v="1"/>
    <x v="105"/>
    <x v="0"/>
    <x v="1"/>
    <x v="2"/>
    <x v="180"/>
    <x v="2"/>
  </r>
  <r>
    <x v="1"/>
    <x v="0"/>
    <x v="90"/>
    <x v="0"/>
    <x v="1"/>
    <x v="1"/>
    <x v="181"/>
    <x v="0"/>
  </r>
  <r>
    <x v="20"/>
    <x v="1"/>
    <x v="91"/>
    <x v="2"/>
    <x v="1"/>
    <x v="3"/>
    <x v="182"/>
    <x v="0"/>
  </r>
  <r>
    <x v="36"/>
    <x v="0"/>
    <x v="154"/>
    <x v="0"/>
    <x v="1"/>
    <x v="2"/>
    <x v="183"/>
    <x v="1"/>
  </r>
  <r>
    <x v="36"/>
    <x v="1"/>
    <x v="155"/>
    <x v="3"/>
    <x v="1"/>
    <x v="1"/>
    <x v="184"/>
    <x v="1"/>
  </r>
  <r>
    <x v="26"/>
    <x v="1"/>
    <x v="156"/>
    <x v="2"/>
    <x v="0"/>
    <x v="3"/>
    <x v="185"/>
    <x v="1"/>
  </r>
  <r>
    <x v="21"/>
    <x v="0"/>
    <x v="96"/>
    <x v="3"/>
    <x v="1"/>
    <x v="1"/>
    <x v="186"/>
    <x v="0"/>
  </r>
  <r>
    <x v="15"/>
    <x v="0"/>
    <x v="157"/>
    <x v="2"/>
    <x v="1"/>
    <x v="0"/>
    <x v="187"/>
    <x v="0"/>
  </r>
  <r>
    <x v="24"/>
    <x v="0"/>
    <x v="158"/>
    <x v="1"/>
    <x v="1"/>
    <x v="0"/>
    <x v="188"/>
    <x v="1"/>
  </r>
  <r>
    <x v="38"/>
    <x v="0"/>
    <x v="159"/>
    <x v="3"/>
    <x v="1"/>
    <x v="2"/>
    <x v="189"/>
    <x v="0"/>
  </r>
  <r>
    <x v="35"/>
    <x v="1"/>
    <x v="160"/>
    <x v="0"/>
    <x v="1"/>
    <x v="1"/>
    <x v="190"/>
    <x v="3"/>
  </r>
  <r>
    <x v="26"/>
    <x v="0"/>
    <x v="161"/>
    <x v="0"/>
    <x v="1"/>
    <x v="0"/>
    <x v="191"/>
    <x v="1"/>
  </r>
  <r>
    <x v="9"/>
    <x v="1"/>
    <x v="5"/>
    <x v="0"/>
    <x v="1"/>
    <x v="1"/>
    <x v="192"/>
    <x v="0"/>
  </r>
  <r>
    <x v="12"/>
    <x v="0"/>
    <x v="40"/>
    <x v="1"/>
    <x v="1"/>
    <x v="2"/>
    <x v="193"/>
    <x v="2"/>
  </r>
  <r>
    <x v="1"/>
    <x v="1"/>
    <x v="53"/>
    <x v="0"/>
    <x v="1"/>
    <x v="1"/>
    <x v="194"/>
    <x v="0"/>
  </r>
  <r>
    <x v="0"/>
    <x v="1"/>
    <x v="162"/>
    <x v="0"/>
    <x v="1"/>
    <x v="2"/>
    <x v="195"/>
    <x v="0"/>
  </r>
  <r>
    <x v="46"/>
    <x v="0"/>
    <x v="163"/>
    <x v="0"/>
    <x v="1"/>
    <x v="0"/>
    <x v="196"/>
    <x v="1"/>
  </r>
  <r>
    <x v="39"/>
    <x v="0"/>
    <x v="32"/>
    <x v="3"/>
    <x v="1"/>
    <x v="1"/>
    <x v="197"/>
    <x v="1"/>
  </r>
  <r>
    <x v="43"/>
    <x v="0"/>
    <x v="164"/>
    <x v="0"/>
    <x v="1"/>
    <x v="2"/>
    <x v="198"/>
    <x v="2"/>
  </r>
  <r>
    <x v="33"/>
    <x v="0"/>
    <x v="165"/>
    <x v="0"/>
    <x v="1"/>
    <x v="3"/>
    <x v="199"/>
    <x v="3"/>
  </r>
  <r>
    <x v="0"/>
    <x v="0"/>
    <x v="159"/>
    <x v="0"/>
    <x v="1"/>
    <x v="2"/>
    <x v="200"/>
    <x v="0"/>
  </r>
  <r>
    <x v="28"/>
    <x v="0"/>
    <x v="166"/>
    <x v="1"/>
    <x v="1"/>
    <x v="1"/>
    <x v="201"/>
    <x v="2"/>
  </r>
  <r>
    <x v="8"/>
    <x v="0"/>
    <x v="167"/>
    <x v="0"/>
    <x v="1"/>
    <x v="2"/>
    <x v="202"/>
    <x v="2"/>
  </r>
  <r>
    <x v="13"/>
    <x v="0"/>
    <x v="168"/>
    <x v="0"/>
    <x v="0"/>
    <x v="1"/>
    <x v="203"/>
    <x v="0"/>
  </r>
  <r>
    <x v="6"/>
    <x v="1"/>
    <x v="169"/>
    <x v="0"/>
    <x v="1"/>
    <x v="0"/>
    <x v="204"/>
    <x v="2"/>
  </r>
  <r>
    <x v="2"/>
    <x v="0"/>
    <x v="4"/>
    <x v="1"/>
    <x v="1"/>
    <x v="3"/>
    <x v="205"/>
    <x v="0"/>
  </r>
  <r>
    <x v="17"/>
    <x v="1"/>
    <x v="170"/>
    <x v="0"/>
    <x v="1"/>
    <x v="1"/>
    <x v="206"/>
    <x v="2"/>
  </r>
  <r>
    <x v="22"/>
    <x v="1"/>
    <x v="7"/>
    <x v="3"/>
    <x v="0"/>
    <x v="3"/>
    <x v="207"/>
    <x v="1"/>
  </r>
  <r>
    <x v="18"/>
    <x v="0"/>
    <x v="171"/>
    <x v="0"/>
    <x v="1"/>
    <x v="0"/>
    <x v="208"/>
    <x v="3"/>
  </r>
  <r>
    <x v="29"/>
    <x v="1"/>
    <x v="81"/>
    <x v="1"/>
    <x v="1"/>
    <x v="3"/>
    <x v="209"/>
    <x v="1"/>
  </r>
  <r>
    <x v="34"/>
    <x v="1"/>
    <x v="2"/>
    <x v="1"/>
    <x v="1"/>
    <x v="0"/>
    <x v="210"/>
    <x v="0"/>
  </r>
  <r>
    <x v="29"/>
    <x v="1"/>
    <x v="99"/>
    <x v="5"/>
    <x v="1"/>
    <x v="2"/>
    <x v="211"/>
    <x v="1"/>
  </r>
  <r>
    <x v="23"/>
    <x v="1"/>
    <x v="70"/>
    <x v="3"/>
    <x v="1"/>
    <x v="2"/>
    <x v="212"/>
    <x v="0"/>
  </r>
  <r>
    <x v="16"/>
    <x v="0"/>
    <x v="172"/>
    <x v="1"/>
    <x v="1"/>
    <x v="1"/>
    <x v="213"/>
    <x v="1"/>
  </r>
  <r>
    <x v="39"/>
    <x v="0"/>
    <x v="157"/>
    <x v="3"/>
    <x v="1"/>
    <x v="0"/>
    <x v="214"/>
    <x v="1"/>
  </r>
  <r>
    <x v="24"/>
    <x v="0"/>
    <x v="109"/>
    <x v="3"/>
    <x v="1"/>
    <x v="0"/>
    <x v="215"/>
    <x v="1"/>
  </r>
  <r>
    <x v="31"/>
    <x v="0"/>
    <x v="40"/>
    <x v="0"/>
    <x v="1"/>
    <x v="2"/>
    <x v="216"/>
    <x v="2"/>
  </r>
  <r>
    <x v="13"/>
    <x v="1"/>
    <x v="173"/>
    <x v="0"/>
    <x v="1"/>
    <x v="1"/>
    <x v="217"/>
    <x v="0"/>
  </r>
  <r>
    <x v="21"/>
    <x v="0"/>
    <x v="96"/>
    <x v="1"/>
    <x v="1"/>
    <x v="1"/>
    <x v="218"/>
    <x v="0"/>
  </r>
  <r>
    <x v="23"/>
    <x v="0"/>
    <x v="174"/>
    <x v="0"/>
    <x v="1"/>
    <x v="1"/>
    <x v="219"/>
    <x v="0"/>
  </r>
  <r>
    <x v="16"/>
    <x v="0"/>
    <x v="175"/>
    <x v="1"/>
    <x v="1"/>
    <x v="0"/>
    <x v="220"/>
    <x v="1"/>
  </r>
  <r>
    <x v="31"/>
    <x v="0"/>
    <x v="176"/>
    <x v="0"/>
    <x v="1"/>
    <x v="3"/>
    <x v="221"/>
    <x v="2"/>
  </r>
  <r>
    <x v="4"/>
    <x v="1"/>
    <x v="43"/>
    <x v="2"/>
    <x v="1"/>
    <x v="0"/>
    <x v="222"/>
    <x v="1"/>
  </r>
  <r>
    <x v="0"/>
    <x v="1"/>
    <x v="82"/>
    <x v="0"/>
    <x v="0"/>
    <x v="0"/>
    <x v="223"/>
    <x v="0"/>
  </r>
  <r>
    <x v="44"/>
    <x v="1"/>
    <x v="177"/>
    <x v="0"/>
    <x v="0"/>
    <x v="1"/>
    <x v="224"/>
    <x v="1"/>
  </r>
  <r>
    <x v="19"/>
    <x v="1"/>
    <x v="178"/>
    <x v="2"/>
    <x v="1"/>
    <x v="1"/>
    <x v="225"/>
    <x v="2"/>
  </r>
  <r>
    <x v="2"/>
    <x v="1"/>
    <x v="179"/>
    <x v="0"/>
    <x v="1"/>
    <x v="1"/>
    <x v="226"/>
    <x v="0"/>
  </r>
  <r>
    <x v="30"/>
    <x v="0"/>
    <x v="180"/>
    <x v="0"/>
    <x v="1"/>
    <x v="1"/>
    <x v="227"/>
    <x v="2"/>
  </r>
  <r>
    <x v="24"/>
    <x v="0"/>
    <x v="181"/>
    <x v="1"/>
    <x v="1"/>
    <x v="3"/>
    <x v="228"/>
    <x v="1"/>
  </r>
  <r>
    <x v="42"/>
    <x v="1"/>
    <x v="94"/>
    <x v="3"/>
    <x v="1"/>
    <x v="3"/>
    <x v="229"/>
    <x v="2"/>
  </r>
  <r>
    <x v="44"/>
    <x v="0"/>
    <x v="182"/>
    <x v="1"/>
    <x v="1"/>
    <x v="2"/>
    <x v="230"/>
    <x v="1"/>
  </r>
  <r>
    <x v="17"/>
    <x v="0"/>
    <x v="138"/>
    <x v="2"/>
    <x v="1"/>
    <x v="1"/>
    <x v="231"/>
    <x v="2"/>
  </r>
  <r>
    <x v="0"/>
    <x v="0"/>
    <x v="183"/>
    <x v="0"/>
    <x v="1"/>
    <x v="0"/>
    <x v="232"/>
    <x v="0"/>
  </r>
  <r>
    <x v="17"/>
    <x v="1"/>
    <x v="97"/>
    <x v="1"/>
    <x v="1"/>
    <x v="0"/>
    <x v="233"/>
    <x v="2"/>
  </r>
  <r>
    <x v="46"/>
    <x v="1"/>
    <x v="184"/>
    <x v="3"/>
    <x v="1"/>
    <x v="2"/>
    <x v="234"/>
    <x v="1"/>
  </r>
  <r>
    <x v="29"/>
    <x v="0"/>
    <x v="185"/>
    <x v="3"/>
    <x v="0"/>
    <x v="1"/>
    <x v="235"/>
    <x v="1"/>
  </r>
  <r>
    <x v="1"/>
    <x v="0"/>
    <x v="172"/>
    <x v="0"/>
    <x v="1"/>
    <x v="1"/>
    <x v="236"/>
    <x v="0"/>
  </r>
  <r>
    <x v="5"/>
    <x v="1"/>
    <x v="186"/>
    <x v="3"/>
    <x v="1"/>
    <x v="1"/>
    <x v="237"/>
    <x v="1"/>
  </r>
  <r>
    <x v="0"/>
    <x v="1"/>
    <x v="187"/>
    <x v="0"/>
    <x v="0"/>
    <x v="2"/>
    <x v="238"/>
    <x v="0"/>
  </r>
  <r>
    <x v="36"/>
    <x v="1"/>
    <x v="179"/>
    <x v="1"/>
    <x v="1"/>
    <x v="1"/>
    <x v="239"/>
    <x v="1"/>
  </r>
  <r>
    <x v="11"/>
    <x v="0"/>
    <x v="38"/>
    <x v="3"/>
    <x v="0"/>
    <x v="3"/>
    <x v="240"/>
    <x v="0"/>
  </r>
  <r>
    <x v="3"/>
    <x v="0"/>
    <x v="188"/>
    <x v="1"/>
    <x v="1"/>
    <x v="3"/>
    <x v="241"/>
    <x v="1"/>
  </r>
  <r>
    <x v="19"/>
    <x v="0"/>
    <x v="189"/>
    <x v="1"/>
    <x v="1"/>
    <x v="0"/>
    <x v="242"/>
    <x v="2"/>
  </r>
  <r>
    <x v="29"/>
    <x v="1"/>
    <x v="19"/>
    <x v="2"/>
    <x v="1"/>
    <x v="0"/>
    <x v="243"/>
    <x v="1"/>
  </r>
  <r>
    <x v="18"/>
    <x v="0"/>
    <x v="7"/>
    <x v="0"/>
    <x v="0"/>
    <x v="3"/>
    <x v="244"/>
    <x v="3"/>
  </r>
  <r>
    <x v="40"/>
    <x v="1"/>
    <x v="190"/>
    <x v="0"/>
    <x v="1"/>
    <x v="2"/>
    <x v="245"/>
    <x v="2"/>
  </r>
  <r>
    <x v="8"/>
    <x v="0"/>
    <x v="179"/>
    <x v="0"/>
    <x v="1"/>
    <x v="1"/>
    <x v="246"/>
    <x v="2"/>
  </r>
  <r>
    <x v="23"/>
    <x v="1"/>
    <x v="191"/>
    <x v="0"/>
    <x v="1"/>
    <x v="1"/>
    <x v="247"/>
    <x v="0"/>
  </r>
  <r>
    <x v="0"/>
    <x v="1"/>
    <x v="192"/>
    <x v="1"/>
    <x v="1"/>
    <x v="0"/>
    <x v="248"/>
    <x v="0"/>
  </r>
  <r>
    <x v="38"/>
    <x v="1"/>
    <x v="111"/>
    <x v="1"/>
    <x v="1"/>
    <x v="3"/>
    <x v="249"/>
    <x v="0"/>
  </r>
  <r>
    <x v="1"/>
    <x v="1"/>
    <x v="193"/>
    <x v="3"/>
    <x v="0"/>
    <x v="3"/>
    <x v="250"/>
    <x v="0"/>
  </r>
  <r>
    <x v="18"/>
    <x v="0"/>
    <x v="158"/>
    <x v="3"/>
    <x v="0"/>
    <x v="0"/>
    <x v="251"/>
    <x v="3"/>
  </r>
  <r>
    <x v="40"/>
    <x v="1"/>
    <x v="194"/>
    <x v="3"/>
    <x v="0"/>
    <x v="1"/>
    <x v="252"/>
    <x v="2"/>
  </r>
  <r>
    <x v="13"/>
    <x v="1"/>
    <x v="148"/>
    <x v="2"/>
    <x v="1"/>
    <x v="0"/>
    <x v="253"/>
    <x v="0"/>
  </r>
  <r>
    <x v="45"/>
    <x v="1"/>
    <x v="56"/>
    <x v="0"/>
    <x v="0"/>
    <x v="3"/>
    <x v="254"/>
    <x v="2"/>
  </r>
  <r>
    <x v="19"/>
    <x v="0"/>
    <x v="195"/>
    <x v="2"/>
    <x v="1"/>
    <x v="3"/>
    <x v="255"/>
    <x v="2"/>
  </r>
  <r>
    <x v="12"/>
    <x v="1"/>
    <x v="51"/>
    <x v="0"/>
    <x v="0"/>
    <x v="2"/>
    <x v="256"/>
    <x v="2"/>
  </r>
  <r>
    <x v="25"/>
    <x v="0"/>
    <x v="196"/>
    <x v="0"/>
    <x v="1"/>
    <x v="1"/>
    <x v="257"/>
    <x v="1"/>
  </r>
  <r>
    <x v="43"/>
    <x v="1"/>
    <x v="197"/>
    <x v="5"/>
    <x v="1"/>
    <x v="2"/>
    <x v="258"/>
    <x v="2"/>
  </r>
  <r>
    <x v="0"/>
    <x v="1"/>
    <x v="23"/>
    <x v="0"/>
    <x v="0"/>
    <x v="2"/>
    <x v="259"/>
    <x v="0"/>
  </r>
  <r>
    <x v="30"/>
    <x v="0"/>
    <x v="198"/>
    <x v="0"/>
    <x v="1"/>
    <x v="0"/>
    <x v="260"/>
    <x v="2"/>
  </r>
  <r>
    <x v="34"/>
    <x v="0"/>
    <x v="199"/>
    <x v="1"/>
    <x v="0"/>
    <x v="1"/>
    <x v="261"/>
    <x v="0"/>
  </r>
  <r>
    <x v="14"/>
    <x v="1"/>
    <x v="200"/>
    <x v="2"/>
    <x v="0"/>
    <x v="3"/>
    <x v="262"/>
    <x v="2"/>
  </r>
  <r>
    <x v="0"/>
    <x v="1"/>
    <x v="55"/>
    <x v="0"/>
    <x v="0"/>
    <x v="2"/>
    <x v="263"/>
    <x v="0"/>
  </r>
  <r>
    <x v="31"/>
    <x v="0"/>
    <x v="179"/>
    <x v="2"/>
    <x v="1"/>
    <x v="1"/>
    <x v="264"/>
    <x v="2"/>
  </r>
  <r>
    <x v="6"/>
    <x v="1"/>
    <x v="201"/>
    <x v="2"/>
    <x v="0"/>
    <x v="1"/>
    <x v="265"/>
    <x v="2"/>
  </r>
  <r>
    <x v="29"/>
    <x v="1"/>
    <x v="202"/>
    <x v="1"/>
    <x v="0"/>
    <x v="1"/>
    <x v="266"/>
    <x v="1"/>
  </r>
  <r>
    <x v="17"/>
    <x v="0"/>
    <x v="203"/>
    <x v="2"/>
    <x v="1"/>
    <x v="3"/>
    <x v="267"/>
    <x v="2"/>
  </r>
  <r>
    <x v="39"/>
    <x v="1"/>
    <x v="204"/>
    <x v="1"/>
    <x v="1"/>
    <x v="0"/>
    <x v="268"/>
    <x v="1"/>
  </r>
  <r>
    <x v="41"/>
    <x v="1"/>
    <x v="9"/>
    <x v="1"/>
    <x v="1"/>
    <x v="3"/>
    <x v="269"/>
    <x v="2"/>
  </r>
  <r>
    <x v="1"/>
    <x v="1"/>
    <x v="205"/>
    <x v="1"/>
    <x v="1"/>
    <x v="1"/>
    <x v="270"/>
    <x v="0"/>
  </r>
  <r>
    <x v="45"/>
    <x v="1"/>
    <x v="206"/>
    <x v="3"/>
    <x v="0"/>
    <x v="0"/>
    <x v="271"/>
    <x v="2"/>
  </r>
  <r>
    <x v="24"/>
    <x v="1"/>
    <x v="44"/>
    <x v="3"/>
    <x v="1"/>
    <x v="2"/>
    <x v="272"/>
    <x v="1"/>
  </r>
  <r>
    <x v="45"/>
    <x v="1"/>
    <x v="207"/>
    <x v="1"/>
    <x v="1"/>
    <x v="3"/>
    <x v="273"/>
    <x v="2"/>
  </r>
  <r>
    <x v="9"/>
    <x v="1"/>
    <x v="208"/>
    <x v="0"/>
    <x v="1"/>
    <x v="2"/>
    <x v="274"/>
    <x v="0"/>
  </r>
  <r>
    <x v="42"/>
    <x v="0"/>
    <x v="40"/>
    <x v="3"/>
    <x v="1"/>
    <x v="3"/>
    <x v="275"/>
    <x v="2"/>
  </r>
  <r>
    <x v="0"/>
    <x v="1"/>
    <x v="209"/>
    <x v="3"/>
    <x v="1"/>
    <x v="2"/>
    <x v="276"/>
    <x v="0"/>
  </r>
  <r>
    <x v="20"/>
    <x v="0"/>
    <x v="210"/>
    <x v="0"/>
    <x v="1"/>
    <x v="0"/>
    <x v="277"/>
    <x v="0"/>
  </r>
  <r>
    <x v="17"/>
    <x v="1"/>
    <x v="211"/>
    <x v="3"/>
    <x v="1"/>
    <x v="1"/>
    <x v="278"/>
    <x v="2"/>
  </r>
  <r>
    <x v="43"/>
    <x v="0"/>
    <x v="212"/>
    <x v="1"/>
    <x v="1"/>
    <x v="1"/>
    <x v="279"/>
    <x v="2"/>
  </r>
  <r>
    <x v="29"/>
    <x v="0"/>
    <x v="213"/>
    <x v="1"/>
    <x v="0"/>
    <x v="3"/>
    <x v="280"/>
    <x v="1"/>
  </r>
  <r>
    <x v="40"/>
    <x v="1"/>
    <x v="214"/>
    <x v="2"/>
    <x v="0"/>
    <x v="3"/>
    <x v="281"/>
    <x v="2"/>
  </r>
  <r>
    <x v="15"/>
    <x v="1"/>
    <x v="215"/>
    <x v="1"/>
    <x v="1"/>
    <x v="3"/>
    <x v="282"/>
    <x v="0"/>
  </r>
  <r>
    <x v="19"/>
    <x v="0"/>
    <x v="203"/>
    <x v="1"/>
    <x v="1"/>
    <x v="3"/>
    <x v="283"/>
    <x v="2"/>
  </r>
  <r>
    <x v="14"/>
    <x v="0"/>
    <x v="216"/>
    <x v="0"/>
    <x v="1"/>
    <x v="0"/>
    <x v="284"/>
    <x v="2"/>
  </r>
  <r>
    <x v="6"/>
    <x v="1"/>
    <x v="217"/>
    <x v="1"/>
    <x v="1"/>
    <x v="1"/>
    <x v="285"/>
    <x v="2"/>
  </r>
  <r>
    <x v="6"/>
    <x v="0"/>
    <x v="218"/>
    <x v="3"/>
    <x v="1"/>
    <x v="3"/>
    <x v="286"/>
    <x v="2"/>
  </r>
  <r>
    <x v="18"/>
    <x v="0"/>
    <x v="10"/>
    <x v="0"/>
    <x v="1"/>
    <x v="2"/>
    <x v="287"/>
    <x v="3"/>
  </r>
  <r>
    <x v="17"/>
    <x v="0"/>
    <x v="219"/>
    <x v="1"/>
    <x v="0"/>
    <x v="3"/>
    <x v="288"/>
    <x v="2"/>
  </r>
  <r>
    <x v="14"/>
    <x v="1"/>
    <x v="170"/>
    <x v="2"/>
    <x v="1"/>
    <x v="1"/>
    <x v="289"/>
    <x v="2"/>
  </r>
  <r>
    <x v="2"/>
    <x v="0"/>
    <x v="220"/>
    <x v="0"/>
    <x v="1"/>
    <x v="0"/>
    <x v="290"/>
    <x v="0"/>
  </r>
  <r>
    <x v="38"/>
    <x v="1"/>
    <x v="142"/>
    <x v="1"/>
    <x v="1"/>
    <x v="3"/>
    <x v="291"/>
    <x v="0"/>
  </r>
  <r>
    <x v="9"/>
    <x v="1"/>
    <x v="221"/>
    <x v="3"/>
    <x v="0"/>
    <x v="1"/>
    <x v="292"/>
    <x v="0"/>
  </r>
  <r>
    <x v="20"/>
    <x v="0"/>
    <x v="222"/>
    <x v="0"/>
    <x v="1"/>
    <x v="1"/>
    <x v="293"/>
    <x v="0"/>
  </r>
  <r>
    <x v="9"/>
    <x v="1"/>
    <x v="189"/>
    <x v="2"/>
    <x v="1"/>
    <x v="0"/>
    <x v="294"/>
    <x v="0"/>
  </r>
  <r>
    <x v="1"/>
    <x v="1"/>
    <x v="223"/>
    <x v="0"/>
    <x v="1"/>
    <x v="3"/>
    <x v="295"/>
    <x v="0"/>
  </r>
  <r>
    <x v="0"/>
    <x v="1"/>
    <x v="224"/>
    <x v="0"/>
    <x v="0"/>
    <x v="0"/>
    <x v="296"/>
    <x v="0"/>
  </r>
  <r>
    <x v="42"/>
    <x v="1"/>
    <x v="225"/>
    <x v="1"/>
    <x v="0"/>
    <x v="1"/>
    <x v="297"/>
    <x v="2"/>
  </r>
  <r>
    <x v="5"/>
    <x v="1"/>
    <x v="226"/>
    <x v="2"/>
    <x v="0"/>
    <x v="2"/>
    <x v="298"/>
    <x v="1"/>
  </r>
  <r>
    <x v="28"/>
    <x v="0"/>
    <x v="4"/>
    <x v="1"/>
    <x v="1"/>
    <x v="2"/>
    <x v="299"/>
    <x v="2"/>
  </r>
  <r>
    <x v="26"/>
    <x v="1"/>
    <x v="208"/>
    <x v="2"/>
    <x v="1"/>
    <x v="3"/>
    <x v="300"/>
    <x v="1"/>
  </r>
  <r>
    <x v="31"/>
    <x v="0"/>
    <x v="227"/>
    <x v="2"/>
    <x v="0"/>
    <x v="3"/>
    <x v="301"/>
    <x v="2"/>
  </r>
  <r>
    <x v="12"/>
    <x v="0"/>
    <x v="228"/>
    <x v="3"/>
    <x v="1"/>
    <x v="1"/>
    <x v="302"/>
    <x v="2"/>
  </r>
  <r>
    <x v="2"/>
    <x v="0"/>
    <x v="2"/>
    <x v="3"/>
    <x v="1"/>
    <x v="1"/>
    <x v="303"/>
    <x v="0"/>
  </r>
  <r>
    <x v="37"/>
    <x v="0"/>
    <x v="229"/>
    <x v="3"/>
    <x v="1"/>
    <x v="0"/>
    <x v="304"/>
    <x v="2"/>
  </r>
  <r>
    <x v="38"/>
    <x v="1"/>
    <x v="150"/>
    <x v="3"/>
    <x v="1"/>
    <x v="2"/>
    <x v="305"/>
    <x v="0"/>
  </r>
  <r>
    <x v="2"/>
    <x v="0"/>
    <x v="97"/>
    <x v="3"/>
    <x v="1"/>
    <x v="0"/>
    <x v="306"/>
    <x v="0"/>
  </r>
  <r>
    <x v="15"/>
    <x v="0"/>
    <x v="230"/>
    <x v="1"/>
    <x v="1"/>
    <x v="1"/>
    <x v="307"/>
    <x v="0"/>
  </r>
  <r>
    <x v="30"/>
    <x v="1"/>
    <x v="231"/>
    <x v="0"/>
    <x v="1"/>
    <x v="3"/>
    <x v="308"/>
    <x v="2"/>
  </r>
  <r>
    <x v="24"/>
    <x v="0"/>
    <x v="232"/>
    <x v="3"/>
    <x v="1"/>
    <x v="2"/>
    <x v="309"/>
    <x v="1"/>
  </r>
  <r>
    <x v="45"/>
    <x v="1"/>
    <x v="40"/>
    <x v="0"/>
    <x v="1"/>
    <x v="0"/>
    <x v="310"/>
    <x v="2"/>
  </r>
  <r>
    <x v="0"/>
    <x v="0"/>
    <x v="62"/>
    <x v="0"/>
    <x v="1"/>
    <x v="0"/>
    <x v="311"/>
    <x v="0"/>
  </r>
  <r>
    <x v="32"/>
    <x v="1"/>
    <x v="233"/>
    <x v="2"/>
    <x v="0"/>
    <x v="1"/>
    <x v="312"/>
    <x v="1"/>
  </r>
  <r>
    <x v="41"/>
    <x v="1"/>
    <x v="191"/>
    <x v="0"/>
    <x v="1"/>
    <x v="1"/>
    <x v="313"/>
    <x v="2"/>
  </r>
  <r>
    <x v="13"/>
    <x v="0"/>
    <x v="234"/>
    <x v="0"/>
    <x v="0"/>
    <x v="0"/>
    <x v="314"/>
    <x v="0"/>
  </r>
  <r>
    <x v="14"/>
    <x v="1"/>
    <x v="176"/>
    <x v="0"/>
    <x v="1"/>
    <x v="3"/>
    <x v="315"/>
    <x v="2"/>
  </r>
  <r>
    <x v="45"/>
    <x v="1"/>
    <x v="104"/>
    <x v="0"/>
    <x v="1"/>
    <x v="2"/>
    <x v="316"/>
    <x v="2"/>
  </r>
  <r>
    <x v="40"/>
    <x v="1"/>
    <x v="27"/>
    <x v="0"/>
    <x v="1"/>
    <x v="3"/>
    <x v="317"/>
    <x v="2"/>
  </r>
  <r>
    <x v="36"/>
    <x v="0"/>
    <x v="215"/>
    <x v="0"/>
    <x v="1"/>
    <x v="2"/>
    <x v="318"/>
    <x v="1"/>
  </r>
  <r>
    <x v="4"/>
    <x v="1"/>
    <x v="59"/>
    <x v="1"/>
    <x v="1"/>
    <x v="3"/>
    <x v="319"/>
    <x v="1"/>
  </r>
  <r>
    <x v="16"/>
    <x v="1"/>
    <x v="235"/>
    <x v="1"/>
    <x v="1"/>
    <x v="2"/>
    <x v="320"/>
    <x v="1"/>
  </r>
  <r>
    <x v="21"/>
    <x v="0"/>
    <x v="142"/>
    <x v="5"/>
    <x v="1"/>
    <x v="3"/>
    <x v="321"/>
    <x v="0"/>
  </r>
  <r>
    <x v="16"/>
    <x v="1"/>
    <x v="43"/>
    <x v="0"/>
    <x v="0"/>
    <x v="0"/>
    <x v="322"/>
    <x v="1"/>
  </r>
  <r>
    <x v="37"/>
    <x v="1"/>
    <x v="236"/>
    <x v="0"/>
    <x v="1"/>
    <x v="3"/>
    <x v="323"/>
    <x v="2"/>
  </r>
  <r>
    <x v="38"/>
    <x v="1"/>
    <x v="85"/>
    <x v="0"/>
    <x v="1"/>
    <x v="0"/>
    <x v="324"/>
    <x v="0"/>
  </r>
  <r>
    <x v="29"/>
    <x v="1"/>
    <x v="237"/>
    <x v="1"/>
    <x v="1"/>
    <x v="3"/>
    <x v="325"/>
    <x v="1"/>
  </r>
  <r>
    <x v="13"/>
    <x v="0"/>
    <x v="174"/>
    <x v="1"/>
    <x v="1"/>
    <x v="1"/>
    <x v="326"/>
    <x v="0"/>
  </r>
  <r>
    <x v="39"/>
    <x v="1"/>
    <x v="238"/>
    <x v="3"/>
    <x v="0"/>
    <x v="2"/>
    <x v="327"/>
    <x v="1"/>
  </r>
  <r>
    <x v="33"/>
    <x v="0"/>
    <x v="239"/>
    <x v="1"/>
    <x v="0"/>
    <x v="0"/>
    <x v="328"/>
    <x v="3"/>
  </r>
  <r>
    <x v="14"/>
    <x v="1"/>
    <x v="240"/>
    <x v="0"/>
    <x v="1"/>
    <x v="0"/>
    <x v="329"/>
    <x v="2"/>
  </r>
  <r>
    <x v="35"/>
    <x v="0"/>
    <x v="241"/>
    <x v="1"/>
    <x v="0"/>
    <x v="3"/>
    <x v="330"/>
    <x v="3"/>
  </r>
  <r>
    <x v="14"/>
    <x v="1"/>
    <x v="60"/>
    <x v="0"/>
    <x v="0"/>
    <x v="2"/>
    <x v="331"/>
    <x v="2"/>
  </r>
  <r>
    <x v="35"/>
    <x v="0"/>
    <x v="84"/>
    <x v="0"/>
    <x v="1"/>
    <x v="2"/>
    <x v="332"/>
    <x v="3"/>
  </r>
  <r>
    <x v="12"/>
    <x v="0"/>
    <x v="114"/>
    <x v="0"/>
    <x v="1"/>
    <x v="3"/>
    <x v="333"/>
    <x v="2"/>
  </r>
  <r>
    <x v="32"/>
    <x v="0"/>
    <x v="103"/>
    <x v="3"/>
    <x v="1"/>
    <x v="3"/>
    <x v="334"/>
    <x v="1"/>
  </r>
  <r>
    <x v="33"/>
    <x v="1"/>
    <x v="242"/>
    <x v="0"/>
    <x v="1"/>
    <x v="0"/>
    <x v="335"/>
    <x v="3"/>
  </r>
  <r>
    <x v="8"/>
    <x v="1"/>
    <x v="5"/>
    <x v="0"/>
    <x v="1"/>
    <x v="1"/>
    <x v="336"/>
    <x v="2"/>
  </r>
  <r>
    <x v="10"/>
    <x v="1"/>
    <x v="208"/>
    <x v="1"/>
    <x v="1"/>
    <x v="2"/>
    <x v="337"/>
    <x v="3"/>
  </r>
  <r>
    <x v="45"/>
    <x v="1"/>
    <x v="243"/>
    <x v="1"/>
    <x v="0"/>
    <x v="3"/>
    <x v="338"/>
    <x v="2"/>
  </r>
  <r>
    <x v="6"/>
    <x v="0"/>
    <x v="25"/>
    <x v="1"/>
    <x v="1"/>
    <x v="1"/>
    <x v="339"/>
    <x v="2"/>
  </r>
  <r>
    <x v="23"/>
    <x v="0"/>
    <x v="244"/>
    <x v="0"/>
    <x v="1"/>
    <x v="0"/>
    <x v="340"/>
    <x v="0"/>
  </r>
  <r>
    <x v="10"/>
    <x v="1"/>
    <x v="190"/>
    <x v="0"/>
    <x v="1"/>
    <x v="2"/>
    <x v="341"/>
    <x v="3"/>
  </r>
  <r>
    <x v="8"/>
    <x v="0"/>
    <x v="208"/>
    <x v="0"/>
    <x v="1"/>
    <x v="3"/>
    <x v="342"/>
    <x v="2"/>
  </r>
  <r>
    <x v="18"/>
    <x v="1"/>
    <x v="219"/>
    <x v="0"/>
    <x v="1"/>
    <x v="3"/>
    <x v="343"/>
    <x v="3"/>
  </r>
  <r>
    <x v="41"/>
    <x v="0"/>
    <x v="147"/>
    <x v="5"/>
    <x v="1"/>
    <x v="1"/>
    <x v="344"/>
    <x v="2"/>
  </r>
  <r>
    <x v="16"/>
    <x v="0"/>
    <x v="245"/>
    <x v="2"/>
    <x v="1"/>
    <x v="1"/>
    <x v="345"/>
    <x v="1"/>
  </r>
  <r>
    <x v="3"/>
    <x v="1"/>
    <x v="246"/>
    <x v="3"/>
    <x v="1"/>
    <x v="1"/>
    <x v="346"/>
    <x v="1"/>
  </r>
  <r>
    <x v="6"/>
    <x v="1"/>
    <x v="150"/>
    <x v="1"/>
    <x v="1"/>
    <x v="3"/>
    <x v="347"/>
    <x v="2"/>
  </r>
  <r>
    <x v="26"/>
    <x v="0"/>
    <x v="96"/>
    <x v="1"/>
    <x v="1"/>
    <x v="1"/>
    <x v="348"/>
    <x v="1"/>
  </r>
  <r>
    <x v="0"/>
    <x v="1"/>
    <x v="152"/>
    <x v="0"/>
    <x v="1"/>
    <x v="2"/>
    <x v="349"/>
    <x v="0"/>
  </r>
  <r>
    <x v="37"/>
    <x v="0"/>
    <x v="247"/>
    <x v="0"/>
    <x v="1"/>
    <x v="2"/>
    <x v="350"/>
    <x v="2"/>
  </r>
  <r>
    <x v="45"/>
    <x v="0"/>
    <x v="248"/>
    <x v="0"/>
    <x v="1"/>
    <x v="0"/>
    <x v="351"/>
    <x v="2"/>
  </r>
  <r>
    <x v="15"/>
    <x v="0"/>
    <x v="224"/>
    <x v="0"/>
    <x v="1"/>
    <x v="0"/>
    <x v="352"/>
    <x v="0"/>
  </r>
  <r>
    <x v="3"/>
    <x v="1"/>
    <x v="249"/>
    <x v="0"/>
    <x v="1"/>
    <x v="3"/>
    <x v="353"/>
    <x v="1"/>
  </r>
  <r>
    <x v="1"/>
    <x v="0"/>
    <x v="90"/>
    <x v="0"/>
    <x v="1"/>
    <x v="1"/>
    <x v="354"/>
    <x v="0"/>
  </r>
  <r>
    <x v="6"/>
    <x v="1"/>
    <x v="244"/>
    <x v="0"/>
    <x v="1"/>
    <x v="0"/>
    <x v="355"/>
    <x v="2"/>
  </r>
  <r>
    <x v="6"/>
    <x v="1"/>
    <x v="250"/>
    <x v="2"/>
    <x v="1"/>
    <x v="1"/>
    <x v="356"/>
    <x v="2"/>
  </r>
  <r>
    <x v="42"/>
    <x v="1"/>
    <x v="8"/>
    <x v="2"/>
    <x v="1"/>
    <x v="2"/>
    <x v="357"/>
    <x v="2"/>
  </r>
  <r>
    <x v="11"/>
    <x v="1"/>
    <x v="180"/>
    <x v="0"/>
    <x v="1"/>
    <x v="1"/>
    <x v="358"/>
    <x v="0"/>
  </r>
  <r>
    <x v="1"/>
    <x v="0"/>
    <x v="251"/>
    <x v="0"/>
    <x v="1"/>
    <x v="1"/>
    <x v="359"/>
    <x v="0"/>
  </r>
  <r>
    <x v="28"/>
    <x v="0"/>
    <x v="243"/>
    <x v="3"/>
    <x v="1"/>
    <x v="3"/>
    <x v="360"/>
    <x v="2"/>
  </r>
  <r>
    <x v="22"/>
    <x v="1"/>
    <x v="252"/>
    <x v="1"/>
    <x v="1"/>
    <x v="0"/>
    <x v="361"/>
    <x v="1"/>
  </r>
  <r>
    <x v="0"/>
    <x v="0"/>
    <x v="253"/>
    <x v="0"/>
    <x v="0"/>
    <x v="0"/>
    <x v="362"/>
    <x v="0"/>
  </r>
  <r>
    <x v="27"/>
    <x v="0"/>
    <x v="170"/>
    <x v="1"/>
    <x v="1"/>
    <x v="0"/>
    <x v="363"/>
    <x v="0"/>
  </r>
  <r>
    <x v="27"/>
    <x v="0"/>
    <x v="254"/>
    <x v="3"/>
    <x v="1"/>
    <x v="1"/>
    <x v="364"/>
    <x v="0"/>
  </r>
  <r>
    <x v="41"/>
    <x v="0"/>
    <x v="16"/>
    <x v="1"/>
    <x v="1"/>
    <x v="3"/>
    <x v="365"/>
    <x v="2"/>
  </r>
  <r>
    <x v="12"/>
    <x v="0"/>
    <x v="243"/>
    <x v="2"/>
    <x v="1"/>
    <x v="3"/>
    <x v="366"/>
    <x v="2"/>
  </r>
  <r>
    <x v="44"/>
    <x v="0"/>
    <x v="255"/>
    <x v="3"/>
    <x v="1"/>
    <x v="2"/>
    <x v="367"/>
    <x v="1"/>
  </r>
  <r>
    <x v="36"/>
    <x v="1"/>
    <x v="256"/>
    <x v="3"/>
    <x v="1"/>
    <x v="2"/>
    <x v="368"/>
    <x v="1"/>
  </r>
  <r>
    <x v="1"/>
    <x v="1"/>
    <x v="257"/>
    <x v="2"/>
    <x v="1"/>
    <x v="3"/>
    <x v="369"/>
    <x v="0"/>
  </r>
  <r>
    <x v="35"/>
    <x v="0"/>
    <x v="258"/>
    <x v="0"/>
    <x v="1"/>
    <x v="2"/>
    <x v="370"/>
    <x v="3"/>
  </r>
  <r>
    <x v="37"/>
    <x v="0"/>
    <x v="259"/>
    <x v="0"/>
    <x v="1"/>
    <x v="3"/>
    <x v="371"/>
    <x v="2"/>
  </r>
  <r>
    <x v="44"/>
    <x v="0"/>
    <x v="145"/>
    <x v="1"/>
    <x v="1"/>
    <x v="3"/>
    <x v="372"/>
    <x v="1"/>
  </r>
  <r>
    <x v="21"/>
    <x v="1"/>
    <x v="260"/>
    <x v="3"/>
    <x v="0"/>
    <x v="0"/>
    <x v="373"/>
    <x v="0"/>
  </r>
  <r>
    <x v="34"/>
    <x v="1"/>
    <x v="230"/>
    <x v="0"/>
    <x v="1"/>
    <x v="1"/>
    <x v="374"/>
    <x v="0"/>
  </r>
  <r>
    <x v="11"/>
    <x v="0"/>
    <x v="33"/>
    <x v="0"/>
    <x v="0"/>
    <x v="2"/>
    <x v="375"/>
    <x v="0"/>
  </r>
  <r>
    <x v="46"/>
    <x v="0"/>
    <x v="261"/>
    <x v="2"/>
    <x v="0"/>
    <x v="3"/>
    <x v="376"/>
    <x v="1"/>
  </r>
  <r>
    <x v="23"/>
    <x v="1"/>
    <x v="196"/>
    <x v="0"/>
    <x v="0"/>
    <x v="1"/>
    <x v="377"/>
    <x v="0"/>
  </r>
  <r>
    <x v="33"/>
    <x v="0"/>
    <x v="95"/>
    <x v="2"/>
    <x v="1"/>
    <x v="2"/>
    <x v="378"/>
    <x v="3"/>
  </r>
  <r>
    <x v="10"/>
    <x v="1"/>
    <x v="262"/>
    <x v="1"/>
    <x v="1"/>
    <x v="1"/>
    <x v="379"/>
    <x v="3"/>
  </r>
  <r>
    <x v="13"/>
    <x v="0"/>
    <x v="263"/>
    <x v="3"/>
    <x v="0"/>
    <x v="3"/>
    <x v="380"/>
    <x v="0"/>
  </r>
  <r>
    <x v="19"/>
    <x v="1"/>
    <x v="264"/>
    <x v="0"/>
    <x v="0"/>
    <x v="3"/>
    <x v="381"/>
    <x v="2"/>
  </r>
  <r>
    <x v="19"/>
    <x v="1"/>
    <x v="2"/>
    <x v="0"/>
    <x v="1"/>
    <x v="1"/>
    <x v="382"/>
    <x v="2"/>
  </r>
  <r>
    <x v="22"/>
    <x v="0"/>
    <x v="265"/>
    <x v="3"/>
    <x v="1"/>
    <x v="1"/>
    <x v="383"/>
    <x v="1"/>
  </r>
  <r>
    <x v="36"/>
    <x v="1"/>
    <x v="188"/>
    <x v="3"/>
    <x v="1"/>
    <x v="3"/>
    <x v="384"/>
    <x v="1"/>
  </r>
  <r>
    <x v="0"/>
    <x v="1"/>
    <x v="12"/>
    <x v="0"/>
    <x v="1"/>
    <x v="0"/>
    <x v="385"/>
    <x v="0"/>
  </r>
  <r>
    <x v="30"/>
    <x v="0"/>
    <x v="266"/>
    <x v="0"/>
    <x v="1"/>
    <x v="1"/>
    <x v="386"/>
    <x v="2"/>
  </r>
  <r>
    <x v="45"/>
    <x v="1"/>
    <x v="195"/>
    <x v="3"/>
    <x v="1"/>
    <x v="2"/>
    <x v="387"/>
    <x v="2"/>
  </r>
  <r>
    <x v="21"/>
    <x v="0"/>
    <x v="227"/>
    <x v="0"/>
    <x v="1"/>
    <x v="2"/>
    <x v="388"/>
    <x v="0"/>
  </r>
  <r>
    <x v="23"/>
    <x v="0"/>
    <x v="267"/>
    <x v="2"/>
    <x v="1"/>
    <x v="2"/>
    <x v="389"/>
    <x v="0"/>
  </r>
  <r>
    <x v="28"/>
    <x v="1"/>
    <x v="50"/>
    <x v="5"/>
    <x v="1"/>
    <x v="3"/>
    <x v="390"/>
    <x v="2"/>
  </r>
  <r>
    <x v="0"/>
    <x v="0"/>
    <x v="133"/>
    <x v="0"/>
    <x v="1"/>
    <x v="2"/>
    <x v="391"/>
    <x v="0"/>
  </r>
  <r>
    <x v="28"/>
    <x v="1"/>
    <x v="268"/>
    <x v="1"/>
    <x v="1"/>
    <x v="3"/>
    <x v="392"/>
    <x v="2"/>
  </r>
  <r>
    <x v="41"/>
    <x v="1"/>
    <x v="112"/>
    <x v="1"/>
    <x v="1"/>
    <x v="3"/>
    <x v="393"/>
    <x v="2"/>
  </r>
  <r>
    <x v="6"/>
    <x v="0"/>
    <x v="243"/>
    <x v="3"/>
    <x v="1"/>
    <x v="3"/>
    <x v="394"/>
    <x v="2"/>
  </r>
  <r>
    <x v="6"/>
    <x v="1"/>
    <x v="269"/>
    <x v="0"/>
    <x v="1"/>
    <x v="2"/>
    <x v="395"/>
    <x v="2"/>
  </r>
  <r>
    <x v="32"/>
    <x v="0"/>
    <x v="12"/>
    <x v="2"/>
    <x v="1"/>
    <x v="0"/>
    <x v="396"/>
    <x v="1"/>
  </r>
  <r>
    <x v="27"/>
    <x v="1"/>
    <x v="270"/>
    <x v="0"/>
    <x v="1"/>
    <x v="1"/>
    <x v="397"/>
    <x v="0"/>
  </r>
  <r>
    <x v="33"/>
    <x v="1"/>
    <x v="248"/>
    <x v="3"/>
    <x v="1"/>
    <x v="0"/>
    <x v="398"/>
    <x v="3"/>
  </r>
  <r>
    <x v="1"/>
    <x v="0"/>
    <x v="271"/>
    <x v="0"/>
    <x v="1"/>
    <x v="1"/>
    <x v="399"/>
    <x v="0"/>
  </r>
  <r>
    <x v="43"/>
    <x v="0"/>
    <x v="272"/>
    <x v="0"/>
    <x v="1"/>
    <x v="0"/>
    <x v="400"/>
    <x v="2"/>
  </r>
  <r>
    <x v="42"/>
    <x v="1"/>
    <x v="273"/>
    <x v="1"/>
    <x v="1"/>
    <x v="1"/>
    <x v="401"/>
    <x v="2"/>
  </r>
  <r>
    <x v="33"/>
    <x v="0"/>
    <x v="36"/>
    <x v="0"/>
    <x v="1"/>
    <x v="2"/>
    <x v="402"/>
    <x v="3"/>
  </r>
  <r>
    <x v="41"/>
    <x v="1"/>
    <x v="243"/>
    <x v="2"/>
    <x v="1"/>
    <x v="2"/>
    <x v="403"/>
    <x v="2"/>
  </r>
  <r>
    <x v="5"/>
    <x v="1"/>
    <x v="274"/>
    <x v="0"/>
    <x v="1"/>
    <x v="0"/>
    <x v="404"/>
    <x v="1"/>
  </r>
  <r>
    <x v="14"/>
    <x v="0"/>
    <x v="275"/>
    <x v="3"/>
    <x v="1"/>
    <x v="3"/>
    <x v="405"/>
    <x v="2"/>
  </r>
  <r>
    <x v="3"/>
    <x v="0"/>
    <x v="276"/>
    <x v="0"/>
    <x v="1"/>
    <x v="1"/>
    <x v="406"/>
    <x v="1"/>
  </r>
  <r>
    <x v="42"/>
    <x v="0"/>
    <x v="277"/>
    <x v="1"/>
    <x v="1"/>
    <x v="0"/>
    <x v="407"/>
    <x v="2"/>
  </r>
  <r>
    <x v="25"/>
    <x v="1"/>
    <x v="278"/>
    <x v="2"/>
    <x v="1"/>
    <x v="1"/>
    <x v="408"/>
    <x v="1"/>
  </r>
  <r>
    <x v="4"/>
    <x v="1"/>
    <x v="279"/>
    <x v="1"/>
    <x v="1"/>
    <x v="1"/>
    <x v="409"/>
    <x v="1"/>
  </r>
  <r>
    <x v="0"/>
    <x v="1"/>
    <x v="280"/>
    <x v="0"/>
    <x v="1"/>
    <x v="2"/>
    <x v="410"/>
    <x v="0"/>
  </r>
  <r>
    <x v="36"/>
    <x v="0"/>
    <x v="281"/>
    <x v="1"/>
    <x v="0"/>
    <x v="3"/>
    <x v="411"/>
    <x v="1"/>
  </r>
  <r>
    <x v="21"/>
    <x v="0"/>
    <x v="282"/>
    <x v="3"/>
    <x v="0"/>
    <x v="3"/>
    <x v="412"/>
    <x v="0"/>
  </r>
  <r>
    <x v="9"/>
    <x v="1"/>
    <x v="283"/>
    <x v="4"/>
    <x v="1"/>
    <x v="0"/>
    <x v="413"/>
    <x v="0"/>
  </r>
  <r>
    <x v="0"/>
    <x v="0"/>
    <x v="284"/>
    <x v="0"/>
    <x v="1"/>
    <x v="2"/>
    <x v="414"/>
    <x v="0"/>
  </r>
  <r>
    <x v="32"/>
    <x v="0"/>
    <x v="285"/>
    <x v="1"/>
    <x v="1"/>
    <x v="1"/>
    <x v="415"/>
    <x v="1"/>
  </r>
  <r>
    <x v="14"/>
    <x v="1"/>
    <x v="22"/>
    <x v="0"/>
    <x v="1"/>
    <x v="1"/>
    <x v="416"/>
    <x v="2"/>
  </r>
  <r>
    <x v="26"/>
    <x v="0"/>
    <x v="286"/>
    <x v="3"/>
    <x v="0"/>
    <x v="0"/>
    <x v="417"/>
    <x v="1"/>
  </r>
  <r>
    <x v="33"/>
    <x v="1"/>
    <x v="287"/>
    <x v="1"/>
    <x v="1"/>
    <x v="1"/>
    <x v="418"/>
    <x v="3"/>
  </r>
  <r>
    <x v="18"/>
    <x v="0"/>
    <x v="86"/>
    <x v="0"/>
    <x v="0"/>
    <x v="2"/>
    <x v="419"/>
    <x v="3"/>
  </r>
  <r>
    <x v="33"/>
    <x v="1"/>
    <x v="178"/>
    <x v="0"/>
    <x v="0"/>
    <x v="1"/>
    <x v="420"/>
    <x v="3"/>
  </r>
  <r>
    <x v="35"/>
    <x v="1"/>
    <x v="191"/>
    <x v="0"/>
    <x v="0"/>
    <x v="1"/>
    <x v="421"/>
    <x v="3"/>
  </r>
  <r>
    <x v="29"/>
    <x v="1"/>
    <x v="27"/>
    <x v="1"/>
    <x v="0"/>
    <x v="3"/>
    <x v="422"/>
    <x v="1"/>
  </r>
  <r>
    <x v="9"/>
    <x v="1"/>
    <x v="162"/>
    <x v="0"/>
    <x v="1"/>
    <x v="3"/>
    <x v="423"/>
    <x v="0"/>
  </r>
  <r>
    <x v="28"/>
    <x v="1"/>
    <x v="204"/>
    <x v="3"/>
    <x v="1"/>
    <x v="0"/>
    <x v="424"/>
    <x v="2"/>
  </r>
  <r>
    <x v="39"/>
    <x v="1"/>
    <x v="276"/>
    <x v="4"/>
    <x v="1"/>
    <x v="1"/>
    <x v="425"/>
    <x v="1"/>
  </r>
  <r>
    <x v="25"/>
    <x v="0"/>
    <x v="288"/>
    <x v="1"/>
    <x v="1"/>
    <x v="3"/>
    <x v="426"/>
    <x v="1"/>
  </r>
  <r>
    <x v="1"/>
    <x v="0"/>
    <x v="289"/>
    <x v="0"/>
    <x v="1"/>
    <x v="3"/>
    <x v="427"/>
    <x v="0"/>
  </r>
  <r>
    <x v="27"/>
    <x v="0"/>
    <x v="290"/>
    <x v="1"/>
    <x v="1"/>
    <x v="3"/>
    <x v="428"/>
    <x v="0"/>
  </r>
  <r>
    <x v="13"/>
    <x v="0"/>
    <x v="257"/>
    <x v="2"/>
    <x v="1"/>
    <x v="2"/>
    <x v="429"/>
    <x v="0"/>
  </r>
  <r>
    <x v="0"/>
    <x v="1"/>
    <x v="291"/>
    <x v="0"/>
    <x v="1"/>
    <x v="0"/>
    <x v="430"/>
    <x v="0"/>
  </r>
  <r>
    <x v="38"/>
    <x v="0"/>
    <x v="281"/>
    <x v="3"/>
    <x v="1"/>
    <x v="2"/>
    <x v="431"/>
    <x v="0"/>
  </r>
  <r>
    <x v="44"/>
    <x v="1"/>
    <x v="292"/>
    <x v="0"/>
    <x v="1"/>
    <x v="0"/>
    <x v="432"/>
    <x v="1"/>
  </r>
  <r>
    <x v="8"/>
    <x v="0"/>
    <x v="252"/>
    <x v="0"/>
    <x v="1"/>
    <x v="0"/>
    <x v="433"/>
    <x v="2"/>
  </r>
  <r>
    <x v="5"/>
    <x v="1"/>
    <x v="105"/>
    <x v="1"/>
    <x v="1"/>
    <x v="2"/>
    <x v="434"/>
    <x v="1"/>
  </r>
  <r>
    <x v="8"/>
    <x v="1"/>
    <x v="293"/>
    <x v="2"/>
    <x v="1"/>
    <x v="1"/>
    <x v="435"/>
    <x v="2"/>
  </r>
  <r>
    <x v="20"/>
    <x v="1"/>
    <x v="294"/>
    <x v="0"/>
    <x v="1"/>
    <x v="3"/>
    <x v="436"/>
    <x v="0"/>
  </r>
  <r>
    <x v="22"/>
    <x v="1"/>
    <x v="65"/>
    <x v="2"/>
    <x v="1"/>
    <x v="0"/>
    <x v="437"/>
    <x v="1"/>
  </r>
  <r>
    <x v="14"/>
    <x v="0"/>
    <x v="295"/>
    <x v="4"/>
    <x v="1"/>
    <x v="1"/>
    <x v="438"/>
    <x v="2"/>
  </r>
  <r>
    <x v="21"/>
    <x v="1"/>
    <x v="296"/>
    <x v="0"/>
    <x v="1"/>
    <x v="3"/>
    <x v="439"/>
    <x v="0"/>
  </r>
  <r>
    <x v="5"/>
    <x v="0"/>
    <x v="297"/>
    <x v="1"/>
    <x v="1"/>
    <x v="2"/>
    <x v="440"/>
    <x v="1"/>
  </r>
  <r>
    <x v="3"/>
    <x v="0"/>
    <x v="298"/>
    <x v="0"/>
    <x v="0"/>
    <x v="0"/>
    <x v="441"/>
    <x v="1"/>
  </r>
  <r>
    <x v="1"/>
    <x v="1"/>
    <x v="299"/>
    <x v="0"/>
    <x v="1"/>
    <x v="1"/>
    <x v="442"/>
    <x v="0"/>
  </r>
  <r>
    <x v="17"/>
    <x v="0"/>
    <x v="300"/>
    <x v="1"/>
    <x v="1"/>
    <x v="1"/>
    <x v="443"/>
    <x v="2"/>
  </r>
  <r>
    <x v="12"/>
    <x v="1"/>
    <x v="301"/>
    <x v="1"/>
    <x v="0"/>
    <x v="2"/>
    <x v="444"/>
    <x v="2"/>
  </r>
  <r>
    <x v="39"/>
    <x v="0"/>
    <x v="291"/>
    <x v="0"/>
    <x v="1"/>
    <x v="0"/>
    <x v="445"/>
    <x v="1"/>
  </r>
  <r>
    <x v="8"/>
    <x v="1"/>
    <x v="142"/>
    <x v="0"/>
    <x v="1"/>
    <x v="3"/>
    <x v="446"/>
    <x v="2"/>
  </r>
  <r>
    <x v="12"/>
    <x v="0"/>
    <x v="302"/>
    <x v="0"/>
    <x v="1"/>
    <x v="2"/>
    <x v="447"/>
    <x v="2"/>
  </r>
  <r>
    <x v="29"/>
    <x v="0"/>
    <x v="303"/>
    <x v="0"/>
    <x v="1"/>
    <x v="0"/>
    <x v="448"/>
    <x v="1"/>
  </r>
  <r>
    <x v="22"/>
    <x v="1"/>
    <x v="304"/>
    <x v="1"/>
    <x v="1"/>
    <x v="0"/>
    <x v="449"/>
    <x v="1"/>
  </r>
  <r>
    <x v="46"/>
    <x v="1"/>
    <x v="303"/>
    <x v="5"/>
    <x v="1"/>
    <x v="0"/>
    <x v="450"/>
    <x v="1"/>
  </r>
  <r>
    <x v="15"/>
    <x v="1"/>
    <x v="134"/>
    <x v="1"/>
    <x v="1"/>
    <x v="2"/>
    <x v="451"/>
    <x v="0"/>
  </r>
  <r>
    <x v="23"/>
    <x v="1"/>
    <x v="305"/>
    <x v="0"/>
    <x v="1"/>
    <x v="0"/>
    <x v="452"/>
    <x v="0"/>
  </r>
  <r>
    <x v="34"/>
    <x v="1"/>
    <x v="129"/>
    <x v="0"/>
    <x v="1"/>
    <x v="2"/>
    <x v="453"/>
    <x v="0"/>
  </r>
  <r>
    <x v="4"/>
    <x v="1"/>
    <x v="306"/>
    <x v="3"/>
    <x v="1"/>
    <x v="1"/>
    <x v="454"/>
    <x v="1"/>
  </r>
  <r>
    <x v="17"/>
    <x v="1"/>
    <x v="116"/>
    <x v="0"/>
    <x v="1"/>
    <x v="0"/>
    <x v="455"/>
    <x v="2"/>
  </r>
  <r>
    <x v="19"/>
    <x v="0"/>
    <x v="307"/>
    <x v="3"/>
    <x v="1"/>
    <x v="1"/>
    <x v="456"/>
    <x v="2"/>
  </r>
  <r>
    <x v="37"/>
    <x v="0"/>
    <x v="131"/>
    <x v="0"/>
    <x v="1"/>
    <x v="2"/>
    <x v="457"/>
    <x v="2"/>
  </r>
  <r>
    <x v="12"/>
    <x v="1"/>
    <x v="140"/>
    <x v="0"/>
    <x v="1"/>
    <x v="0"/>
    <x v="458"/>
    <x v="2"/>
  </r>
  <r>
    <x v="29"/>
    <x v="0"/>
    <x v="2"/>
    <x v="2"/>
    <x v="1"/>
    <x v="1"/>
    <x v="459"/>
    <x v="1"/>
  </r>
  <r>
    <x v="41"/>
    <x v="0"/>
    <x v="41"/>
    <x v="2"/>
    <x v="1"/>
    <x v="1"/>
    <x v="460"/>
    <x v="2"/>
  </r>
  <r>
    <x v="44"/>
    <x v="1"/>
    <x v="308"/>
    <x v="0"/>
    <x v="0"/>
    <x v="0"/>
    <x v="461"/>
    <x v="1"/>
  </r>
  <r>
    <x v="10"/>
    <x v="0"/>
    <x v="309"/>
    <x v="3"/>
    <x v="1"/>
    <x v="3"/>
    <x v="462"/>
    <x v="3"/>
  </r>
  <r>
    <x v="12"/>
    <x v="1"/>
    <x v="63"/>
    <x v="0"/>
    <x v="1"/>
    <x v="3"/>
    <x v="463"/>
    <x v="2"/>
  </r>
  <r>
    <x v="0"/>
    <x v="1"/>
    <x v="124"/>
    <x v="0"/>
    <x v="1"/>
    <x v="2"/>
    <x v="464"/>
    <x v="0"/>
  </r>
  <r>
    <x v="15"/>
    <x v="0"/>
    <x v="310"/>
    <x v="1"/>
    <x v="0"/>
    <x v="1"/>
    <x v="465"/>
    <x v="0"/>
  </r>
  <r>
    <x v="8"/>
    <x v="0"/>
    <x v="311"/>
    <x v="1"/>
    <x v="1"/>
    <x v="0"/>
    <x v="466"/>
    <x v="2"/>
  </r>
  <r>
    <x v="12"/>
    <x v="0"/>
    <x v="312"/>
    <x v="3"/>
    <x v="1"/>
    <x v="2"/>
    <x v="467"/>
    <x v="2"/>
  </r>
  <r>
    <x v="2"/>
    <x v="0"/>
    <x v="200"/>
    <x v="1"/>
    <x v="1"/>
    <x v="3"/>
    <x v="468"/>
    <x v="0"/>
  </r>
  <r>
    <x v="1"/>
    <x v="0"/>
    <x v="313"/>
    <x v="1"/>
    <x v="1"/>
    <x v="1"/>
    <x v="469"/>
    <x v="0"/>
  </r>
  <r>
    <x v="13"/>
    <x v="1"/>
    <x v="314"/>
    <x v="0"/>
    <x v="1"/>
    <x v="1"/>
    <x v="470"/>
    <x v="0"/>
  </r>
  <r>
    <x v="1"/>
    <x v="0"/>
    <x v="95"/>
    <x v="0"/>
    <x v="1"/>
    <x v="3"/>
    <x v="471"/>
    <x v="0"/>
  </r>
  <r>
    <x v="0"/>
    <x v="0"/>
    <x v="141"/>
    <x v="0"/>
    <x v="1"/>
    <x v="0"/>
    <x v="472"/>
    <x v="0"/>
  </r>
  <r>
    <x v="42"/>
    <x v="0"/>
    <x v="150"/>
    <x v="0"/>
    <x v="1"/>
    <x v="3"/>
    <x v="473"/>
    <x v="2"/>
  </r>
  <r>
    <x v="40"/>
    <x v="1"/>
    <x v="315"/>
    <x v="2"/>
    <x v="0"/>
    <x v="0"/>
    <x v="474"/>
    <x v="2"/>
  </r>
  <r>
    <x v="35"/>
    <x v="1"/>
    <x v="33"/>
    <x v="1"/>
    <x v="0"/>
    <x v="2"/>
    <x v="475"/>
    <x v="3"/>
  </r>
  <r>
    <x v="23"/>
    <x v="1"/>
    <x v="70"/>
    <x v="0"/>
    <x v="0"/>
    <x v="3"/>
    <x v="476"/>
    <x v="0"/>
  </r>
  <r>
    <x v="9"/>
    <x v="1"/>
    <x v="50"/>
    <x v="0"/>
    <x v="1"/>
    <x v="2"/>
    <x v="477"/>
    <x v="0"/>
  </r>
  <r>
    <x v="27"/>
    <x v="1"/>
    <x v="139"/>
    <x v="0"/>
    <x v="1"/>
    <x v="1"/>
    <x v="478"/>
    <x v="0"/>
  </r>
  <r>
    <x v="11"/>
    <x v="1"/>
    <x v="316"/>
    <x v="0"/>
    <x v="1"/>
    <x v="1"/>
    <x v="479"/>
    <x v="0"/>
  </r>
  <r>
    <x v="18"/>
    <x v="1"/>
    <x v="317"/>
    <x v="2"/>
    <x v="1"/>
    <x v="2"/>
    <x v="480"/>
    <x v="3"/>
  </r>
  <r>
    <x v="41"/>
    <x v="1"/>
    <x v="228"/>
    <x v="3"/>
    <x v="1"/>
    <x v="1"/>
    <x v="481"/>
    <x v="2"/>
  </r>
  <r>
    <x v="1"/>
    <x v="0"/>
    <x v="112"/>
    <x v="0"/>
    <x v="1"/>
    <x v="1"/>
    <x v="482"/>
    <x v="0"/>
  </r>
  <r>
    <x v="43"/>
    <x v="0"/>
    <x v="318"/>
    <x v="1"/>
    <x v="1"/>
    <x v="0"/>
    <x v="483"/>
    <x v="2"/>
  </r>
  <r>
    <x v="28"/>
    <x v="1"/>
    <x v="319"/>
    <x v="2"/>
    <x v="1"/>
    <x v="0"/>
    <x v="484"/>
    <x v="2"/>
  </r>
  <r>
    <x v="5"/>
    <x v="0"/>
    <x v="320"/>
    <x v="0"/>
    <x v="1"/>
    <x v="3"/>
    <x v="485"/>
    <x v="1"/>
  </r>
  <r>
    <x v="40"/>
    <x v="0"/>
    <x v="321"/>
    <x v="2"/>
    <x v="1"/>
    <x v="2"/>
    <x v="486"/>
    <x v="2"/>
  </r>
  <r>
    <x v="0"/>
    <x v="1"/>
    <x v="311"/>
    <x v="0"/>
    <x v="1"/>
    <x v="0"/>
    <x v="487"/>
    <x v="0"/>
  </r>
  <r>
    <x v="36"/>
    <x v="0"/>
    <x v="179"/>
    <x v="0"/>
    <x v="0"/>
    <x v="1"/>
    <x v="488"/>
    <x v="1"/>
  </r>
  <r>
    <x v="31"/>
    <x v="1"/>
    <x v="84"/>
    <x v="1"/>
    <x v="1"/>
    <x v="2"/>
    <x v="489"/>
    <x v="2"/>
  </r>
  <r>
    <x v="0"/>
    <x v="0"/>
    <x v="260"/>
    <x v="0"/>
    <x v="1"/>
    <x v="0"/>
    <x v="490"/>
    <x v="0"/>
  </r>
  <r>
    <x v="35"/>
    <x v="0"/>
    <x v="322"/>
    <x v="0"/>
    <x v="1"/>
    <x v="1"/>
    <x v="491"/>
    <x v="3"/>
  </r>
  <r>
    <x v="1"/>
    <x v="0"/>
    <x v="322"/>
    <x v="0"/>
    <x v="1"/>
    <x v="3"/>
    <x v="492"/>
    <x v="0"/>
  </r>
  <r>
    <x v="35"/>
    <x v="1"/>
    <x v="323"/>
    <x v="0"/>
    <x v="1"/>
    <x v="0"/>
    <x v="493"/>
    <x v="3"/>
  </r>
  <r>
    <x v="27"/>
    <x v="1"/>
    <x v="324"/>
    <x v="5"/>
    <x v="0"/>
    <x v="0"/>
    <x v="494"/>
    <x v="0"/>
  </r>
  <r>
    <x v="34"/>
    <x v="1"/>
    <x v="325"/>
    <x v="0"/>
    <x v="1"/>
    <x v="3"/>
    <x v="495"/>
    <x v="0"/>
  </r>
  <r>
    <x v="5"/>
    <x v="0"/>
    <x v="277"/>
    <x v="3"/>
    <x v="1"/>
    <x v="0"/>
    <x v="496"/>
    <x v="1"/>
  </r>
  <r>
    <x v="39"/>
    <x v="1"/>
    <x v="311"/>
    <x v="3"/>
    <x v="1"/>
    <x v="0"/>
    <x v="497"/>
    <x v="1"/>
  </r>
  <r>
    <x v="36"/>
    <x v="0"/>
    <x v="68"/>
    <x v="3"/>
    <x v="1"/>
    <x v="1"/>
    <x v="498"/>
    <x v="1"/>
  </r>
  <r>
    <x v="10"/>
    <x v="0"/>
    <x v="326"/>
    <x v="0"/>
    <x v="1"/>
    <x v="0"/>
    <x v="499"/>
    <x v="3"/>
  </r>
  <r>
    <x v="38"/>
    <x v="1"/>
    <x v="12"/>
    <x v="0"/>
    <x v="0"/>
    <x v="0"/>
    <x v="500"/>
    <x v="0"/>
  </r>
  <r>
    <x v="32"/>
    <x v="1"/>
    <x v="327"/>
    <x v="0"/>
    <x v="1"/>
    <x v="3"/>
    <x v="501"/>
    <x v="1"/>
  </r>
  <r>
    <x v="43"/>
    <x v="1"/>
    <x v="174"/>
    <x v="1"/>
    <x v="0"/>
    <x v="1"/>
    <x v="502"/>
    <x v="2"/>
  </r>
  <r>
    <x v="0"/>
    <x v="1"/>
    <x v="328"/>
    <x v="0"/>
    <x v="0"/>
    <x v="1"/>
    <x v="503"/>
    <x v="0"/>
  </r>
  <r>
    <x v="25"/>
    <x v="0"/>
    <x v="329"/>
    <x v="1"/>
    <x v="1"/>
    <x v="1"/>
    <x v="504"/>
    <x v="1"/>
  </r>
  <r>
    <x v="7"/>
    <x v="1"/>
    <x v="99"/>
    <x v="2"/>
    <x v="1"/>
    <x v="2"/>
    <x v="505"/>
    <x v="1"/>
  </r>
  <r>
    <x v="20"/>
    <x v="1"/>
    <x v="112"/>
    <x v="1"/>
    <x v="1"/>
    <x v="2"/>
    <x v="506"/>
    <x v="0"/>
  </r>
  <r>
    <x v="27"/>
    <x v="1"/>
    <x v="110"/>
    <x v="3"/>
    <x v="1"/>
    <x v="2"/>
    <x v="507"/>
    <x v="0"/>
  </r>
  <r>
    <x v="23"/>
    <x v="0"/>
    <x v="235"/>
    <x v="0"/>
    <x v="1"/>
    <x v="3"/>
    <x v="508"/>
    <x v="0"/>
  </r>
  <r>
    <x v="37"/>
    <x v="0"/>
    <x v="311"/>
    <x v="0"/>
    <x v="1"/>
    <x v="0"/>
    <x v="509"/>
    <x v="2"/>
  </r>
  <r>
    <x v="12"/>
    <x v="1"/>
    <x v="159"/>
    <x v="1"/>
    <x v="1"/>
    <x v="3"/>
    <x v="510"/>
    <x v="2"/>
  </r>
  <r>
    <x v="13"/>
    <x v="1"/>
    <x v="61"/>
    <x v="0"/>
    <x v="1"/>
    <x v="1"/>
    <x v="511"/>
    <x v="0"/>
  </r>
  <r>
    <x v="43"/>
    <x v="1"/>
    <x v="64"/>
    <x v="0"/>
    <x v="1"/>
    <x v="3"/>
    <x v="512"/>
    <x v="2"/>
  </r>
  <r>
    <x v="0"/>
    <x v="1"/>
    <x v="257"/>
    <x v="0"/>
    <x v="1"/>
    <x v="0"/>
    <x v="513"/>
    <x v="0"/>
  </r>
  <r>
    <x v="46"/>
    <x v="1"/>
    <x v="115"/>
    <x v="1"/>
    <x v="0"/>
    <x v="0"/>
    <x v="514"/>
    <x v="1"/>
  </r>
  <r>
    <x v="30"/>
    <x v="1"/>
    <x v="330"/>
    <x v="0"/>
    <x v="1"/>
    <x v="0"/>
    <x v="515"/>
    <x v="2"/>
  </r>
  <r>
    <x v="34"/>
    <x v="1"/>
    <x v="331"/>
    <x v="1"/>
    <x v="1"/>
    <x v="1"/>
    <x v="516"/>
    <x v="0"/>
  </r>
  <r>
    <x v="39"/>
    <x v="1"/>
    <x v="131"/>
    <x v="3"/>
    <x v="1"/>
    <x v="2"/>
    <x v="517"/>
    <x v="1"/>
  </r>
  <r>
    <x v="22"/>
    <x v="0"/>
    <x v="332"/>
    <x v="1"/>
    <x v="1"/>
    <x v="0"/>
    <x v="518"/>
    <x v="1"/>
  </r>
  <r>
    <x v="5"/>
    <x v="1"/>
    <x v="99"/>
    <x v="0"/>
    <x v="1"/>
    <x v="3"/>
    <x v="519"/>
    <x v="1"/>
  </r>
  <r>
    <x v="45"/>
    <x v="0"/>
    <x v="60"/>
    <x v="0"/>
    <x v="1"/>
    <x v="3"/>
    <x v="520"/>
    <x v="2"/>
  </r>
  <r>
    <x v="4"/>
    <x v="0"/>
    <x v="333"/>
    <x v="0"/>
    <x v="1"/>
    <x v="1"/>
    <x v="521"/>
    <x v="1"/>
  </r>
  <r>
    <x v="43"/>
    <x v="0"/>
    <x v="113"/>
    <x v="0"/>
    <x v="1"/>
    <x v="3"/>
    <x v="522"/>
    <x v="2"/>
  </r>
  <r>
    <x v="25"/>
    <x v="0"/>
    <x v="132"/>
    <x v="0"/>
    <x v="1"/>
    <x v="1"/>
    <x v="523"/>
    <x v="1"/>
  </r>
  <r>
    <x v="44"/>
    <x v="1"/>
    <x v="334"/>
    <x v="1"/>
    <x v="0"/>
    <x v="1"/>
    <x v="524"/>
    <x v="1"/>
  </r>
  <r>
    <x v="1"/>
    <x v="0"/>
    <x v="178"/>
    <x v="0"/>
    <x v="1"/>
    <x v="1"/>
    <x v="525"/>
    <x v="0"/>
  </r>
  <r>
    <x v="0"/>
    <x v="0"/>
    <x v="162"/>
    <x v="3"/>
    <x v="1"/>
    <x v="2"/>
    <x v="526"/>
    <x v="0"/>
  </r>
  <r>
    <x v="43"/>
    <x v="0"/>
    <x v="335"/>
    <x v="1"/>
    <x v="1"/>
    <x v="0"/>
    <x v="527"/>
    <x v="2"/>
  </r>
  <r>
    <x v="6"/>
    <x v="1"/>
    <x v="336"/>
    <x v="1"/>
    <x v="1"/>
    <x v="3"/>
    <x v="528"/>
    <x v="2"/>
  </r>
  <r>
    <x v="1"/>
    <x v="1"/>
    <x v="94"/>
    <x v="0"/>
    <x v="1"/>
    <x v="3"/>
    <x v="529"/>
    <x v="0"/>
  </r>
  <r>
    <x v="37"/>
    <x v="1"/>
    <x v="14"/>
    <x v="1"/>
    <x v="0"/>
    <x v="1"/>
    <x v="530"/>
    <x v="2"/>
  </r>
  <r>
    <x v="10"/>
    <x v="0"/>
    <x v="294"/>
    <x v="0"/>
    <x v="1"/>
    <x v="3"/>
    <x v="531"/>
    <x v="3"/>
  </r>
  <r>
    <x v="17"/>
    <x v="1"/>
    <x v="102"/>
    <x v="3"/>
    <x v="1"/>
    <x v="1"/>
    <x v="532"/>
    <x v="2"/>
  </r>
  <r>
    <x v="7"/>
    <x v="1"/>
    <x v="67"/>
    <x v="0"/>
    <x v="1"/>
    <x v="1"/>
    <x v="533"/>
    <x v="1"/>
  </r>
  <r>
    <x v="33"/>
    <x v="1"/>
    <x v="337"/>
    <x v="0"/>
    <x v="1"/>
    <x v="1"/>
    <x v="534"/>
    <x v="3"/>
  </r>
  <r>
    <x v="25"/>
    <x v="1"/>
    <x v="24"/>
    <x v="1"/>
    <x v="1"/>
    <x v="3"/>
    <x v="535"/>
    <x v="1"/>
  </r>
  <r>
    <x v="3"/>
    <x v="0"/>
    <x v="338"/>
    <x v="2"/>
    <x v="1"/>
    <x v="0"/>
    <x v="536"/>
    <x v="1"/>
  </r>
  <r>
    <x v="6"/>
    <x v="0"/>
    <x v="204"/>
    <x v="3"/>
    <x v="1"/>
    <x v="0"/>
    <x v="537"/>
    <x v="2"/>
  </r>
  <r>
    <x v="6"/>
    <x v="0"/>
    <x v="123"/>
    <x v="1"/>
    <x v="1"/>
    <x v="1"/>
    <x v="538"/>
    <x v="2"/>
  </r>
  <r>
    <x v="31"/>
    <x v="1"/>
    <x v="112"/>
    <x v="0"/>
    <x v="1"/>
    <x v="1"/>
    <x v="539"/>
    <x v="2"/>
  </r>
  <r>
    <x v="16"/>
    <x v="0"/>
    <x v="229"/>
    <x v="2"/>
    <x v="1"/>
    <x v="0"/>
    <x v="540"/>
    <x v="1"/>
  </r>
  <r>
    <x v="34"/>
    <x v="0"/>
    <x v="211"/>
    <x v="3"/>
    <x v="1"/>
    <x v="1"/>
    <x v="541"/>
    <x v="0"/>
  </r>
  <r>
    <x v="18"/>
    <x v="0"/>
    <x v="29"/>
    <x v="0"/>
    <x v="1"/>
    <x v="1"/>
    <x v="542"/>
    <x v="3"/>
  </r>
  <r>
    <x v="40"/>
    <x v="0"/>
    <x v="339"/>
    <x v="0"/>
    <x v="0"/>
    <x v="1"/>
    <x v="543"/>
    <x v="2"/>
  </r>
  <r>
    <x v="40"/>
    <x v="1"/>
    <x v="267"/>
    <x v="0"/>
    <x v="1"/>
    <x v="2"/>
    <x v="544"/>
    <x v="2"/>
  </r>
  <r>
    <x v="41"/>
    <x v="1"/>
    <x v="9"/>
    <x v="3"/>
    <x v="0"/>
    <x v="2"/>
    <x v="545"/>
    <x v="2"/>
  </r>
  <r>
    <x v="2"/>
    <x v="1"/>
    <x v="340"/>
    <x v="0"/>
    <x v="1"/>
    <x v="3"/>
    <x v="546"/>
    <x v="0"/>
  </r>
  <r>
    <x v="40"/>
    <x v="0"/>
    <x v="341"/>
    <x v="3"/>
    <x v="1"/>
    <x v="0"/>
    <x v="547"/>
    <x v="2"/>
  </r>
  <r>
    <x v="9"/>
    <x v="0"/>
    <x v="105"/>
    <x v="0"/>
    <x v="1"/>
    <x v="3"/>
    <x v="548"/>
    <x v="0"/>
  </r>
  <r>
    <x v="32"/>
    <x v="0"/>
    <x v="342"/>
    <x v="0"/>
    <x v="0"/>
    <x v="1"/>
    <x v="549"/>
    <x v="1"/>
  </r>
  <r>
    <x v="18"/>
    <x v="1"/>
    <x v="43"/>
    <x v="0"/>
    <x v="1"/>
    <x v="0"/>
    <x v="550"/>
    <x v="3"/>
  </r>
  <r>
    <x v="4"/>
    <x v="0"/>
    <x v="329"/>
    <x v="0"/>
    <x v="1"/>
    <x v="1"/>
    <x v="551"/>
    <x v="1"/>
  </r>
  <r>
    <x v="10"/>
    <x v="1"/>
    <x v="343"/>
    <x v="0"/>
    <x v="1"/>
    <x v="0"/>
    <x v="552"/>
    <x v="3"/>
  </r>
  <r>
    <x v="14"/>
    <x v="0"/>
    <x v="294"/>
    <x v="3"/>
    <x v="1"/>
    <x v="2"/>
    <x v="553"/>
    <x v="2"/>
  </r>
  <r>
    <x v="9"/>
    <x v="0"/>
    <x v="317"/>
    <x v="0"/>
    <x v="1"/>
    <x v="3"/>
    <x v="554"/>
    <x v="0"/>
  </r>
  <r>
    <x v="2"/>
    <x v="1"/>
    <x v="344"/>
    <x v="3"/>
    <x v="1"/>
    <x v="0"/>
    <x v="555"/>
    <x v="0"/>
  </r>
  <r>
    <x v="6"/>
    <x v="1"/>
    <x v="6"/>
    <x v="1"/>
    <x v="1"/>
    <x v="3"/>
    <x v="556"/>
    <x v="2"/>
  </r>
  <r>
    <x v="16"/>
    <x v="1"/>
    <x v="194"/>
    <x v="0"/>
    <x v="1"/>
    <x v="1"/>
    <x v="557"/>
    <x v="1"/>
  </r>
  <r>
    <x v="22"/>
    <x v="0"/>
    <x v="237"/>
    <x v="2"/>
    <x v="0"/>
    <x v="2"/>
    <x v="558"/>
    <x v="1"/>
  </r>
  <r>
    <x v="0"/>
    <x v="1"/>
    <x v="76"/>
    <x v="0"/>
    <x v="1"/>
    <x v="2"/>
    <x v="559"/>
    <x v="0"/>
  </r>
  <r>
    <x v="6"/>
    <x v="0"/>
    <x v="91"/>
    <x v="3"/>
    <x v="1"/>
    <x v="2"/>
    <x v="560"/>
    <x v="2"/>
  </r>
  <r>
    <x v="40"/>
    <x v="0"/>
    <x v="297"/>
    <x v="0"/>
    <x v="1"/>
    <x v="3"/>
    <x v="561"/>
    <x v="2"/>
  </r>
  <r>
    <x v="13"/>
    <x v="1"/>
    <x v="252"/>
    <x v="0"/>
    <x v="1"/>
    <x v="0"/>
    <x v="562"/>
    <x v="0"/>
  </r>
  <r>
    <x v="45"/>
    <x v="1"/>
    <x v="345"/>
    <x v="1"/>
    <x v="1"/>
    <x v="1"/>
    <x v="563"/>
    <x v="2"/>
  </r>
  <r>
    <x v="1"/>
    <x v="0"/>
    <x v="346"/>
    <x v="3"/>
    <x v="1"/>
    <x v="1"/>
    <x v="564"/>
    <x v="0"/>
  </r>
  <r>
    <x v="0"/>
    <x v="0"/>
    <x v="131"/>
    <x v="0"/>
    <x v="1"/>
    <x v="2"/>
    <x v="565"/>
    <x v="0"/>
  </r>
  <r>
    <x v="25"/>
    <x v="0"/>
    <x v="214"/>
    <x v="1"/>
    <x v="1"/>
    <x v="2"/>
    <x v="566"/>
    <x v="1"/>
  </r>
  <r>
    <x v="24"/>
    <x v="1"/>
    <x v="162"/>
    <x v="3"/>
    <x v="1"/>
    <x v="2"/>
    <x v="567"/>
    <x v="1"/>
  </r>
  <r>
    <x v="41"/>
    <x v="0"/>
    <x v="125"/>
    <x v="4"/>
    <x v="1"/>
    <x v="0"/>
    <x v="568"/>
    <x v="2"/>
  </r>
  <r>
    <x v="28"/>
    <x v="1"/>
    <x v="214"/>
    <x v="3"/>
    <x v="0"/>
    <x v="2"/>
    <x v="569"/>
    <x v="2"/>
  </r>
  <r>
    <x v="5"/>
    <x v="0"/>
    <x v="347"/>
    <x v="0"/>
    <x v="1"/>
    <x v="0"/>
    <x v="570"/>
    <x v="1"/>
  </r>
  <r>
    <x v="1"/>
    <x v="0"/>
    <x v="348"/>
    <x v="1"/>
    <x v="1"/>
    <x v="1"/>
    <x v="571"/>
    <x v="0"/>
  </r>
  <r>
    <x v="15"/>
    <x v="0"/>
    <x v="349"/>
    <x v="3"/>
    <x v="1"/>
    <x v="1"/>
    <x v="572"/>
    <x v="0"/>
  </r>
  <r>
    <x v="10"/>
    <x v="0"/>
    <x v="350"/>
    <x v="1"/>
    <x v="1"/>
    <x v="3"/>
    <x v="573"/>
    <x v="3"/>
  </r>
  <r>
    <x v="37"/>
    <x v="0"/>
    <x v="351"/>
    <x v="3"/>
    <x v="1"/>
    <x v="3"/>
    <x v="574"/>
    <x v="2"/>
  </r>
  <r>
    <x v="30"/>
    <x v="0"/>
    <x v="107"/>
    <x v="0"/>
    <x v="1"/>
    <x v="2"/>
    <x v="575"/>
    <x v="2"/>
  </r>
  <r>
    <x v="20"/>
    <x v="1"/>
    <x v="199"/>
    <x v="0"/>
    <x v="1"/>
    <x v="1"/>
    <x v="576"/>
    <x v="0"/>
  </r>
  <r>
    <x v="5"/>
    <x v="0"/>
    <x v="309"/>
    <x v="1"/>
    <x v="0"/>
    <x v="3"/>
    <x v="577"/>
    <x v="1"/>
  </r>
  <r>
    <x v="14"/>
    <x v="1"/>
    <x v="204"/>
    <x v="1"/>
    <x v="1"/>
    <x v="0"/>
    <x v="578"/>
    <x v="2"/>
  </r>
  <r>
    <x v="9"/>
    <x v="0"/>
    <x v="352"/>
    <x v="0"/>
    <x v="1"/>
    <x v="3"/>
    <x v="579"/>
    <x v="0"/>
  </r>
  <r>
    <x v="17"/>
    <x v="1"/>
    <x v="94"/>
    <x v="1"/>
    <x v="1"/>
    <x v="3"/>
    <x v="580"/>
    <x v="2"/>
  </r>
  <r>
    <x v="0"/>
    <x v="1"/>
    <x v="162"/>
    <x v="0"/>
    <x v="1"/>
    <x v="2"/>
    <x v="195"/>
    <x v="0"/>
  </r>
  <r>
    <x v="46"/>
    <x v="1"/>
    <x v="353"/>
    <x v="3"/>
    <x v="1"/>
    <x v="1"/>
    <x v="581"/>
    <x v="1"/>
  </r>
  <r>
    <x v="4"/>
    <x v="0"/>
    <x v="354"/>
    <x v="1"/>
    <x v="1"/>
    <x v="1"/>
    <x v="582"/>
    <x v="1"/>
  </r>
  <r>
    <x v="0"/>
    <x v="1"/>
    <x v="355"/>
    <x v="0"/>
    <x v="1"/>
    <x v="0"/>
    <x v="583"/>
    <x v="0"/>
  </r>
  <r>
    <x v="3"/>
    <x v="0"/>
    <x v="356"/>
    <x v="1"/>
    <x v="1"/>
    <x v="1"/>
    <x v="584"/>
    <x v="1"/>
  </r>
  <r>
    <x v="27"/>
    <x v="1"/>
    <x v="281"/>
    <x v="2"/>
    <x v="1"/>
    <x v="3"/>
    <x v="585"/>
    <x v="0"/>
  </r>
  <r>
    <x v="16"/>
    <x v="0"/>
    <x v="267"/>
    <x v="1"/>
    <x v="0"/>
    <x v="2"/>
    <x v="586"/>
    <x v="1"/>
  </r>
  <r>
    <x v="35"/>
    <x v="0"/>
    <x v="357"/>
    <x v="0"/>
    <x v="1"/>
    <x v="3"/>
    <x v="587"/>
    <x v="3"/>
  </r>
  <r>
    <x v="25"/>
    <x v="0"/>
    <x v="155"/>
    <x v="1"/>
    <x v="1"/>
    <x v="1"/>
    <x v="588"/>
    <x v="1"/>
  </r>
  <r>
    <x v="30"/>
    <x v="0"/>
    <x v="358"/>
    <x v="0"/>
    <x v="1"/>
    <x v="0"/>
    <x v="589"/>
    <x v="2"/>
  </r>
  <r>
    <x v="42"/>
    <x v="1"/>
    <x v="359"/>
    <x v="1"/>
    <x v="1"/>
    <x v="2"/>
    <x v="590"/>
    <x v="2"/>
  </r>
  <r>
    <x v="34"/>
    <x v="1"/>
    <x v="360"/>
    <x v="3"/>
    <x v="1"/>
    <x v="1"/>
    <x v="591"/>
    <x v="0"/>
  </r>
  <r>
    <x v="27"/>
    <x v="0"/>
    <x v="361"/>
    <x v="1"/>
    <x v="0"/>
    <x v="3"/>
    <x v="592"/>
    <x v="0"/>
  </r>
  <r>
    <x v="24"/>
    <x v="1"/>
    <x v="362"/>
    <x v="0"/>
    <x v="1"/>
    <x v="1"/>
    <x v="593"/>
    <x v="1"/>
  </r>
  <r>
    <x v="6"/>
    <x v="0"/>
    <x v="363"/>
    <x v="1"/>
    <x v="1"/>
    <x v="3"/>
    <x v="594"/>
    <x v="2"/>
  </r>
  <r>
    <x v="44"/>
    <x v="0"/>
    <x v="364"/>
    <x v="3"/>
    <x v="1"/>
    <x v="1"/>
    <x v="595"/>
    <x v="1"/>
  </r>
  <r>
    <x v="16"/>
    <x v="0"/>
    <x v="176"/>
    <x v="1"/>
    <x v="1"/>
    <x v="3"/>
    <x v="596"/>
    <x v="1"/>
  </r>
  <r>
    <x v="32"/>
    <x v="1"/>
    <x v="365"/>
    <x v="3"/>
    <x v="1"/>
    <x v="0"/>
    <x v="597"/>
    <x v="1"/>
  </r>
  <r>
    <x v="14"/>
    <x v="0"/>
    <x v="366"/>
    <x v="3"/>
    <x v="1"/>
    <x v="2"/>
    <x v="598"/>
    <x v="2"/>
  </r>
  <r>
    <x v="1"/>
    <x v="0"/>
    <x v="287"/>
    <x v="0"/>
    <x v="1"/>
    <x v="1"/>
    <x v="599"/>
    <x v="0"/>
  </r>
  <r>
    <x v="43"/>
    <x v="1"/>
    <x v="181"/>
    <x v="0"/>
    <x v="1"/>
    <x v="2"/>
    <x v="600"/>
    <x v="2"/>
  </r>
  <r>
    <x v="12"/>
    <x v="0"/>
    <x v="128"/>
    <x v="0"/>
    <x v="1"/>
    <x v="0"/>
    <x v="601"/>
    <x v="2"/>
  </r>
  <r>
    <x v="33"/>
    <x v="0"/>
    <x v="266"/>
    <x v="2"/>
    <x v="1"/>
    <x v="1"/>
    <x v="602"/>
    <x v="3"/>
  </r>
  <r>
    <x v="0"/>
    <x v="0"/>
    <x v="33"/>
    <x v="0"/>
    <x v="0"/>
    <x v="2"/>
    <x v="603"/>
    <x v="0"/>
  </r>
  <r>
    <x v="43"/>
    <x v="0"/>
    <x v="22"/>
    <x v="0"/>
    <x v="1"/>
    <x v="1"/>
    <x v="604"/>
    <x v="2"/>
  </r>
  <r>
    <x v="13"/>
    <x v="0"/>
    <x v="124"/>
    <x v="0"/>
    <x v="1"/>
    <x v="3"/>
    <x v="605"/>
    <x v="0"/>
  </r>
  <r>
    <x v="17"/>
    <x v="0"/>
    <x v="367"/>
    <x v="0"/>
    <x v="0"/>
    <x v="2"/>
    <x v="606"/>
    <x v="2"/>
  </r>
  <r>
    <x v="2"/>
    <x v="1"/>
    <x v="86"/>
    <x v="3"/>
    <x v="1"/>
    <x v="3"/>
    <x v="607"/>
    <x v="0"/>
  </r>
  <r>
    <x v="15"/>
    <x v="1"/>
    <x v="368"/>
    <x v="3"/>
    <x v="0"/>
    <x v="0"/>
    <x v="608"/>
    <x v="0"/>
  </r>
  <r>
    <x v="42"/>
    <x v="0"/>
    <x v="205"/>
    <x v="1"/>
    <x v="1"/>
    <x v="1"/>
    <x v="609"/>
    <x v="2"/>
  </r>
  <r>
    <x v="25"/>
    <x v="0"/>
    <x v="82"/>
    <x v="3"/>
    <x v="1"/>
    <x v="0"/>
    <x v="610"/>
    <x v="1"/>
  </r>
  <r>
    <x v="1"/>
    <x v="0"/>
    <x v="145"/>
    <x v="0"/>
    <x v="1"/>
    <x v="3"/>
    <x v="611"/>
    <x v="0"/>
  </r>
  <r>
    <x v="16"/>
    <x v="0"/>
    <x v="369"/>
    <x v="2"/>
    <x v="1"/>
    <x v="3"/>
    <x v="612"/>
    <x v="1"/>
  </r>
  <r>
    <x v="34"/>
    <x v="0"/>
    <x v="2"/>
    <x v="0"/>
    <x v="1"/>
    <x v="1"/>
    <x v="613"/>
    <x v="0"/>
  </r>
  <r>
    <x v="42"/>
    <x v="0"/>
    <x v="41"/>
    <x v="1"/>
    <x v="0"/>
    <x v="1"/>
    <x v="614"/>
    <x v="2"/>
  </r>
  <r>
    <x v="12"/>
    <x v="0"/>
    <x v="105"/>
    <x v="0"/>
    <x v="1"/>
    <x v="3"/>
    <x v="615"/>
    <x v="2"/>
  </r>
  <r>
    <x v="41"/>
    <x v="1"/>
    <x v="248"/>
    <x v="3"/>
    <x v="0"/>
    <x v="0"/>
    <x v="616"/>
    <x v="2"/>
  </r>
  <r>
    <x v="0"/>
    <x v="0"/>
    <x v="293"/>
    <x v="0"/>
    <x v="0"/>
    <x v="1"/>
    <x v="617"/>
    <x v="0"/>
  </r>
  <r>
    <x v="19"/>
    <x v="0"/>
    <x v="109"/>
    <x v="0"/>
    <x v="1"/>
    <x v="0"/>
    <x v="618"/>
    <x v="2"/>
  </r>
  <r>
    <x v="15"/>
    <x v="1"/>
    <x v="234"/>
    <x v="1"/>
    <x v="1"/>
    <x v="0"/>
    <x v="619"/>
    <x v="0"/>
  </r>
  <r>
    <x v="7"/>
    <x v="1"/>
    <x v="22"/>
    <x v="5"/>
    <x v="0"/>
    <x v="0"/>
    <x v="620"/>
    <x v="1"/>
  </r>
  <r>
    <x v="41"/>
    <x v="0"/>
    <x v="370"/>
    <x v="1"/>
    <x v="1"/>
    <x v="0"/>
    <x v="621"/>
    <x v="2"/>
  </r>
  <r>
    <x v="1"/>
    <x v="1"/>
    <x v="371"/>
    <x v="0"/>
    <x v="0"/>
    <x v="3"/>
    <x v="622"/>
    <x v="0"/>
  </r>
  <r>
    <x v="17"/>
    <x v="1"/>
    <x v="114"/>
    <x v="0"/>
    <x v="1"/>
    <x v="2"/>
    <x v="623"/>
    <x v="2"/>
  </r>
  <r>
    <x v="38"/>
    <x v="0"/>
    <x v="327"/>
    <x v="0"/>
    <x v="1"/>
    <x v="2"/>
    <x v="624"/>
    <x v="0"/>
  </r>
  <r>
    <x v="26"/>
    <x v="1"/>
    <x v="4"/>
    <x v="2"/>
    <x v="1"/>
    <x v="3"/>
    <x v="625"/>
    <x v="1"/>
  </r>
  <r>
    <x v="3"/>
    <x v="1"/>
    <x v="372"/>
    <x v="1"/>
    <x v="1"/>
    <x v="1"/>
    <x v="626"/>
    <x v="1"/>
  </r>
  <r>
    <x v="30"/>
    <x v="1"/>
    <x v="229"/>
    <x v="0"/>
    <x v="1"/>
    <x v="0"/>
    <x v="627"/>
    <x v="2"/>
  </r>
  <r>
    <x v="36"/>
    <x v="0"/>
    <x v="373"/>
    <x v="0"/>
    <x v="0"/>
    <x v="2"/>
    <x v="628"/>
    <x v="1"/>
  </r>
  <r>
    <x v="31"/>
    <x v="1"/>
    <x v="374"/>
    <x v="1"/>
    <x v="1"/>
    <x v="0"/>
    <x v="629"/>
    <x v="2"/>
  </r>
  <r>
    <x v="23"/>
    <x v="1"/>
    <x v="375"/>
    <x v="0"/>
    <x v="1"/>
    <x v="0"/>
    <x v="630"/>
    <x v="0"/>
  </r>
  <r>
    <x v="38"/>
    <x v="0"/>
    <x v="76"/>
    <x v="0"/>
    <x v="1"/>
    <x v="1"/>
    <x v="631"/>
    <x v="0"/>
  </r>
  <r>
    <x v="29"/>
    <x v="1"/>
    <x v="3"/>
    <x v="3"/>
    <x v="1"/>
    <x v="3"/>
    <x v="632"/>
    <x v="1"/>
  </r>
  <r>
    <x v="43"/>
    <x v="1"/>
    <x v="376"/>
    <x v="1"/>
    <x v="1"/>
    <x v="0"/>
    <x v="633"/>
    <x v="2"/>
  </r>
  <r>
    <x v="33"/>
    <x v="1"/>
    <x v="377"/>
    <x v="0"/>
    <x v="1"/>
    <x v="3"/>
    <x v="634"/>
    <x v="3"/>
  </r>
  <r>
    <x v="0"/>
    <x v="0"/>
    <x v="184"/>
    <x v="1"/>
    <x v="1"/>
    <x v="2"/>
    <x v="635"/>
    <x v="0"/>
  </r>
  <r>
    <x v="22"/>
    <x v="0"/>
    <x v="309"/>
    <x v="3"/>
    <x v="1"/>
    <x v="3"/>
    <x v="636"/>
    <x v="1"/>
  </r>
  <r>
    <x v="46"/>
    <x v="1"/>
    <x v="154"/>
    <x v="0"/>
    <x v="0"/>
    <x v="3"/>
    <x v="637"/>
    <x v="1"/>
  </r>
  <r>
    <x v="12"/>
    <x v="1"/>
    <x v="61"/>
    <x v="5"/>
    <x v="1"/>
    <x v="1"/>
    <x v="638"/>
    <x v="2"/>
  </r>
  <r>
    <x v="3"/>
    <x v="1"/>
    <x v="378"/>
    <x v="4"/>
    <x v="1"/>
    <x v="0"/>
    <x v="639"/>
    <x v="1"/>
  </r>
  <r>
    <x v="44"/>
    <x v="1"/>
    <x v="33"/>
    <x v="2"/>
    <x v="0"/>
    <x v="2"/>
    <x v="640"/>
    <x v="1"/>
  </r>
  <r>
    <x v="35"/>
    <x v="1"/>
    <x v="113"/>
    <x v="0"/>
    <x v="1"/>
    <x v="3"/>
    <x v="641"/>
    <x v="3"/>
  </r>
  <r>
    <x v="11"/>
    <x v="0"/>
    <x v="379"/>
    <x v="2"/>
    <x v="1"/>
    <x v="2"/>
    <x v="642"/>
    <x v="0"/>
  </r>
  <r>
    <x v="32"/>
    <x v="1"/>
    <x v="331"/>
    <x v="3"/>
    <x v="1"/>
    <x v="1"/>
    <x v="643"/>
    <x v="1"/>
  </r>
  <r>
    <x v="28"/>
    <x v="1"/>
    <x v="16"/>
    <x v="2"/>
    <x v="1"/>
    <x v="3"/>
    <x v="644"/>
    <x v="2"/>
  </r>
  <r>
    <x v="46"/>
    <x v="1"/>
    <x v="10"/>
    <x v="1"/>
    <x v="1"/>
    <x v="2"/>
    <x v="645"/>
    <x v="1"/>
  </r>
  <r>
    <x v="29"/>
    <x v="0"/>
    <x v="108"/>
    <x v="2"/>
    <x v="1"/>
    <x v="3"/>
    <x v="646"/>
    <x v="1"/>
  </r>
  <r>
    <x v="1"/>
    <x v="1"/>
    <x v="70"/>
    <x v="0"/>
    <x v="1"/>
    <x v="3"/>
    <x v="647"/>
    <x v="0"/>
  </r>
  <r>
    <x v="30"/>
    <x v="0"/>
    <x v="36"/>
    <x v="0"/>
    <x v="1"/>
    <x v="3"/>
    <x v="648"/>
    <x v="2"/>
  </r>
  <r>
    <x v="41"/>
    <x v="0"/>
    <x v="380"/>
    <x v="3"/>
    <x v="1"/>
    <x v="1"/>
    <x v="649"/>
    <x v="2"/>
  </r>
  <r>
    <x v="31"/>
    <x v="0"/>
    <x v="140"/>
    <x v="1"/>
    <x v="1"/>
    <x v="1"/>
    <x v="650"/>
    <x v="2"/>
  </r>
  <r>
    <x v="28"/>
    <x v="0"/>
    <x v="360"/>
    <x v="0"/>
    <x v="1"/>
    <x v="1"/>
    <x v="651"/>
    <x v="2"/>
  </r>
  <r>
    <x v="39"/>
    <x v="0"/>
    <x v="29"/>
    <x v="3"/>
    <x v="1"/>
    <x v="1"/>
    <x v="652"/>
    <x v="1"/>
  </r>
  <r>
    <x v="17"/>
    <x v="0"/>
    <x v="49"/>
    <x v="0"/>
    <x v="1"/>
    <x v="1"/>
    <x v="653"/>
    <x v="2"/>
  </r>
  <r>
    <x v="14"/>
    <x v="0"/>
    <x v="128"/>
    <x v="3"/>
    <x v="0"/>
    <x v="1"/>
    <x v="654"/>
    <x v="2"/>
  </r>
  <r>
    <x v="21"/>
    <x v="0"/>
    <x v="378"/>
    <x v="1"/>
    <x v="1"/>
    <x v="0"/>
    <x v="655"/>
    <x v="0"/>
  </r>
  <r>
    <x v="13"/>
    <x v="1"/>
    <x v="145"/>
    <x v="3"/>
    <x v="1"/>
    <x v="2"/>
    <x v="656"/>
    <x v="0"/>
  </r>
  <r>
    <x v="28"/>
    <x v="0"/>
    <x v="357"/>
    <x v="1"/>
    <x v="1"/>
    <x v="3"/>
    <x v="657"/>
    <x v="2"/>
  </r>
  <r>
    <x v="37"/>
    <x v="0"/>
    <x v="114"/>
    <x v="5"/>
    <x v="1"/>
    <x v="3"/>
    <x v="658"/>
    <x v="2"/>
  </r>
  <r>
    <x v="7"/>
    <x v="1"/>
    <x v="306"/>
    <x v="2"/>
    <x v="1"/>
    <x v="1"/>
    <x v="659"/>
    <x v="1"/>
  </r>
  <r>
    <x v="37"/>
    <x v="0"/>
    <x v="68"/>
    <x v="1"/>
    <x v="1"/>
    <x v="1"/>
    <x v="660"/>
    <x v="2"/>
  </r>
  <r>
    <x v="4"/>
    <x v="0"/>
    <x v="381"/>
    <x v="1"/>
    <x v="1"/>
    <x v="3"/>
    <x v="661"/>
    <x v="1"/>
  </r>
  <r>
    <x v="1"/>
    <x v="1"/>
    <x v="61"/>
    <x v="0"/>
    <x v="1"/>
    <x v="1"/>
    <x v="662"/>
    <x v="0"/>
  </r>
  <r>
    <x v="33"/>
    <x v="0"/>
    <x v="223"/>
    <x v="0"/>
    <x v="0"/>
    <x v="1"/>
    <x v="663"/>
    <x v="3"/>
  </r>
  <r>
    <x v="32"/>
    <x v="1"/>
    <x v="179"/>
    <x v="3"/>
    <x v="0"/>
    <x v="1"/>
    <x v="664"/>
    <x v="1"/>
  </r>
  <r>
    <x v="41"/>
    <x v="1"/>
    <x v="311"/>
    <x v="1"/>
    <x v="1"/>
    <x v="0"/>
    <x v="665"/>
    <x v="2"/>
  </r>
  <r>
    <x v="29"/>
    <x v="0"/>
    <x v="27"/>
    <x v="3"/>
    <x v="0"/>
    <x v="2"/>
    <x v="666"/>
    <x v="1"/>
  </r>
  <r>
    <x v="10"/>
    <x v="1"/>
    <x v="256"/>
    <x v="0"/>
    <x v="0"/>
    <x v="3"/>
    <x v="667"/>
    <x v="3"/>
  </r>
  <r>
    <x v="29"/>
    <x v="0"/>
    <x v="382"/>
    <x v="1"/>
    <x v="1"/>
    <x v="1"/>
    <x v="668"/>
    <x v="1"/>
  </r>
  <r>
    <x v="15"/>
    <x v="1"/>
    <x v="160"/>
    <x v="2"/>
    <x v="1"/>
    <x v="1"/>
    <x v="669"/>
    <x v="0"/>
  </r>
  <r>
    <x v="38"/>
    <x v="0"/>
    <x v="84"/>
    <x v="0"/>
    <x v="1"/>
    <x v="3"/>
    <x v="670"/>
    <x v="0"/>
  </r>
  <r>
    <x v="26"/>
    <x v="1"/>
    <x v="102"/>
    <x v="0"/>
    <x v="1"/>
    <x v="1"/>
    <x v="671"/>
    <x v="1"/>
  </r>
  <r>
    <x v="24"/>
    <x v="0"/>
    <x v="270"/>
    <x v="0"/>
    <x v="1"/>
    <x v="1"/>
    <x v="672"/>
    <x v="1"/>
  </r>
  <r>
    <x v="36"/>
    <x v="0"/>
    <x v="250"/>
    <x v="3"/>
    <x v="0"/>
    <x v="1"/>
    <x v="673"/>
    <x v="1"/>
  </r>
  <r>
    <x v="39"/>
    <x v="1"/>
    <x v="383"/>
    <x v="0"/>
    <x v="1"/>
    <x v="2"/>
    <x v="674"/>
    <x v="1"/>
  </r>
  <r>
    <x v="19"/>
    <x v="0"/>
    <x v="384"/>
    <x v="2"/>
    <x v="1"/>
    <x v="1"/>
    <x v="675"/>
    <x v="2"/>
  </r>
  <r>
    <x v="8"/>
    <x v="1"/>
    <x v="112"/>
    <x v="2"/>
    <x v="0"/>
    <x v="2"/>
    <x v="676"/>
    <x v="2"/>
  </r>
  <r>
    <x v="12"/>
    <x v="1"/>
    <x v="374"/>
    <x v="2"/>
    <x v="1"/>
    <x v="0"/>
    <x v="677"/>
    <x v="2"/>
  </r>
  <r>
    <x v="41"/>
    <x v="0"/>
    <x v="247"/>
    <x v="3"/>
    <x v="1"/>
    <x v="2"/>
    <x v="678"/>
    <x v="2"/>
  </r>
  <r>
    <x v="27"/>
    <x v="0"/>
    <x v="385"/>
    <x v="1"/>
    <x v="1"/>
    <x v="0"/>
    <x v="679"/>
    <x v="0"/>
  </r>
  <r>
    <x v="0"/>
    <x v="1"/>
    <x v="386"/>
    <x v="0"/>
    <x v="1"/>
    <x v="0"/>
    <x v="680"/>
    <x v="0"/>
  </r>
  <r>
    <x v="46"/>
    <x v="1"/>
    <x v="19"/>
    <x v="3"/>
    <x v="0"/>
    <x v="0"/>
    <x v="681"/>
    <x v="1"/>
  </r>
  <r>
    <x v="31"/>
    <x v="1"/>
    <x v="200"/>
    <x v="0"/>
    <x v="1"/>
    <x v="2"/>
    <x v="682"/>
    <x v="2"/>
  </r>
  <r>
    <x v="3"/>
    <x v="0"/>
    <x v="387"/>
    <x v="1"/>
    <x v="1"/>
    <x v="0"/>
    <x v="683"/>
    <x v="1"/>
  </r>
  <r>
    <x v="31"/>
    <x v="1"/>
    <x v="154"/>
    <x v="3"/>
    <x v="1"/>
    <x v="3"/>
    <x v="684"/>
    <x v="2"/>
  </r>
  <r>
    <x v="44"/>
    <x v="1"/>
    <x v="388"/>
    <x v="3"/>
    <x v="1"/>
    <x v="3"/>
    <x v="685"/>
    <x v="1"/>
  </r>
  <r>
    <x v="29"/>
    <x v="1"/>
    <x v="389"/>
    <x v="0"/>
    <x v="1"/>
    <x v="1"/>
    <x v="686"/>
    <x v="1"/>
  </r>
  <r>
    <x v="42"/>
    <x v="0"/>
    <x v="390"/>
    <x v="1"/>
    <x v="1"/>
    <x v="0"/>
    <x v="687"/>
    <x v="2"/>
  </r>
  <r>
    <x v="13"/>
    <x v="1"/>
    <x v="360"/>
    <x v="1"/>
    <x v="0"/>
    <x v="1"/>
    <x v="688"/>
    <x v="0"/>
  </r>
  <r>
    <x v="27"/>
    <x v="1"/>
    <x v="60"/>
    <x v="0"/>
    <x v="1"/>
    <x v="3"/>
    <x v="689"/>
    <x v="0"/>
  </r>
  <r>
    <x v="42"/>
    <x v="1"/>
    <x v="391"/>
    <x v="1"/>
    <x v="1"/>
    <x v="0"/>
    <x v="690"/>
    <x v="2"/>
  </r>
  <r>
    <x v="34"/>
    <x v="1"/>
    <x v="203"/>
    <x v="1"/>
    <x v="1"/>
    <x v="2"/>
    <x v="691"/>
    <x v="0"/>
  </r>
  <r>
    <x v="23"/>
    <x v="1"/>
    <x v="367"/>
    <x v="0"/>
    <x v="1"/>
    <x v="2"/>
    <x v="692"/>
    <x v="0"/>
  </r>
  <r>
    <x v="13"/>
    <x v="0"/>
    <x v="82"/>
    <x v="1"/>
    <x v="1"/>
    <x v="0"/>
    <x v="693"/>
    <x v="0"/>
  </r>
  <r>
    <x v="21"/>
    <x v="0"/>
    <x v="392"/>
    <x v="0"/>
    <x v="1"/>
    <x v="2"/>
    <x v="694"/>
    <x v="0"/>
  </r>
  <r>
    <x v="31"/>
    <x v="0"/>
    <x v="243"/>
    <x v="3"/>
    <x v="1"/>
    <x v="3"/>
    <x v="695"/>
    <x v="2"/>
  </r>
  <r>
    <x v="24"/>
    <x v="1"/>
    <x v="246"/>
    <x v="1"/>
    <x v="0"/>
    <x v="1"/>
    <x v="696"/>
    <x v="1"/>
  </r>
  <r>
    <x v="12"/>
    <x v="1"/>
    <x v="363"/>
    <x v="0"/>
    <x v="1"/>
    <x v="2"/>
    <x v="697"/>
    <x v="2"/>
  </r>
  <r>
    <x v="11"/>
    <x v="0"/>
    <x v="393"/>
    <x v="3"/>
    <x v="1"/>
    <x v="1"/>
    <x v="698"/>
    <x v="0"/>
  </r>
  <r>
    <x v="27"/>
    <x v="0"/>
    <x v="394"/>
    <x v="0"/>
    <x v="1"/>
    <x v="1"/>
    <x v="699"/>
    <x v="0"/>
  </r>
  <r>
    <x v="45"/>
    <x v="0"/>
    <x v="395"/>
    <x v="0"/>
    <x v="1"/>
    <x v="3"/>
    <x v="700"/>
    <x v="2"/>
  </r>
  <r>
    <x v="31"/>
    <x v="1"/>
    <x v="147"/>
    <x v="0"/>
    <x v="1"/>
    <x v="1"/>
    <x v="701"/>
    <x v="2"/>
  </r>
  <r>
    <x v="16"/>
    <x v="0"/>
    <x v="154"/>
    <x v="1"/>
    <x v="1"/>
    <x v="2"/>
    <x v="702"/>
    <x v="1"/>
  </r>
  <r>
    <x v="42"/>
    <x v="0"/>
    <x v="396"/>
    <x v="1"/>
    <x v="1"/>
    <x v="2"/>
    <x v="703"/>
    <x v="2"/>
  </r>
  <r>
    <x v="3"/>
    <x v="0"/>
    <x v="260"/>
    <x v="3"/>
    <x v="1"/>
    <x v="0"/>
    <x v="704"/>
    <x v="1"/>
  </r>
  <r>
    <x v="43"/>
    <x v="0"/>
    <x v="179"/>
    <x v="0"/>
    <x v="0"/>
    <x v="1"/>
    <x v="705"/>
    <x v="2"/>
  </r>
  <r>
    <x v="41"/>
    <x v="1"/>
    <x v="54"/>
    <x v="2"/>
    <x v="1"/>
    <x v="2"/>
    <x v="706"/>
    <x v="2"/>
  </r>
  <r>
    <x v="5"/>
    <x v="0"/>
    <x v="131"/>
    <x v="2"/>
    <x v="1"/>
    <x v="3"/>
    <x v="707"/>
    <x v="1"/>
  </r>
  <r>
    <x v="26"/>
    <x v="0"/>
    <x v="7"/>
    <x v="0"/>
    <x v="1"/>
    <x v="3"/>
    <x v="708"/>
    <x v="1"/>
  </r>
  <r>
    <x v="1"/>
    <x v="1"/>
    <x v="49"/>
    <x v="1"/>
    <x v="1"/>
    <x v="1"/>
    <x v="709"/>
    <x v="0"/>
  </r>
  <r>
    <x v="45"/>
    <x v="0"/>
    <x v="397"/>
    <x v="3"/>
    <x v="1"/>
    <x v="1"/>
    <x v="710"/>
    <x v="2"/>
  </r>
  <r>
    <x v="32"/>
    <x v="0"/>
    <x v="264"/>
    <x v="3"/>
    <x v="1"/>
    <x v="2"/>
    <x v="711"/>
    <x v="1"/>
  </r>
  <r>
    <x v="34"/>
    <x v="1"/>
    <x v="398"/>
    <x v="0"/>
    <x v="1"/>
    <x v="3"/>
    <x v="712"/>
    <x v="0"/>
  </r>
  <r>
    <x v="23"/>
    <x v="0"/>
    <x v="286"/>
    <x v="0"/>
    <x v="1"/>
    <x v="0"/>
    <x v="713"/>
    <x v="0"/>
  </r>
  <r>
    <x v="8"/>
    <x v="1"/>
    <x v="65"/>
    <x v="0"/>
    <x v="1"/>
    <x v="0"/>
    <x v="714"/>
    <x v="2"/>
  </r>
  <r>
    <x v="41"/>
    <x v="0"/>
    <x v="227"/>
    <x v="1"/>
    <x v="1"/>
    <x v="2"/>
    <x v="715"/>
    <x v="2"/>
  </r>
  <r>
    <x v="8"/>
    <x v="1"/>
    <x v="200"/>
    <x v="1"/>
    <x v="1"/>
    <x v="2"/>
    <x v="716"/>
    <x v="2"/>
  </r>
  <r>
    <x v="43"/>
    <x v="0"/>
    <x v="38"/>
    <x v="3"/>
    <x v="1"/>
    <x v="2"/>
    <x v="717"/>
    <x v="2"/>
  </r>
  <r>
    <x v="30"/>
    <x v="0"/>
    <x v="6"/>
    <x v="0"/>
    <x v="1"/>
    <x v="2"/>
    <x v="718"/>
    <x v="2"/>
  </r>
  <r>
    <x v="43"/>
    <x v="0"/>
    <x v="399"/>
    <x v="0"/>
    <x v="1"/>
    <x v="3"/>
    <x v="719"/>
    <x v="2"/>
  </r>
  <r>
    <x v="31"/>
    <x v="1"/>
    <x v="400"/>
    <x v="2"/>
    <x v="1"/>
    <x v="0"/>
    <x v="720"/>
    <x v="2"/>
  </r>
  <r>
    <x v="10"/>
    <x v="1"/>
    <x v="116"/>
    <x v="0"/>
    <x v="1"/>
    <x v="0"/>
    <x v="721"/>
    <x v="3"/>
  </r>
  <r>
    <x v="0"/>
    <x v="1"/>
    <x v="401"/>
    <x v="0"/>
    <x v="1"/>
    <x v="0"/>
    <x v="722"/>
    <x v="0"/>
  </r>
  <r>
    <x v="45"/>
    <x v="0"/>
    <x v="402"/>
    <x v="1"/>
    <x v="1"/>
    <x v="3"/>
    <x v="723"/>
    <x v="2"/>
  </r>
  <r>
    <x v="15"/>
    <x v="0"/>
    <x v="266"/>
    <x v="2"/>
    <x v="0"/>
    <x v="1"/>
    <x v="724"/>
    <x v="0"/>
  </r>
  <r>
    <x v="24"/>
    <x v="1"/>
    <x v="403"/>
    <x v="1"/>
    <x v="1"/>
    <x v="2"/>
    <x v="725"/>
    <x v="1"/>
  </r>
  <r>
    <x v="38"/>
    <x v="0"/>
    <x v="404"/>
    <x v="1"/>
    <x v="0"/>
    <x v="3"/>
    <x v="726"/>
    <x v="0"/>
  </r>
  <r>
    <x v="1"/>
    <x v="0"/>
    <x v="405"/>
    <x v="0"/>
    <x v="1"/>
    <x v="3"/>
    <x v="727"/>
    <x v="0"/>
  </r>
  <r>
    <x v="24"/>
    <x v="0"/>
    <x v="168"/>
    <x v="1"/>
    <x v="1"/>
    <x v="1"/>
    <x v="728"/>
    <x v="1"/>
  </r>
  <r>
    <x v="22"/>
    <x v="1"/>
    <x v="137"/>
    <x v="2"/>
    <x v="0"/>
    <x v="1"/>
    <x v="729"/>
    <x v="1"/>
  </r>
  <r>
    <x v="31"/>
    <x v="1"/>
    <x v="343"/>
    <x v="1"/>
    <x v="1"/>
    <x v="0"/>
    <x v="730"/>
    <x v="2"/>
  </r>
  <r>
    <x v="23"/>
    <x v="0"/>
    <x v="406"/>
    <x v="2"/>
    <x v="1"/>
    <x v="0"/>
    <x v="731"/>
    <x v="0"/>
  </r>
  <r>
    <x v="28"/>
    <x v="0"/>
    <x v="288"/>
    <x v="1"/>
    <x v="1"/>
    <x v="3"/>
    <x v="732"/>
    <x v="2"/>
  </r>
  <r>
    <x v="17"/>
    <x v="0"/>
    <x v="407"/>
    <x v="2"/>
    <x v="1"/>
    <x v="0"/>
    <x v="733"/>
    <x v="2"/>
  </r>
  <r>
    <x v="41"/>
    <x v="0"/>
    <x v="47"/>
    <x v="1"/>
    <x v="1"/>
    <x v="2"/>
    <x v="734"/>
    <x v="2"/>
  </r>
  <r>
    <x v="7"/>
    <x v="0"/>
    <x v="186"/>
    <x v="0"/>
    <x v="0"/>
    <x v="1"/>
    <x v="735"/>
    <x v="1"/>
  </r>
  <r>
    <x v="21"/>
    <x v="1"/>
    <x v="408"/>
    <x v="3"/>
    <x v="1"/>
    <x v="0"/>
    <x v="736"/>
    <x v="0"/>
  </r>
  <r>
    <x v="11"/>
    <x v="1"/>
    <x v="294"/>
    <x v="2"/>
    <x v="0"/>
    <x v="3"/>
    <x v="737"/>
    <x v="0"/>
  </r>
  <r>
    <x v="38"/>
    <x v="1"/>
    <x v="409"/>
    <x v="3"/>
    <x v="0"/>
    <x v="0"/>
    <x v="738"/>
    <x v="0"/>
  </r>
  <r>
    <x v="39"/>
    <x v="1"/>
    <x v="167"/>
    <x v="3"/>
    <x v="1"/>
    <x v="3"/>
    <x v="739"/>
    <x v="1"/>
  </r>
  <r>
    <x v="13"/>
    <x v="1"/>
    <x v="410"/>
    <x v="0"/>
    <x v="0"/>
    <x v="1"/>
    <x v="740"/>
    <x v="0"/>
  </r>
  <r>
    <x v="31"/>
    <x v="1"/>
    <x v="237"/>
    <x v="0"/>
    <x v="0"/>
    <x v="3"/>
    <x v="741"/>
    <x v="2"/>
  </r>
  <r>
    <x v="5"/>
    <x v="0"/>
    <x v="217"/>
    <x v="0"/>
    <x v="1"/>
    <x v="1"/>
    <x v="742"/>
    <x v="1"/>
  </r>
  <r>
    <x v="45"/>
    <x v="1"/>
    <x v="154"/>
    <x v="0"/>
    <x v="1"/>
    <x v="2"/>
    <x v="743"/>
    <x v="2"/>
  </r>
  <r>
    <x v="45"/>
    <x v="0"/>
    <x v="95"/>
    <x v="1"/>
    <x v="1"/>
    <x v="2"/>
    <x v="744"/>
    <x v="2"/>
  </r>
  <r>
    <x v="16"/>
    <x v="1"/>
    <x v="411"/>
    <x v="3"/>
    <x v="1"/>
    <x v="0"/>
    <x v="745"/>
    <x v="1"/>
  </r>
  <r>
    <x v="0"/>
    <x v="1"/>
    <x v="404"/>
    <x v="0"/>
    <x v="1"/>
    <x v="2"/>
    <x v="746"/>
    <x v="0"/>
  </r>
  <r>
    <x v="42"/>
    <x v="0"/>
    <x v="126"/>
    <x v="1"/>
    <x v="1"/>
    <x v="0"/>
    <x v="747"/>
    <x v="2"/>
  </r>
  <r>
    <x v="2"/>
    <x v="1"/>
    <x v="99"/>
    <x v="0"/>
    <x v="1"/>
    <x v="2"/>
    <x v="748"/>
    <x v="0"/>
  </r>
  <r>
    <x v="7"/>
    <x v="0"/>
    <x v="170"/>
    <x v="0"/>
    <x v="0"/>
    <x v="1"/>
    <x v="749"/>
    <x v="1"/>
  </r>
  <r>
    <x v="27"/>
    <x v="1"/>
    <x v="111"/>
    <x v="0"/>
    <x v="1"/>
    <x v="2"/>
    <x v="750"/>
    <x v="0"/>
  </r>
  <r>
    <x v="33"/>
    <x v="1"/>
    <x v="412"/>
    <x v="0"/>
    <x v="1"/>
    <x v="2"/>
    <x v="751"/>
    <x v="3"/>
  </r>
  <r>
    <x v="30"/>
    <x v="0"/>
    <x v="413"/>
    <x v="0"/>
    <x v="1"/>
    <x v="1"/>
    <x v="752"/>
    <x v="2"/>
  </r>
  <r>
    <x v="23"/>
    <x v="1"/>
    <x v="51"/>
    <x v="5"/>
    <x v="1"/>
    <x v="3"/>
    <x v="753"/>
    <x v="0"/>
  </r>
  <r>
    <x v="5"/>
    <x v="1"/>
    <x v="215"/>
    <x v="3"/>
    <x v="1"/>
    <x v="3"/>
    <x v="754"/>
    <x v="1"/>
  </r>
  <r>
    <x v="46"/>
    <x v="0"/>
    <x v="414"/>
    <x v="2"/>
    <x v="1"/>
    <x v="3"/>
    <x v="755"/>
    <x v="1"/>
  </r>
  <r>
    <x v="42"/>
    <x v="0"/>
    <x v="138"/>
    <x v="0"/>
    <x v="0"/>
    <x v="1"/>
    <x v="756"/>
    <x v="2"/>
  </r>
  <r>
    <x v="15"/>
    <x v="1"/>
    <x v="133"/>
    <x v="2"/>
    <x v="1"/>
    <x v="3"/>
    <x v="757"/>
    <x v="0"/>
  </r>
  <r>
    <x v="1"/>
    <x v="1"/>
    <x v="271"/>
    <x v="0"/>
    <x v="0"/>
    <x v="1"/>
    <x v="758"/>
    <x v="0"/>
  </r>
  <r>
    <x v="20"/>
    <x v="0"/>
    <x v="415"/>
    <x v="3"/>
    <x v="1"/>
    <x v="3"/>
    <x v="759"/>
    <x v="0"/>
  </r>
  <r>
    <x v="11"/>
    <x v="1"/>
    <x v="49"/>
    <x v="1"/>
    <x v="1"/>
    <x v="0"/>
    <x v="760"/>
    <x v="0"/>
  </r>
  <r>
    <x v="3"/>
    <x v="1"/>
    <x v="416"/>
    <x v="1"/>
    <x v="0"/>
    <x v="0"/>
    <x v="761"/>
    <x v="1"/>
  </r>
  <r>
    <x v="13"/>
    <x v="1"/>
    <x v="327"/>
    <x v="0"/>
    <x v="1"/>
    <x v="3"/>
    <x v="762"/>
    <x v="0"/>
  </r>
  <r>
    <x v="39"/>
    <x v="0"/>
    <x v="124"/>
    <x v="3"/>
    <x v="1"/>
    <x v="3"/>
    <x v="763"/>
    <x v="1"/>
  </r>
  <r>
    <x v="37"/>
    <x v="0"/>
    <x v="56"/>
    <x v="0"/>
    <x v="1"/>
    <x v="2"/>
    <x v="764"/>
    <x v="2"/>
  </r>
  <r>
    <x v="42"/>
    <x v="1"/>
    <x v="243"/>
    <x v="1"/>
    <x v="1"/>
    <x v="0"/>
    <x v="765"/>
    <x v="2"/>
  </r>
  <r>
    <x v="44"/>
    <x v="0"/>
    <x v="358"/>
    <x v="1"/>
    <x v="1"/>
    <x v="0"/>
    <x v="766"/>
    <x v="1"/>
  </r>
  <r>
    <x v="33"/>
    <x v="0"/>
    <x v="376"/>
    <x v="0"/>
    <x v="1"/>
    <x v="0"/>
    <x v="767"/>
    <x v="3"/>
  </r>
  <r>
    <x v="25"/>
    <x v="0"/>
    <x v="417"/>
    <x v="3"/>
    <x v="1"/>
    <x v="2"/>
    <x v="768"/>
    <x v="1"/>
  </r>
  <r>
    <x v="35"/>
    <x v="1"/>
    <x v="374"/>
    <x v="2"/>
    <x v="1"/>
    <x v="0"/>
    <x v="769"/>
    <x v="3"/>
  </r>
  <r>
    <x v="31"/>
    <x v="0"/>
    <x v="418"/>
    <x v="3"/>
    <x v="1"/>
    <x v="0"/>
    <x v="770"/>
    <x v="2"/>
  </r>
  <r>
    <x v="36"/>
    <x v="0"/>
    <x v="238"/>
    <x v="0"/>
    <x v="1"/>
    <x v="3"/>
    <x v="771"/>
    <x v="1"/>
  </r>
  <r>
    <x v="0"/>
    <x v="0"/>
    <x v="4"/>
    <x v="0"/>
    <x v="0"/>
    <x v="2"/>
    <x v="772"/>
    <x v="0"/>
  </r>
  <r>
    <x v="24"/>
    <x v="1"/>
    <x v="206"/>
    <x v="3"/>
    <x v="1"/>
    <x v="2"/>
    <x v="773"/>
    <x v="1"/>
  </r>
  <r>
    <x v="43"/>
    <x v="1"/>
    <x v="230"/>
    <x v="2"/>
    <x v="1"/>
    <x v="1"/>
    <x v="774"/>
    <x v="2"/>
  </r>
  <r>
    <x v="29"/>
    <x v="1"/>
    <x v="243"/>
    <x v="3"/>
    <x v="1"/>
    <x v="2"/>
    <x v="775"/>
    <x v="1"/>
  </r>
  <r>
    <x v="39"/>
    <x v="1"/>
    <x v="77"/>
    <x v="0"/>
    <x v="1"/>
    <x v="3"/>
    <x v="776"/>
    <x v="1"/>
  </r>
  <r>
    <x v="22"/>
    <x v="1"/>
    <x v="419"/>
    <x v="2"/>
    <x v="1"/>
    <x v="1"/>
    <x v="777"/>
    <x v="1"/>
  </r>
  <r>
    <x v="31"/>
    <x v="1"/>
    <x v="4"/>
    <x v="0"/>
    <x v="1"/>
    <x v="2"/>
    <x v="778"/>
    <x v="2"/>
  </r>
  <r>
    <x v="15"/>
    <x v="1"/>
    <x v="420"/>
    <x v="2"/>
    <x v="0"/>
    <x v="0"/>
    <x v="779"/>
    <x v="0"/>
  </r>
  <r>
    <x v="1"/>
    <x v="1"/>
    <x v="421"/>
    <x v="0"/>
    <x v="1"/>
    <x v="1"/>
    <x v="780"/>
    <x v="0"/>
  </r>
  <r>
    <x v="43"/>
    <x v="1"/>
    <x v="233"/>
    <x v="1"/>
    <x v="1"/>
    <x v="1"/>
    <x v="781"/>
    <x v="2"/>
  </r>
  <r>
    <x v="45"/>
    <x v="0"/>
    <x v="244"/>
    <x v="1"/>
    <x v="0"/>
    <x v="0"/>
    <x v="782"/>
    <x v="2"/>
  </r>
  <r>
    <x v="5"/>
    <x v="0"/>
    <x v="245"/>
    <x v="1"/>
    <x v="1"/>
    <x v="1"/>
    <x v="783"/>
    <x v="1"/>
  </r>
  <r>
    <x v="22"/>
    <x v="0"/>
    <x v="224"/>
    <x v="2"/>
    <x v="1"/>
    <x v="0"/>
    <x v="784"/>
    <x v="1"/>
  </r>
  <r>
    <x v="8"/>
    <x v="1"/>
    <x v="55"/>
    <x v="0"/>
    <x v="1"/>
    <x v="3"/>
    <x v="785"/>
    <x v="2"/>
  </r>
  <r>
    <x v="27"/>
    <x v="1"/>
    <x v="350"/>
    <x v="0"/>
    <x v="1"/>
    <x v="2"/>
    <x v="786"/>
    <x v="0"/>
  </r>
  <r>
    <x v="38"/>
    <x v="1"/>
    <x v="422"/>
    <x v="2"/>
    <x v="1"/>
    <x v="3"/>
    <x v="787"/>
    <x v="0"/>
  </r>
  <r>
    <x v="10"/>
    <x v="0"/>
    <x v="96"/>
    <x v="0"/>
    <x v="1"/>
    <x v="1"/>
    <x v="788"/>
    <x v="3"/>
  </r>
  <r>
    <x v="46"/>
    <x v="0"/>
    <x v="423"/>
    <x v="0"/>
    <x v="1"/>
    <x v="1"/>
    <x v="789"/>
    <x v="1"/>
  </r>
  <r>
    <x v="0"/>
    <x v="1"/>
    <x v="244"/>
    <x v="0"/>
    <x v="1"/>
    <x v="0"/>
    <x v="790"/>
    <x v="0"/>
  </r>
  <r>
    <x v="20"/>
    <x v="0"/>
    <x v="247"/>
    <x v="0"/>
    <x v="1"/>
    <x v="3"/>
    <x v="791"/>
    <x v="0"/>
  </r>
  <r>
    <x v="31"/>
    <x v="1"/>
    <x v="192"/>
    <x v="0"/>
    <x v="0"/>
    <x v="1"/>
    <x v="792"/>
    <x v="2"/>
  </r>
  <r>
    <x v="46"/>
    <x v="0"/>
    <x v="23"/>
    <x v="3"/>
    <x v="1"/>
    <x v="2"/>
    <x v="793"/>
    <x v="1"/>
  </r>
  <r>
    <x v="13"/>
    <x v="1"/>
    <x v="70"/>
    <x v="0"/>
    <x v="0"/>
    <x v="2"/>
    <x v="794"/>
    <x v="0"/>
  </r>
  <r>
    <x v="15"/>
    <x v="1"/>
    <x v="333"/>
    <x v="3"/>
    <x v="1"/>
    <x v="1"/>
    <x v="795"/>
    <x v="0"/>
  </r>
  <r>
    <x v="15"/>
    <x v="0"/>
    <x v="83"/>
    <x v="1"/>
    <x v="1"/>
    <x v="3"/>
    <x v="796"/>
    <x v="0"/>
  </r>
  <r>
    <x v="30"/>
    <x v="0"/>
    <x v="291"/>
    <x v="0"/>
    <x v="1"/>
    <x v="0"/>
    <x v="797"/>
    <x v="2"/>
  </r>
  <r>
    <x v="3"/>
    <x v="1"/>
    <x v="88"/>
    <x v="0"/>
    <x v="0"/>
    <x v="3"/>
    <x v="798"/>
    <x v="1"/>
  </r>
  <r>
    <x v="44"/>
    <x v="0"/>
    <x v="424"/>
    <x v="1"/>
    <x v="1"/>
    <x v="1"/>
    <x v="799"/>
    <x v="1"/>
  </r>
  <r>
    <x v="33"/>
    <x v="0"/>
    <x v="233"/>
    <x v="0"/>
    <x v="1"/>
    <x v="1"/>
    <x v="800"/>
    <x v="3"/>
  </r>
  <r>
    <x v="27"/>
    <x v="1"/>
    <x v="169"/>
    <x v="1"/>
    <x v="1"/>
    <x v="0"/>
    <x v="801"/>
    <x v="0"/>
  </r>
  <r>
    <x v="1"/>
    <x v="0"/>
    <x v="425"/>
    <x v="0"/>
    <x v="0"/>
    <x v="1"/>
    <x v="802"/>
    <x v="0"/>
  </r>
  <r>
    <x v="11"/>
    <x v="1"/>
    <x v="426"/>
    <x v="0"/>
    <x v="1"/>
    <x v="1"/>
    <x v="803"/>
    <x v="0"/>
  </r>
  <r>
    <x v="39"/>
    <x v="0"/>
    <x v="427"/>
    <x v="0"/>
    <x v="1"/>
    <x v="2"/>
    <x v="804"/>
    <x v="1"/>
  </r>
  <r>
    <x v="29"/>
    <x v="0"/>
    <x v="428"/>
    <x v="1"/>
    <x v="1"/>
    <x v="2"/>
    <x v="805"/>
    <x v="1"/>
  </r>
  <r>
    <x v="0"/>
    <x v="0"/>
    <x v="429"/>
    <x v="0"/>
    <x v="1"/>
    <x v="2"/>
    <x v="806"/>
    <x v="0"/>
  </r>
  <r>
    <x v="1"/>
    <x v="1"/>
    <x v="307"/>
    <x v="0"/>
    <x v="1"/>
    <x v="1"/>
    <x v="807"/>
    <x v="0"/>
  </r>
  <r>
    <x v="9"/>
    <x v="1"/>
    <x v="9"/>
    <x v="1"/>
    <x v="1"/>
    <x v="3"/>
    <x v="808"/>
    <x v="0"/>
  </r>
  <r>
    <x v="6"/>
    <x v="0"/>
    <x v="43"/>
    <x v="2"/>
    <x v="1"/>
    <x v="0"/>
    <x v="809"/>
    <x v="2"/>
  </r>
  <r>
    <x v="3"/>
    <x v="0"/>
    <x v="430"/>
    <x v="2"/>
    <x v="1"/>
    <x v="2"/>
    <x v="810"/>
    <x v="1"/>
  </r>
  <r>
    <x v="40"/>
    <x v="1"/>
    <x v="431"/>
    <x v="3"/>
    <x v="1"/>
    <x v="1"/>
    <x v="811"/>
    <x v="2"/>
  </r>
  <r>
    <x v="2"/>
    <x v="1"/>
    <x v="422"/>
    <x v="3"/>
    <x v="1"/>
    <x v="3"/>
    <x v="812"/>
    <x v="0"/>
  </r>
  <r>
    <x v="26"/>
    <x v="1"/>
    <x v="53"/>
    <x v="3"/>
    <x v="1"/>
    <x v="1"/>
    <x v="813"/>
    <x v="1"/>
  </r>
  <r>
    <x v="34"/>
    <x v="0"/>
    <x v="262"/>
    <x v="0"/>
    <x v="1"/>
    <x v="1"/>
    <x v="814"/>
    <x v="0"/>
  </r>
  <r>
    <x v="23"/>
    <x v="0"/>
    <x v="432"/>
    <x v="0"/>
    <x v="1"/>
    <x v="2"/>
    <x v="815"/>
    <x v="0"/>
  </r>
  <r>
    <x v="11"/>
    <x v="1"/>
    <x v="109"/>
    <x v="2"/>
    <x v="1"/>
    <x v="0"/>
    <x v="816"/>
    <x v="0"/>
  </r>
  <r>
    <x v="42"/>
    <x v="0"/>
    <x v="388"/>
    <x v="1"/>
    <x v="0"/>
    <x v="3"/>
    <x v="817"/>
    <x v="2"/>
  </r>
  <r>
    <x v="3"/>
    <x v="0"/>
    <x v="76"/>
    <x v="0"/>
    <x v="0"/>
    <x v="2"/>
    <x v="818"/>
    <x v="1"/>
  </r>
  <r>
    <x v="39"/>
    <x v="1"/>
    <x v="175"/>
    <x v="1"/>
    <x v="1"/>
    <x v="0"/>
    <x v="819"/>
    <x v="1"/>
  </r>
  <r>
    <x v="21"/>
    <x v="1"/>
    <x v="433"/>
    <x v="0"/>
    <x v="1"/>
    <x v="2"/>
    <x v="820"/>
    <x v="0"/>
  </r>
  <r>
    <x v="1"/>
    <x v="0"/>
    <x v="360"/>
    <x v="0"/>
    <x v="1"/>
    <x v="1"/>
    <x v="821"/>
    <x v="0"/>
  </r>
  <r>
    <x v="36"/>
    <x v="0"/>
    <x v="382"/>
    <x v="3"/>
    <x v="1"/>
    <x v="1"/>
    <x v="822"/>
    <x v="1"/>
  </r>
  <r>
    <x v="8"/>
    <x v="1"/>
    <x v="200"/>
    <x v="0"/>
    <x v="1"/>
    <x v="2"/>
    <x v="823"/>
    <x v="2"/>
  </r>
  <r>
    <x v="33"/>
    <x v="0"/>
    <x v="56"/>
    <x v="3"/>
    <x v="1"/>
    <x v="3"/>
    <x v="824"/>
    <x v="3"/>
  </r>
  <r>
    <x v="12"/>
    <x v="1"/>
    <x v="211"/>
    <x v="3"/>
    <x v="0"/>
    <x v="1"/>
    <x v="825"/>
    <x v="2"/>
  </r>
  <r>
    <x v="26"/>
    <x v="1"/>
    <x v="24"/>
    <x v="1"/>
    <x v="0"/>
    <x v="3"/>
    <x v="826"/>
    <x v="1"/>
  </r>
  <r>
    <x v="24"/>
    <x v="1"/>
    <x v="16"/>
    <x v="2"/>
    <x v="0"/>
    <x v="3"/>
    <x v="827"/>
    <x v="1"/>
  </r>
  <r>
    <x v="46"/>
    <x v="1"/>
    <x v="361"/>
    <x v="1"/>
    <x v="1"/>
    <x v="2"/>
    <x v="828"/>
    <x v="1"/>
  </r>
  <r>
    <x v="18"/>
    <x v="1"/>
    <x v="291"/>
    <x v="0"/>
    <x v="1"/>
    <x v="0"/>
    <x v="829"/>
    <x v="3"/>
  </r>
  <r>
    <x v="26"/>
    <x v="0"/>
    <x v="9"/>
    <x v="0"/>
    <x v="1"/>
    <x v="2"/>
    <x v="830"/>
    <x v="1"/>
  </r>
  <r>
    <x v="2"/>
    <x v="0"/>
    <x v="17"/>
    <x v="3"/>
    <x v="1"/>
    <x v="2"/>
    <x v="831"/>
    <x v="0"/>
  </r>
  <r>
    <x v="30"/>
    <x v="1"/>
    <x v="226"/>
    <x v="0"/>
    <x v="1"/>
    <x v="2"/>
    <x v="832"/>
    <x v="2"/>
  </r>
  <r>
    <x v="26"/>
    <x v="1"/>
    <x v="312"/>
    <x v="1"/>
    <x v="1"/>
    <x v="2"/>
    <x v="833"/>
    <x v="1"/>
  </r>
  <r>
    <x v="44"/>
    <x v="1"/>
    <x v="233"/>
    <x v="3"/>
    <x v="1"/>
    <x v="1"/>
    <x v="834"/>
    <x v="1"/>
  </r>
  <r>
    <x v="26"/>
    <x v="1"/>
    <x v="434"/>
    <x v="0"/>
    <x v="1"/>
    <x v="0"/>
    <x v="835"/>
    <x v="1"/>
  </r>
  <r>
    <x v="12"/>
    <x v="0"/>
    <x v="33"/>
    <x v="0"/>
    <x v="1"/>
    <x v="3"/>
    <x v="836"/>
    <x v="2"/>
  </r>
  <r>
    <x v="22"/>
    <x v="0"/>
    <x v="352"/>
    <x v="3"/>
    <x v="1"/>
    <x v="3"/>
    <x v="837"/>
    <x v="1"/>
  </r>
  <r>
    <x v="17"/>
    <x v="0"/>
    <x v="112"/>
    <x v="0"/>
    <x v="1"/>
    <x v="2"/>
    <x v="838"/>
    <x v="2"/>
  </r>
  <r>
    <x v="27"/>
    <x v="1"/>
    <x v="435"/>
    <x v="0"/>
    <x v="1"/>
    <x v="0"/>
    <x v="839"/>
    <x v="0"/>
  </r>
  <r>
    <x v="17"/>
    <x v="1"/>
    <x v="62"/>
    <x v="0"/>
    <x v="1"/>
    <x v="3"/>
    <x v="840"/>
    <x v="2"/>
  </r>
  <r>
    <x v="11"/>
    <x v="0"/>
    <x v="436"/>
    <x v="3"/>
    <x v="0"/>
    <x v="1"/>
    <x v="841"/>
    <x v="0"/>
  </r>
  <r>
    <x v="37"/>
    <x v="0"/>
    <x v="382"/>
    <x v="0"/>
    <x v="0"/>
    <x v="1"/>
    <x v="842"/>
    <x v="2"/>
  </r>
  <r>
    <x v="31"/>
    <x v="1"/>
    <x v="131"/>
    <x v="0"/>
    <x v="1"/>
    <x v="3"/>
    <x v="843"/>
    <x v="2"/>
  </r>
  <r>
    <x v="8"/>
    <x v="0"/>
    <x v="437"/>
    <x v="0"/>
    <x v="0"/>
    <x v="1"/>
    <x v="844"/>
    <x v="2"/>
  </r>
  <r>
    <x v="43"/>
    <x v="0"/>
    <x v="206"/>
    <x v="1"/>
    <x v="1"/>
    <x v="0"/>
    <x v="845"/>
    <x v="2"/>
  </r>
  <r>
    <x v="11"/>
    <x v="1"/>
    <x v="438"/>
    <x v="1"/>
    <x v="1"/>
    <x v="1"/>
    <x v="846"/>
    <x v="0"/>
  </r>
  <r>
    <x v="13"/>
    <x v="0"/>
    <x v="390"/>
    <x v="0"/>
    <x v="1"/>
    <x v="0"/>
    <x v="847"/>
    <x v="0"/>
  </r>
  <r>
    <x v="19"/>
    <x v="1"/>
    <x v="27"/>
    <x v="0"/>
    <x v="1"/>
    <x v="2"/>
    <x v="848"/>
    <x v="2"/>
  </r>
  <r>
    <x v="7"/>
    <x v="0"/>
    <x v="16"/>
    <x v="0"/>
    <x v="0"/>
    <x v="3"/>
    <x v="849"/>
    <x v="1"/>
  </r>
  <r>
    <x v="35"/>
    <x v="1"/>
    <x v="243"/>
    <x v="3"/>
    <x v="1"/>
    <x v="2"/>
    <x v="850"/>
    <x v="3"/>
  </r>
  <r>
    <x v="6"/>
    <x v="0"/>
    <x v="76"/>
    <x v="0"/>
    <x v="0"/>
    <x v="3"/>
    <x v="851"/>
    <x v="2"/>
  </r>
  <r>
    <x v="31"/>
    <x v="0"/>
    <x v="110"/>
    <x v="3"/>
    <x v="1"/>
    <x v="3"/>
    <x v="852"/>
    <x v="2"/>
  </r>
  <r>
    <x v="41"/>
    <x v="0"/>
    <x v="17"/>
    <x v="2"/>
    <x v="0"/>
    <x v="3"/>
    <x v="853"/>
    <x v="2"/>
  </r>
  <r>
    <x v="34"/>
    <x v="0"/>
    <x v="303"/>
    <x v="0"/>
    <x v="1"/>
    <x v="0"/>
    <x v="854"/>
    <x v="0"/>
  </r>
  <r>
    <x v="28"/>
    <x v="0"/>
    <x v="293"/>
    <x v="0"/>
    <x v="0"/>
    <x v="1"/>
    <x v="855"/>
    <x v="2"/>
  </r>
  <r>
    <x v="9"/>
    <x v="1"/>
    <x v="134"/>
    <x v="0"/>
    <x v="0"/>
    <x v="2"/>
    <x v="856"/>
    <x v="0"/>
  </r>
  <r>
    <x v="9"/>
    <x v="0"/>
    <x v="166"/>
    <x v="1"/>
    <x v="1"/>
    <x v="1"/>
    <x v="857"/>
    <x v="0"/>
  </r>
  <r>
    <x v="37"/>
    <x v="1"/>
    <x v="71"/>
    <x v="0"/>
    <x v="1"/>
    <x v="0"/>
    <x v="858"/>
    <x v="2"/>
  </r>
  <r>
    <x v="7"/>
    <x v="0"/>
    <x v="439"/>
    <x v="3"/>
    <x v="0"/>
    <x v="0"/>
    <x v="859"/>
    <x v="1"/>
  </r>
  <r>
    <x v="25"/>
    <x v="0"/>
    <x v="52"/>
    <x v="2"/>
    <x v="1"/>
    <x v="0"/>
    <x v="860"/>
    <x v="1"/>
  </r>
  <r>
    <x v="19"/>
    <x v="0"/>
    <x v="371"/>
    <x v="3"/>
    <x v="1"/>
    <x v="2"/>
    <x v="861"/>
    <x v="2"/>
  </r>
  <r>
    <x v="26"/>
    <x v="0"/>
    <x v="269"/>
    <x v="0"/>
    <x v="1"/>
    <x v="3"/>
    <x v="862"/>
    <x v="1"/>
  </r>
  <r>
    <x v="43"/>
    <x v="1"/>
    <x v="440"/>
    <x v="0"/>
    <x v="1"/>
    <x v="0"/>
    <x v="863"/>
    <x v="2"/>
  </r>
  <r>
    <x v="29"/>
    <x v="1"/>
    <x v="441"/>
    <x v="3"/>
    <x v="1"/>
    <x v="0"/>
    <x v="864"/>
    <x v="1"/>
  </r>
  <r>
    <x v="1"/>
    <x v="1"/>
    <x v="348"/>
    <x v="0"/>
    <x v="1"/>
    <x v="1"/>
    <x v="865"/>
    <x v="0"/>
  </r>
  <r>
    <x v="37"/>
    <x v="1"/>
    <x v="442"/>
    <x v="1"/>
    <x v="1"/>
    <x v="0"/>
    <x v="866"/>
    <x v="2"/>
  </r>
  <r>
    <x v="35"/>
    <x v="1"/>
    <x v="367"/>
    <x v="0"/>
    <x v="1"/>
    <x v="3"/>
    <x v="867"/>
    <x v="3"/>
  </r>
  <r>
    <x v="9"/>
    <x v="0"/>
    <x v="210"/>
    <x v="2"/>
    <x v="1"/>
    <x v="0"/>
    <x v="868"/>
    <x v="0"/>
  </r>
  <r>
    <x v="45"/>
    <x v="1"/>
    <x v="391"/>
    <x v="0"/>
    <x v="1"/>
    <x v="0"/>
    <x v="869"/>
    <x v="2"/>
  </r>
  <r>
    <x v="21"/>
    <x v="0"/>
    <x v="364"/>
    <x v="1"/>
    <x v="1"/>
    <x v="1"/>
    <x v="870"/>
    <x v="0"/>
  </r>
  <r>
    <x v="44"/>
    <x v="1"/>
    <x v="443"/>
    <x v="0"/>
    <x v="1"/>
    <x v="1"/>
    <x v="871"/>
    <x v="1"/>
  </r>
  <r>
    <x v="32"/>
    <x v="1"/>
    <x v="406"/>
    <x v="1"/>
    <x v="1"/>
    <x v="0"/>
    <x v="872"/>
    <x v="1"/>
  </r>
  <r>
    <x v="36"/>
    <x v="1"/>
    <x v="361"/>
    <x v="2"/>
    <x v="1"/>
    <x v="3"/>
    <x v="873"/>
    <x v="1"/>
  </r>
  <r>
    <x v="11"/>
    <x v="0"/>
    <x v="213"/>
    <x v="0"/>
    <x v="1"/>
    <x v="2"/>
    <x v="874"/>
    <x v="0"/>
  </r>
  <r>
    <x v="41"/>
    <x v="0"/>
    <x v="416"/>
    <x v="1"/>
    <x v="1"/>
    <x v="0"/>
    <x v="875"/>
    <x v="2"/>
  </r>
  <r>
    <x v="3"/>
    <x v="1"/>
    <x v="6"/>
    <x v="4"/>
    <x v="1"/>
    <x v="1"/>
    <x v="876"/>
    <x v="1"/>
  </r>
  <r>
    <x v="24"/>
    <x v="1"/>
    <x v="444"/>
    <x v="1"/>
    <x v="1"/>
    <x v="0"/>
    <x v="877"/>
    <x v="1"/>
  </r>
  <r>
    <x v="7"/>
    <x v="0"/>
    <x v="445"/>
    <x v="3"/>
    <x v="1"/>
    <x v="0"/>
    <x v="878"/>
    <x v="1"/>
  </r>
  <r>
    <x v="20"/>
    <x v="1"/>
    <x v="82"/>
    <x v="2"/>
    <x v="1"/>
    <x v="0"/>
    <x v="879"/>
    <x v="0"/>
  </r>
  <r>
    <x v="11"/>
    <x v="1"/>
    <x v="60"/>
    <x v="1"/>
    <x v="1"/>
    <x v="2"/>
    <x v="880"/>
    <x v="0"/>
  </r>
  <r>
    <x v="27"/>
    <x v="0"/>
    <x v="188"/>
    <x v="0"/>
    <x v="1"/>
    <x v="3"/>
    <x v="881"/>
    <x v="0"/>
  </r>
  <r>
    <x v="43"/>
    <x v="0"/>
    <x v="44"/>
    <x v="2"/>
    <x v="0"/>
    <x v="3"/>
    <x v="882"/>
    <x v="2"/>
  </r>
  <r>
    <x v="9"/>
    <x v="1"/>
    <x v="301"/>
    <x v="5"/>
    <x v="1"/>
    <x v="2"/>
    <x v="883"/>
    <x v="0"/>
  </r>
  <r>
    <x v="4"/>
    <x v="1"/>
    <x v="329"/>
    <x v="1"/>
    <x v="0"/>
    <x v="1"/>
    <x v="884"/>
    <x v="1"/>
  </r>
  <r>
    <x v="37"/>
    <x v="1"/>
    <x v="111"/>
    <x v="0"/>
    <x v="0"/>
    <x v="3"/>
    <x v="885"/>
    <x v="2"/>
  </r>
  <r>
    <x v="26"/>
    <x v="0"/>
    <x v="190"/>
    <x v="0"/>
    <x v="1"/>
    <x v="2"/>
    <x v="886"/>
    <x v="1"/>
  </r>
  <r>
    <x v="20"/>
    <x v="1"/>
    <x v="318"/>
    <x v="0"/>
    <x v="1"/>
    <x v="0"/>
    <x v="887"/>
    <x v="0"/>
  </r>
  <r>
    <x v="37"/>
    <x v="1"/>
    <x v="51"/>
    <x v="1"/>
    <x v="1"/>
    <x v="2"/>
    <x v="888"/>
    <x v="2"/>
  </r>
  <r>
    <x v="33"/>
    <x v="0"/>
    <x v="78"/>
    <x v="0"/>
    <x v="0"/>
    <x v="2"/>
    <x v="889"/>
    <x v="3"/>
  </r>
  <r>
    <x v="26"/>
    <x v="0"/>
    <x v="446"/>
    <x v="5"/>
    <x v="1"/>
    <x v="1"/>
    <x v="890"/>
    <x v="1"/>
  </r>
  <r>
    <x v="40"/>
    <x v="1"/>
    <x v="167"/>
    <x v="0"/>
    <x v="1"/>
    <x v="3"/>
    <x v="891"/>
    <x v="2"/>
  </r>
  <r>
    <x v="42"/>
    <x v="1"/>
    <x v="447"/>
    <x v="3"/>
    <x v="0"/>
    <x v="1"/>
    <x v="892"/>
    <x v="2"/>
  </r>
  <r>
    <x v="10"/>
    <x v="1"/>
    <x v="159"/>
    <x v="0"/>
    <x v="1"/>
    <x v="3"/>
    <x v="893"/>
    <x v="3"/>
  </r>
  <r>
    <x v="35"/>
    <x v="0"/>
    <x v="448"/>
    <x v="0"/>
    <x v="1"/>
    <x v="0"/>
    <x v="894"/>
    <x v="3"/>
  </r>
  <r>
    <x v="32"/>
    <x v="0"/>
    <x v="449"/>
    <x v="3"/>
    <x v="0"/>
    <x v="3"/>
    <x v="895"/>
    <x v="1"/>
  </r>
  <r>
    <x v="0"/>
    <x v="1"/>
    <x v="122"/>
    <x v="1"/>
    <x v="1"/>
    <x v="2"/>
    <x v="896"/>
    <x v="0"/>
  </r>
  <r>
    <x v="1"/>
    <x v="0"/>
    <x v="362"/>
    <x v="0"/>
    <x v="1"/>
    <x v="1"/>
    <x v="897"/>
    <x v="0"/>
  </r>
  <r>
    <x v="0"/>
    <x v="0"/>
    <x v="422"/>
    <x v="0"/>
    <x v="1"/>
    <x v="2"/>
    <x v="898"/>
    <x v="0"/>
  </r>
  <r>
    <x v="41"/>
    <x v="1"/>
    <x v="422"/>
    <x v="0"/>
    <x v="1"/>
    <x v="3"/>
    <x v="899"/>
    <x v="2"/>
  </r>
  <r>
    <x v="8"/>
    <x v="1"/>
    <x v="450"/>
    <x v="0"/>
    <x v="0"/>
    <x v="1"/>
    <x v="900"/>
    <x v="2"/>
  </r>
  <r>
    <x v="21"/>
    <x v="1"/>
    <x v="288"/>
    <x v="2"/>
    <x v="1"/>
    <x v="3"/>
    <x v="901"/>
    <x v="0"/>
  </r>
  <r>
    <x v="41"/>
    <x v="1"/>
    <x v="139"/>
    <x v="0"/>
    <x v="1"/>
    <x v="1"/>
    <x v="902"/>
    <x v="2"/>
  </r>
  <r>
    <x v="8"/>
    <x v="0"/>
    <x v="451"/>
    <x v="0"/>
    <x v="1"/>
    <x v="0"/>
    <x v="903"/>
    <x v="2"/>
  </r>
  <r>
    <x v="21"/>
    <x v="0"/>
    <x v="452"/>
    <x v="3"/>
    <x v="1"/>
    <x v="3"/>
    <x v="904"/>
    <x v="0"/>
  </r>
  <r>
    <x v="13"/>
    <x v="1"/>
    <x v="453"/>
    <x v="2"/>
    <x v="1"/>
    <x v="3"/>
    <x v="905"/>
    <x v="0"/>
  </r>
  <r>
    <x v="36"/>
    <x v="0"/>
    <x v="454"/>
    <x v="1"/>
    <x v="1"/>
    <x v="1"/>
    <x v="906"/>
    <x v="1"/>
  </r>
  <r>
    <x v="18"/>
    <x v="1"/>
    <x v="455"/>
    <x v="2"/>
    <x v="1"/>
    <x v="0"/>
    <x v="907"/>
    <x v="3"/>
  </r>
  <r>
    <x v="4"/>
    <x v="0"/>
    <x v="15"/>
    <x v="0"/>
    <x v="0"/>
    <x v="0"/>
    <x v="908"/>
    <x v="1"/>
  </r>
  <r>
    <x v="20"/>
    <x v="1"/>
    <x v="33"/>
    <x v="1"/>
    <x v="1"/>
    <x v="2"/>
    <x v="909"/>
    <x v="0"/>
  </r>
  <r>
    <x v="1"/>
    <x v="1"/>
    <x v="294"/>
    <x v="0"/>
    <x v="0"/>
    <x v="3"/>
    <x v="910"/>
    <x v="0"/>
  </r>
  <r>
    <x v="17"/>
    <x v="0"/>
    <x v="301"/>
    <x v="2"/>
    <x v="1"/>
    <x v="2"/>
    <x v="911"/>
    <x v="2"/>
  </r>
  <r>
    <x v="36"/>
    <x v="0"/>
    <x v="97"/>
    <x v="1"/>
    <x v="1"/>
    <x v="0"/>
    <x v="912"/>
    <x v="1"/>
  </r>
  <r>
    <x v="3"/>
    <x v="1"/>
    <x v="456"/>
    <x v="3"/>
    <x v="1"/>
    <x v="2"/>
    <x v="913"/>
    <x v="1"/>
  </r>
  <r>
    <x v="23"/>
    <x v="0"/>
    <x v="457"/>
    <x v="0"/>
    <x v="1"/>
    <x v="1"/>
    <x v="914"/>
    <x v="0"/>
  </r>
  <r>
    <x v="32"/>
    <x v="0"/>
    <x v="78"/>
    <x v="0"/>
    <x v="0"/>
    <x v="2"/>
    <x v="915"/>
    <x v="1"/>
  </r>
  <r>
    <x v="39"/>
    <x v="1"/>
    <x v="83"/>
    <x v="0"/>
    <x v="0"/>
    <x v="3"/>
    <x v="916"/>
    <x v="1"/>
  </r>
  <r>
    <x v="35"/>
    <x v="0"/>
    <x v="458"/>
    <x v="0"/>
    <x v="1"/>
    <x v="0"/>
    <x v="917"/>
    <x v="3"/>
  </r>
  <r>
    <x v="22"/>
    <x v="0"/>
    <x v="194"/>
    <x v="1"/>
    <x v="1"/>
    <x v="1"/>
    <x v="918"/>
    <x v="1"/>
  </r>
  <r>
    <x v="10"/>
    <x v="0"/>
    <x v="459"/>
    <x v="0"/>
    <x v="1"/>
    <x v="0"/>
    <x v="919"/>
    <x v="3"/>
  </r>
  <r>
    <x v="10"/>
    <x v="0"/>
    <x v="460"/>
    <x v="0"/>
    <x v="1"/>
    <x v="0"/>
    <x v="920"/>
    <x v="3"/>
  </r>
  <r>
    <x v="25"/>
    <x v="1"/>
    <x v="332"/>
    <x v="1"/>
    <x v="1"/>
    <x v="0"/>
    <x v="921"/>
    <x v="1"/>
  </r>
  <r>
    <x v="16"/>
    <x v="1"/>
    <x v="427"/>
    <x v="0"/>
    <x v="1"/>
    <x v="2"/>
    <x v="922"/>
    <x v="1"/>
  </r>
  <r>
    <x v="32"/>
    <x v="1"/>
    <x v="461"/>
    <x v="0"/>
    <x v="1"/>
    <x v="0"/>
    <x v="923"/>
    <x v="1"/>
  </r>
  <r>
    <x v="45"/>
    <x v="1"/>
    <x v="159"/>
    <x v="3"/>
    <x v="1"/>
    <x v="3"/>
    <x v="924"/>
    <x v="2"/>
  </r>
  <r>
    <x v="0"/>
    <x v="0"/>
    <x v="305"/>
    <x v="3"/>
    <x v="1"/>
    <x v="0"/>
    <x v="925"/>
    <x v="0"/>
  </r>
  <r>
    <x v="37"/>
    <x v="0"/>
    <x v="462"/>
    <x v="1"/>
    <x v="1"/>
    <x v="0"/>
    <x v="926"/>
    <x v="2"/>
  </r>
  <r>
    <x v="10"/>
    <x v="0"/>
    <x v="287"/>
    <x v="0"/>
    <x v="1"/>
    <x v="1"/>
    <x v="927"/>
    <x v="3"/>
  </r>
  <r>
    <x v="24"/>
    <x v="1"/>
    <x v="194"/>
    <x v="1"/>
    <x v="1"/>
    <x v="1"/>
    <x v="928"/>
    <x v="1"/>
  </r>
  <r>
    <x v="21"/>
    <x v="1"/>
    <x v="306"/>
    <x v="1"/>
    <x v="1"/>
    <x v="1"/>
    <x v="929"/>
    <x v="0"/>
  </r>
  <r>
    <x v="46"/>
    <x v="0"/>
    <x v="463"/>
    <x v="1"/>
    <x v="1"/>
    <x v="0"/>
    <x v="930"/>
    <x v="1"/>
  </r>
  <r>
    <x v="6"/>
    <x v="1"/>
    <x v="335"/>
    <x v="4"/>
    <x v="1"/>
    <x v="0"/>
    <x v="931"/>
    <x v="2"/>
  </r>
  <r>
    <x v="39"/>
    <x v="0"/>
    <x v="19"/>
    <x v="0"/>
    <x v="1"/>
    <x v="0"/>
    <x v="932"/>
    <x v="1"/>
  </r>
  <r>
    <x v="4"/>
    <x v="1"/>
    <x v="464"/>
    <x v="3"/>
    <x v="1"/>
    <x v="1"/>
    <x v="933"/>
    <x v="1"/>
  </r>
  <r>
    <x v="17"/>
    <x v="0"/>
    <x v="97"/>
    <x v="0"/>
    <x v="1"/>
    <x v="0"/>
    <x v="934"/>
    <x v="2"/>
  </r>
  <r>
    <x v="36"/>
    <x v="1"/>
    <x v="129"/>
    <x v="3"/>
    <x v="1"/>
    <x v="3"/>
    <x v="935"/>
    <x v="1"/>
  </r>
  <r>
    <x v="46"/>
    <x v="0"/>
    <x v="432"/>
    <x v="4"/>
    <x v="1"/>
    <x v="2"/>
    <x v="936"/>
    <x v="1"/>
  </r>
  <r>
    <x v="1"/>
    <x v="1"/>
    <x v="424"/>
    <x v="3"/>
    <x v="1"/>
    <x v="1"/>
    <x v="937"/>
    <x v="0"/>
  </r>
  <r>
    <x v="31"/>
    <x v="1"/>
    <x v="364"/>
    <x v="0"/>
    <x v="1"/>
    <x v="1"/>
    <x v="938"/>
    <x v="2"/>
  </r>
  <r>
    <x v="1"/>
    <x v="1"/>
    <x v="174"/>
    <x v="0"/>
    <x v="1"/>
    <x v="1"/>
    <x v="939"/>
    <x v="0"/>
  </r>
  <r>
    <x v="45"/>
    <x v="0"/>
    <x v="465"/>
    <x v="1"/>
    <x v="1"/>
    <x v="1"/>
    <x v="940"/>
    <x v="2"/>
  </r>
  <r>
    <x v="1"/>
    <x v="0"/>
    <x v="392"/>
    <x v="0"/>
    <x v="1"/>
    <x v="3"/>
    <x v="941"/>
    <x v="0"/>
  </r>
  <r>
    <x v="0"/>
    <x v="1"/>
    <x v="227"/>
    <x v="0"/>
    <x v="1"/>
    <x v="2"/>
    <x v="942"/>
    <x v="0"/>
  </r>
  <r>
    <x v="10"/>
    <x v="1"/>
    <x v="466"/>
    <x v="0"/>
    <x v="1"/>
    <x v="1"/>
    <x v="943"/>
    <x v="3"/>
  </r>
  <r>
    <x v="12"/>
    <x v="0"/>
    <x v="467"/>
    <x v="1"/>
    <x v="1"/>
    <x v="0"/>
    <x v="944"/>
    <x v="2"/>
  </r>
  <r>
    <x v="44"/>
    <x v="1"/>
    <x v="467"/>
    <x v="3"/>
    <x v="1"/>
    <x v="0"/>
    <x v="945"/>
    <x v="1"/>
  </r>
  <r>
    <x v="7"/>
    <x v="1"/>
    <x v="206"/>
    <x v="1"/>
    <x v="0"/>
    <x v="3"/>
    <x v="946"/>
    <x v="1"/>
  </r>
  <r>
    <x v="44"/>
    <x v="1"/>
    <x v="468"/>
    <x v="0"/>
    <x v="1"/>
    <x v="2"/>
    <x v="947"/>
    <x v="1"/>
  </r>
  <r>
    <x v="9"/>
    <x v="1"/>
    <x v="102"/>
    <x v="2"/>
    <x v="0"/>
    <x v="0"/>
    <x v="948"/>
    <x v="0"/>
  </r>
  <r>
    <x v="37"/>
    <x v="1"/>
    <x v="469"/>
    <x v="0"/>
    <x v="1"/>
    <x v="3"/>
    <x v="949"/>
    <x v="2"/>
  </r>
  <r>
    <x v="43"/>
    <x v="1"/>
    <x v="470"/>
    <x v="3"/>
    <x v="0"/>
    <x v="1"/>
    <x v="950"/>
    <x v="2"/>
  </r>
  <r>
    <x v="15"/>
    <x v="0"/>
    <x v="403"/>
    <x v="1"/>
    <x v="1"/>
    <x v="2"/>
    <x v="951"/>
    <x v="0"/>
  </r>
  <r>
    <x v="36"/>
    <x v="1"/>
    <x v="204"/>
    <x v="3"/>
    <x v="0"/>
    <x v="0"/>
    <x v="952"/>
    <x v="1"/>
  </r>
  <r>
    <x v="16"/>
    <x v="1"/>
    <x v="152"/>
    <x v="1"/>
    <x v="0"/>
    <x v="2"/>
    <x v="953"/>
    <x v="1"/>
  </r>
  <r>
    <x v="5"/>
    <x v="1"/>
    <x v="87"/>
    <x v="1"/>
    <x v="1"/>
    <x v="1"/>
    <x v="954"/>
    <x v="1"/>
  </r>
  <r>
    <x v="40"/>
    <x v="1"/>
    <x v="43"/>
    <x v="1"/>
    <x v="0"/>
    <x v="1"/>
    <x v="955"/>
    <x v="2"/>
  </r>
  <r>
    <x v="23"/>
    <x v="1"/>
    <x v="471"/>
    <x v="1"/>
    <x v="1"/>
    <x v="2"/>
    <x v="956"/>
    <x v="0"/>
  </r>
  <r>
    <x v="32"/>
    <x v="1"/>
    <x v="379"/>
    <x v="1"/>
    <x v="0"/>
    <x v="3"/>
    <x v="957"/>
    <x v="1"/>
  </r>
  <r>
    <x v="28"/>
    <x v="1"/>
    <x v="38"/>
    <x v="1"/>
    <x v="1"/>
    <x v="2"/>
    <x v="958"/>
    <x v="2"/>
  </r>
  <r>
    <x v="0"/>
    <x v="0"/>
    <x v="472"/>
    <x v="1"/>
    <x v="1"/>
    <x v="2"/>
    <x v="959"/>
    <x v="0"/>
  </r>
  <r>
    <x v="38"/>
    <x v="0"/>
    <x v="473"/>
    <x v="0"/>
    <x v="1"/>
    <x v="0"/>
    <x v="960"/>
    <x v="0"/>
  </r>
  <r>
    <x v="18"/>
    <x v="0"/>
    <x v="49"/>
    <x v="1"/>
    <x v="1"/>
    <x v="1"/>
    <x v="961"/>
    <x v="3"/>
  </r>
  <r>
    <x v="6"/>
    <x v="1"/>
    <x v="88"/>
    <x v="2"/>
    <x v="1"/>
    <x v="3"/>
    <x v="962"/>
    <x v="2"/>
  </r>
  <r>
    <x v="14"/>
    <x v="1"/>
    <x v="219"/>
    <x v="3"/>
    <x v="1"/>
    <x v="2"/>
    <x v="963"/>
    <x v="2"/>
  </r>
  <r>
    <x v="22"/>
    <x v="1"/>
    <x v="416"/>
    <x v="1"/>
    <x v="1"/>
    <x v="0"/>
    <x v="964"/>
    <x v="1"/>
  </r>
  <r>
    <x v="43"/>
    <x v="1"/>
    <x v="88"/>
    <x v="3"/>
    <x v="0"/>
    <x v="2"/>
    <x v="965"/>
    <x v="2"/>
  </r>
  <r>
    <x v="36"/>
    <x v="1"/>
    <x v="195"/>
    <x v="1"/>
    <x v="1"/>
    <x v="2"/>
    <x v="966"/>
    <x v="1"/>
  </r>
  <r>
    <x v="27"/>
    <x v="1"/>
    <x v="474"/>
    <x v="3"/>
    <x v="1"/>
    <x v="3"/>
    <x v="967"/>
    <x v="0"/>
  </r>
  <r>
    <x v="46"/>
    <x v="0"/>
    <x v="419"/>
    <x v="4"/>
    <x v="1"/>
    <x v="1"/>
    <x v="968"/>
    <x v="1"/>
  </r>
  <r>
    <x v="45"/>
    <x v="0"/>
    <x v="475"/>
    <x v="2"/>
    <x v="1"/>
    <x v="1"/>
    <x v="969"/>
    <x v="2"/>
  </r>
  <r>
    <x v="16"/>
    <x v="0"/>
    <x v="476"/>
    <x v="0"/>
    <x v="1"/>
    <x v="3"/>
    <x v="970"/>
    <x v="1"/>
  </r>
  <r>
    <x v="20"/>
    <x v="0"/>
    <x v="281"/>
    <x v="0"/>
    <x v="1"/>
    <x v="2"/>
    <x v="971"/>
    <x v="0"/>
  </r>
  <r>
    <x v="0"/>
    <x v="0"/>
    <x v="477"/>
    <x v="0"/>
    <x v="1"/>
    <x v="0"/>
    <x v="972"/>
    <x v="0"/>
  </r>
  <r>
    <x v="21"/>
    <x v="1"/>
    <x v="478"/>
    <x v="0"/>
    <x v="1"/>
    <x v="1"/>
    <x v="973"/>
    <x v="0"/>
  </r>
  <r>
    <x v="38"/>
    <x v="1"/>
    <x v="83"/>
    <x v="0"/>
    <x v="0"/>
    <x v="3"/>
    <x v="974"/>
    <x v="0"/>
  </r>
  <r>
    <x v="28"/>
    <x v="1"/>
    <x v="196"/>
    <x v="0"/>
    <x v="1"/>
    <x v="1"/>
    <x v="975"/>
    <x v="2"/>
  </r>
  <r>
    <x v="21"/>
    <x v="1"/>
    <x v="410"/>
    <x v="1"/>
    <x v="1"/>
    <x v="1"/>
    <x v="976"/>
    <x v="0"/>
  </r>
  <r>
    <x v="39"/>
    <x v="0"/>
    <x v="479"/>
    <x v="2"/>
    <x v="1"/>
    <x v="3"/>
    <x v="977"/>
    <x v="1"/>
  </r>
  <r>
    <x v="26"/>
    <x v="0"/>
    <x v="96"/>
    <x v="0"/>
    <x v="1"/>
    <x v="1"/>
    <x v="978"/>
    <x v="1"/>
  </r>
  <r>
    <x v="40"/>
    <x v="1"/>
    <x v="94"/>
    <x v="1"/>
    <x v="1"/>
    <x v="3"/>
    <x v="979"/>
    <x v="2"/>
  </r>
  <r>
    <x v="16"/>
    <x v="1"/>
    <x v="383"/>
    <x v="0"/>
    <x v="1"/>
    <x v="3"/>
    <x v="980"/>
    <x v="1"/>
  </r>
  <r>
    <x v="5"/>
    <x v="1"/>
    <x v="473"/>
    <x v="2"/>
    <x v="0"/>
    <x v="0"/>
    <x v="981"/>
    <x v="1"/>
  </r>
  <r>
    <x v="13"/>
    <x v="0"/>
    <x v="162"/>
    <x v="1"/>
    <x v="1"/>
    <x v="3"/>
    <x v="982"/>
    <x v="0"/>
  </r>
  <r>
    <x v="34"/>
    <x v="1"/>
    <x v="95"/>
    <x v="4"/>
    <x v="1"/>
    <x v="3"/>
    <x v="983"/>
    <x v="0"/>
  </r>
  <r>
    <x v="36"/>
    <x v="0"/>
    <x v="335"/>
    <x v="1"/>
    <x v="1"/>
    <x v="0"/>
    <x v="984"/>
    <x v="1"/>
  </r>
  <r>
    <x v="32"/>
    <x v="1"/>
    <x v="95"/>
    <x v="2"/>
    <x v="1"/>
    <x v="2"/>
    <x v="985"/>
    <x v="1"/>
  </r>
  <r>
    <x v="39"/>
    <x v="0"/>
    <x v="215"/>
    <x v="1"/>
    <x v="1"/>
    <x v="2"/>
    <x v="986"/>
    <x v="1"/>
  </r>
  <r>
    <x v="16"/>
    <x v="1"/>
    <x v="480"/>
    <x v="0"/>
    <x v="1"/>
    <x v="3"/>
    <x v="987"/>
    <x v="1"/>
  </r>
  <r>
    <x v="23"/>
    <x v="0"/>
    <x v="481"/>
    <x v="0"/>
    <x v="0"/>
    <x v="3"/>
    <x v="988"/>
    <x v="0"/>
  </r>
  <r>
    <x v="21"/>
    <x v="0"/>
    <x v="202"/>
    <x v="1"/>
    <x v="1"/>
    <x v="0"/>
    <x v="989"/>
    <x v="0"/>
  </r>
  <r>
    <x v="25"/>
    <x v="0"/>
    <x v="152"/>
    <x v="3"/>
    <x v="1"/>
    <x v="3"/>
    <x v="990"/>
    <x v="1"/>
  </r>
  <r>
    <x v="45"/>
    <x v="0"/>
    <x v="93"/>
    <x v="3"/>
    <x v="1"/>
    <x v="0"/>
    <x v="991"/>
    <x v="2"/>
  </r>
  <r>
    <x v="25"/>
    <x v="1"/>
    <x v="356"/>
    <x v="1"/>
    <x v="1"/>
    <x v="1"/>
    <x v="992"/>
    <x v="1"/>
  </r>
  <r>
    <x v="13"/>
    <x v="0"/>
    <x v="449"/>
    <x v="2"/>
    <x v="0"/>
    <x v="2"/>
    <x v="993"/>
    <x v="0"/>
  </r>
  <r>
    <x v="46"/>
    <x v="0"/>
    <x v="482"/>
    <x v="2"/>
    <x v="1"/>
    <x v="3"/>
    <x v="994"/>
    <x v="1"/>
  </r>
  <r>
    <x v="46"/>
    <x v="0"/>
    <x v="22"/>
    <x v="2"/>
    <x v="1"/>
    <x v="0"/>
    <x v="995"/>
    <x v="1"/>
  </r>
  <r>
    <x v="18"/>
    <x v="0"/>
    <x v="139"/>
    <x v="0"/>
    <x v="1"/>
    <x v="1"/>
    <x v="996"/>
    <x v="3"/>
  </r>
  <r>
    <x v="3"/>
    <x v="0"/>
    <x v="483"/>
    <x v="2"/>
    <x v="1"/>
    <x v="3"/>
    <x v="997"/>
    <x v="1"/>
  </r>
  <r>
    <x v="26"/>
    <x v="0"/>
    <x v="78"/>
    <x v="0"/>
    <x v="1"/>
    <x v="2"/>
    <x v="998"/>
    <x v="1"/>
  </r>
  <r>
    <x v="15"/>
    <x v="1"/>
    <x v="223"/>
    <x v="3"/>
    <x v="0"/>
    <x v="2"/>
    <x v="999"/>
    <x v="0"/>
  </r>
  <r>
    <x v="23"/>
    <x v="1"/>
    <x v="484"/>
    <x v="0"/>
    <x v="0"/>
    <x v="0"/>
    <x v="1000"/>
    <x v="0"/>
  </r>
  <r>
    <x v="23"/>
    <x v="1"/>
    <x v="335"/>
    <x v="0"/>
    <x v="1"/>
    <x v="0"/>
    <x v="1001"/>
    <x v="0"/>
  </r>
  <r>
    <x v="28"/>
    <x v="1"/>
    <x v="303"/>
    <x v="0"/>
    <x v="1"/>
    <x v="0"/>
    <x v="1002"/>
    <x v="2"/>
  </r>
  <r>
    <x v="42"/>
    <x v="1"/>
    <x v="485"/>
    <x v="1"/>
    <x v="1"/>
    <x v="3"/>
    <x v="1003"/>
    <x v="2"/>
  </r>
  <r>
    <x v="38"/>
    <x v="1"/>
    <x v="294"/>
    <x v="3"/>
    <x v="1"/>
    <x v="2"/>
    <x v="1004"/>
    <x v="0"/>
  </r>
  <r>
    <x v="2"/>
    <x v="1"/>
    <x v="245"/>
    <x v="3"/>
    <x v="1"/>
    <x v="3"/>
    <x v="1005"/>
    <x v="0"/>
  </r>
  <r>
    <x v="42"/>
    <x v="1"/>
    <x v="143"/>
    <x v="2"/>
    <x v="0"/>
    <x v="2"/>
    <x v="1006"/>
    <x v="2"/>
  </r>
  <r>
    <x v="9"/>
    <x v="1"/>
    <x v="255"/>
    <x v="3"/>
    <x v="1"/>
    <x v="3"/>
    <x v="1007"/>
    <x v="0"/>
  </r>
  <r>
    <x v="43"/>
    <x v="1"/>
    <x v="7"/>
    <x v="1"/>
    <x v="1"/>
    <x v="3"/>
    <x v="1008"/>
    <x v="2"/>
  </r>
  <r>
    <x v="28"/>
    <x v="0"/>
    <x v="414"/>
    <x v="0"/>
    <x v="1"/>
    <x v="0"/>
    <x v="1009"/>
    <x v="2"/>
  </r>
  <r>
    <x v="32"/>
    <x v="1"/>
    <x v="486"/>
    <x v="3"/>
    <x v="0"/>
    <x v="1"/>
    <x v="1010"/>
    <x v="1"/>
  </r>
  <r>
    <x v="35"/>
    <x v="0"/>
    <x v="230"/>
    <x v="5"/>
    <x v="1"/>
    <x v="1"/>
    <x v="1011"/>
    <x v="3"/>
  </r>
  <r>
    <x v="28"/>
    <x v="1"/>
    <x v="243"/>
    <x v="1"/>
    <x v="1"/>
    <x v="2"/>
    <x v="1012"/>
    <x v="2"/>
  </r>
  <r>
    <x v="25"/>
    <x v="0"/>
    <x v="244"/>
    <x v="0"/>
    <x v="1"/>
    <x v="0"/>
    <x v="1013"/>
    <x v="1"/>
  </r>
  <r>
    <x v="17"/>
    <x v="1"/>
    <x v="94"/>
    <x v="0"/>
    <x v="1"/>
    <x v="2"/>
    <x v="1014"/>
    <x v="2"/>
  </r>
  <r>
    <x v="0"/>
    <x v="0"/>
    <x v="456"/>
    <x v="1"/>
    <x v="1"/>
    <x v="2"/>
    <x v="1015"/>
    <x v="0"/>
  </r>
  <r>
    <x v="21"/>
    <x v="0"/>
    <x v="206"/>
    <x v="3"/>
    <x v="1"/>
    <x v="0"/>
    <x v="1016"/>
    <x v="0"/>
  </r>
  <r>
    <x v="40"/>
    <x v="0"/>
    <x v="427"/>
    <x v="2"/>
    <x v="1"/>
    <x v="2"/>
    <x v="1017"/>
    <x v="2"/>
  </r>
  <r>
    <x v="27"/>
    <x v="0"/>
    <x v="297"/>
    <x v="3"/>
    <x v="1"/>
    <x v="2"/>
    <x v="1018"/>
    <x v="0"/>
  </r>
  <r>
    <x v="43"/>
    <x v="1"/>
    <x v="144"/>
    <x v="0"/>
    <x v="1"/>
    <x v="0"/>
    <x v="1019"/>
    <x v="2"/>
  </r>
  <r>
    <x v="20"/>
    <x v="0"/>
    <x v="270"/>
    <x v="2"/>
    <x v="0"/>
    <x v="1"/>
    <x v="1020"/>
    <x v="0"/>
  </r>
  <r>
    <x v="42"/>
    <x v="1"/>
    <x v="168"/>
    <x v="1"/>
    <x v="0"/>
    <x v="1"/>
    <x v="1021"/>
    <x v="2"/>
  </r>
  <r>
    <x v="1"/>
    <x v="1"/>
    <x v="487"/>
    <x v="1"/>
    <x v="1"/>
    <x v="1"/>
    <x v="1022"/>
    <x v="0"/>
  </r>
  <r>
    <x v="42"/>
    <x v="0"/>
    <x v="488"/>
    <x v="1"/>
    <x v="1"/>
    <x v="1"/>
    <x v="1023"/>
    <x v="2"/>
  </r>
  <r>
    <x v="27"/>
    <x v="0"/>
    <x v="489"/>
    <x v="0"/>
    <x v="1"/>
    <x v="0"/>
    <x v="1024"/>
    <x v="0"/>
  </r>
  <r>
    <x v="0"/>
    <x v="1"/>
    <x v="327"/>
    <x v="1"/>
    <x v="0"/>
    <x v="2"/>
    <x v="1025"/>
    <x v="0"/>
  </r>
  <r>
    <x v="11"/>
    <x v="1"/>
    <x v="490"/>
    <x v="0"/>
    <x v="1"/>
    <x v="2"/>
    <x v="1026"/>
    <x v="0"/>
  </r>
  <r>
    <x v="40"/>
    <x v="1"/>
    <x v="93"/>
    <x v="0"/>
    <x v="1"/>
    <x v="0"/>
    <x v="1027"/>
    <x v="2"/>
  </r>
  <r>
    <x v="7"/>
    <x v="0"/>
    <x v="193"/>
    <x v="3"/>
    <x v="1"/>
    <x v="3"/>
    <x v="1028"/>
    <x v="1"/>
  </r>
  <r>
    <x v="6"/>
    <x v="0"/>
    <x v="367"/>
    <x v="1"/>
    <x v="0"/>
    <x v="2"/>
    <x v="1029"/>
    <x v="2"/>
  </r>
  <r>
    <x v="19"/>
    <x v="0"/>
    <x v="49"/>
    <x v="0"/>
    <x v="0"/>
    <x v="1"/>
    <x v="1030"/>
    <x v="2"/>
  </r>
  <r>
    <x v="15"/>
    <x v="0"/>
    <x v="325"/>
    <x v="0"/>
    <x v="1"/>
    <x v="3"/>
    <x v="1031"/>
    <x v="0"/>
  </r>
  <r>
    <x v="1"/>
    <x v="1"/>
    <x v="491"/>
    <x v="0"/>
    <x v="0"/>
    <x v="3"/>
    <x v="1032"/>
    <x v="0"/>
  </r>
  <r>
    <x v="35"/>
    <x v="1"/>
    <x v="275"/>
    <x v="0"/>
    <x v="1"/>
    <x v="2"/>
    <x v="1033"/>
    <x v="3"/>
  </r>
  <r>
    <x v="40"/>
    <x v="0"/>
    <x v="492"/>
    <x v="2"/>
    <x v="1"/>
    <x v="0"/>
    <x v="1034"/>
    <x v="2"/>
  </r>
  <r>
    <x v="20"/>
    <x v="1"/>
    <x v="493"/>
    <x v="3"/>
    <x v="0"/>
    <x v="1"/>
    <x v="1035"/>
    <x v="0"/>
  </r>
  <r>
    <x v="39"/>
    <x v="0"/>
    <x v="131"/>
    <x v="1"/>
    <x v="0"/>
    <x v="2"/>
    <x v="1036"/>
    <x v="1"/>
  </r>
  <r>
    <x v="20"/>
    <x v="1"/>
    <x v="4"/>
    <x v="0"/>
    <x v="1"/>
    <x v="3"/>
    <x v="1037"/>
    <x v="0"/>
  </r>
  <r>
    <x v="0"/>
    <x v="1"/>
    <x v="288"/>
    <x v="3"/>
    <x v="1"/>
    <x v="2"/>
    <x v="1038"/>
    <x v="0"/>
  </r>
  <r>
    <x v="22"/>
    <x v="0"/>
    <x v="24"/>
    <x v="0"/>
    <x v="0"/>
    <x v="2"/>
    <x v="1039"/>
    <x v="1"/>
  </r>
  <r>
    <x v="1"/>
    <x v="1"/>
    <x v="26"/>
    <x v="0"/>
    <x v="1"/>
    <x v="3"/>
    <x v="1040"/>
    <x v="0"/>
  </r>
  <r>
    <x v="34"/>
    <x v="1"/>
    <x v="264"/>
    <x v="0"/>
    <x v="0"/>
    <x v="3"/>
    <x v="1041"/>
    <x v="0"/>
  </r>
  <r>
    <x v="2"/>
    <x v="0"/>
    <x v="335"/>
    <x v="0"/>
    <x v="1"/>
    <x v="0"/>
    <x v="1042"/>
    <x v="0"/>
  </r>
  <r>
    <x v="19"/>
    <x v="1"/>
    <x v="249"/>
    <x v="1"/>
    <x v="1"/>
    <x v="3"/>
    <x v="1043"/>
    <x v="2"/>
  </r>
  <r>
    <x v="32"/>
    <x v="0"/>
    <x v="62"/>
    <x v="3"/>
    <x v="0"/>
    <x v="2"/>
    <x v="1044"/>
    <x v="1"/>
  </r>
  <r>
    <x v="32"/>
    <x v="0"/>
    <x v="322"/>
    <x v="0"/>
    <x v="1"/>
    <x v="3"/>
    <x v="1045"/>
    <x v="1"/>
  </r>
  <r>
    <x v="20"/>
    <x v="1"/>
    <x v="494"/>
    <x v="1"/>
    <x v="0"/>
    <x v="1"/>
    <x v="1046"/>
    <x v="0"/>
  </r>
  <r>
    <x v="9"/>
    <x v="0"/>
    <x v="422"/>
    <x v="1"/>
    <x v="1"/>
    <x v="2"/>
    <x v="1047"/>
    <x v="0"/>
  </r>
  <r>
    <x v="41"/>
    <x v="1"/>
    <x v="157"/>
    <x v="0"/>
    <x v="0"/>
    <x v="0"/>
    <x v="1048"/>
    <x v="2"/>
  </r>
  <r>
    <x v="36"/>
    <x v="0"/>
    <x v="55"/>
    <x v="1"/>
    <x v="1"/>
    <x v="2"/>
    <x v="1049"/>
    <x v="1"/>
  </r>
  <r>
    <x v="33"/>
    <x v="1"/>
    <x v="154"/>
    <x v="0"/>
    <x v="1"/>
    <x v="3"/>
    <x v="1050"/>
    <x v="3"/>
  </r>
  <r>
    <x v="41"/>
    <x v="1"/>
    <x v="8"/>
    <x v="1"/>
    <x v="1"/>
    <x v="3"/>
    <x v="1051"/>
    <x v="2"/>
  </r>
  <r>
    <x v="42"/>
    <x v="1"/>
    <x v="141"/>
    <x v="2"/>
    <x v="0"/>
    <x v="0"/>
    <x v="1052"/>
    <x v="2"/>
  </r>
  <r>
    <x v="13"/>
    <x v="0"/>
    <x v="321"/>
    <x v="0"/>
    <x v="1"/>
    <x v="2"/>
    <x v="1053"/>
    <x v="0"/>
  </r>
  <r>
    <x v="19"/>
    <x v="1"/>
    <x v="215"/>
    <x v="0"/>
    <x v="1"/>
    <x v="2"/>
    <x v="1054"/>
    <x v="2"/>
  </r>
  <r>
    <x v="28"/>
    <x v="0"/>
    <x v="65"/>
    <x v="0"/>
    <x v="1"/>
    <x v="0"/>
    <x v="1055"/>
    <x v="2"/>
  </r>
  <r>
    <x v="39"/>
    <x v="0"/>
    <x v="211"/>
    <x v="0"/>
    <x v="1"/>
    <x v="1"/>
    <x v="1056"/>
    <x v="1"/>
  </r>
  <r>
    <x v="23"/>
    <x v="0"/>
    <x v="87"/>
    <x v="0"/>
    <x v="1"/>
    <x v="1"/>
    <x v="1057"/>
    <x v="0"/>
  </r>
  <r>
    <x v="4"/>
    <x v="1"/>
    <x v="312"/>
    <x v="1"/>
    <x v="1"/>
    <x v="2"/>
    <x v="1058"/>
    <x v="1"/>
  </r>
  <r>
    <x v="23"/>
    <x v="1"/>
    <x v="72"/>
    <x v="0"/>
    <x v="1"/>
    <x v="1"/>
    <x v="1059"/>
    <x v="0"/>
  </r>
  <r>
    <x v="37"/>
    <x v="1"/>
    <x v="100"/>
    <x v="1"/>
    <x v="1"/>
    <x v="1"/>
    <x v="1060"/>
    <x v="2"/>
  </r>
  <r>
    <x v="17"/>
    <x v="1"/>
    <x v="421"/>
    <x v="1"/>
    <x v="0"/>
    <x v="1"/>
    <x v="1061"/>
    <x v="2"/>
  </r>
  <r>
    <x v="26"/>
    <x v="1"/>
    <x v="105"/>
    <x v="2"/>
    <x v="1"/>
    <x v="2"/>
    <x v="1062"/>
    <x v="1"/>
  </r>
  <r>
    <x v="38"/>
    <x v="0"/>
    <x v="248"/>
    <x v="5"/>
    <x v="1"/>
    <x v="0"/>
    <x v="1063"/>
    <x v="0"/>
  </r>
  <r>
    <x v="44"/>
    <x v="0"/>
    <x v="128"/>
    <x v="1"/>
    <x v="1"/>
    <x v="0"/>
    <x v="1064"/>
    <x v="1"/>
  </r>
  <r>
    <x v="28"/>
    <x v="1"/>
    <x v="348"/>
    <x v="3"/>
    <x v="1"/>
    <x v="1"/>
    <x v="1065"/>
    <x v="2"/>
  </r>
  <r>
    <x v="46"/>
    <x v="1"/>
    <x v="495"/>
    <x v="0"/>
    <x v="1"/>
    <x v="3"/>
    <x v="1066"/>
    <x v="1"/>
  </r>
  <r>
    <x v="18"/>
    <x v="1"/>
    <x v="496"/>
    <x v="1"/>
    <x v="1"/>
    <x v="2"/>
    <x v="1067"/>
    <x v="3"/>
  </r>
  <r>
    <x v="40"/>
    <x v="0"/>
    <x v="125"/>
    <x v="1"/>
    <x v="1"/>
    <x v="1"/>
    <x v="1068"/>
    <x v="2"/>
  </r>
  <r>
    <x v="7"/>
    <x v="1"/>
    <x v="493"/>
    <x v="1"/>
    <x v="0"/>
    <x v="1"/>
    <x v="1069"/>
    <x v="1"/>
  </r>
  <r>
    <x v="18"/>
    <x v="1"/>
    <x v="268"/>
    <x v="0"/>
    <x v="1"/>
    <x v="3"/>
    <x v="1070"/>
    <x v="3"/>
  </r>
  <r>
    <x v="27"/>
    <x v="1"/>
    <x v="468"/>
    <x v="0"/>
    <x v="1"/>
    <x v="2"/>
    <x v="1071"/>
    <x v="0"/>
  </r>
  <r>
    <x v="40"/>
    <x v="0"/>
    <x v="4"/>
    <x v="3"/>
    <x v="1"/>
    <x v="3"/>
    <x v="1072"/>
    <x v="2"/>
  </r>
  <r>
    <x v="8"/>
    <x v="0"/>
    <x v="469"/>
    <x v="0"/>
    <x v="1"/>
    <x v="3"/>
    <x v="1073"/>
    <x v="2"/>
  </r>
  <r>
    <x v="4"/>
    <x v="0"/>
    <x v="75"/>
    <x v="1"/>
    <x v="1"/>
    <x v="1"/>
    <x v="1074"/>
    <x v="1"/>
  </r>
  <r>
    <x v="42"/>
    <x v="0"/>
    <x v="497"/>
    <x v="1"/>
    <x v="1"/>
    <x v="0"/>
    <x v="1075"/>
    <x v="2"/>
  </r>
  <r>
    <x v="27"/>
    <x v="1"/>
    <x v="327"/>
    <x v="0"/>
    <x v="1"/>
    <x v="3"/>
    <x v="1076"/>
    <x v="0"/>
  </r>
  <r>
    <x v="2"/>
    <x v="1"/>
    <x v="57"/>
    <x v="0"/>
    <x v="0"/>
    <x v="1"/>
    <x v="1077"/>
    <x v="0"/>
  </r>
  <r>
    <x v="18"/>
    <x v="1"/>
    <x v="61"/>
    <x v="2"/>
    <x v="1"/>
    <x v="1"/>
    <x v="1078"/>
    <x v="3"/>
  </r>
  <r>
    <x v="1"/>
    <x v="1"/>
    <x v="42"/>
    <x v="3"/>
    <x v="1"/>
    <x v="1"/>
    <x v="1079"/>
    <x v="0"/>
  </r>
  <r>
    <x v="4"/>
    <x v="1"/>
    <x v="152"/>
    <x v="1"/>
    <x v="1"/>
    <x v="2"/>
    <x v="1080"/>
    <x v="1"/>
  </r>
  <r>
    <x v="25"/>
    <x v="1"/>
    <x v="91"/>
    <x v="1"/>
    <x v="1"/>
    <x v="2"/>
    <x v="1081"/>
    <x v="1"/>
  </r>
  <r>
    <x v="4"/>
    <x v="1"/>
    <x v="434"/>
    <x v="1"/>
    <x v="1"/>
    <x v="0"/>
    <x v="1082"/>
    <x v="1"/>
  </r>
  <r>
    <x v="10"/>
    <x v="0"/>
    <x v="131"/>
    <x v="3"/>
    <x v="1"/>
    <x v="2"/>
    <x v="1083"/>
    <x v="3"/>
  </r>
  <r>
    <x v="46"/>
    <x v="0"/>
    <x v="498"/>
    <x v="4"/>
    <x v="0"/>
    <x v="0"/>
    <x v="1084"/>
    <x v="1"/>
  </r>
  <r>
    <x v="19"/>
    <x v="1"/>
    <x v="111"/>
    <x v="0"/>
    <x v="1"/>
    <x v="3"/>
    <x v="1085"/>
    <x v="2"/>
  </r>
  <r>
    <x v="37"/>
    <x v="1"/>
    <x v="381"/>
    <x v="0"/>
    <x v="1"/>
    <x v="2"/>
    <x v="1086"/>
    <x v="2"/>
  </r>
  <r>
    <x v="14"/>
    <x v="1"/>
    <x v="499"/>
    <x v="1"/>
    <x v="1"/>
    <x v="1"/>
    <x v="1087"/>
    <x v="2"/>
  </r>
  <r>
    <x v="12"/>
    <x v="1"/>
    <x v="500"/>
    <x v="0"/>
    <x v="1"/>
    <x v="0"/>
    <x v="1088"/>
    <x v="2"/>
  </r>
  <r>
    <x v="42"/>
    <x v="1"/>
    <x v="67"/>
    <x v="0"/>
    <x v="0"/>
    <x v="1"/>
    <x v="1089"/>
    <x v="2"/>
  </r>
  <r>
    <x v="19"/>
    <x v="0"/>
    <x v="8"/>
    <x v="0"/>
    <x v="1"/>
    <x v="3"/>
    <x v="1090"/>
    <x v="2"/>
  </r>
  <r>
    <x v="11"/>
    <x v="1"/>
    <x v="484"/>
    <x v="2"/>
    <x v="1"/>
    <x v="0"/>
    <x v="1091"/>
    <x v="0"/>
  </r>
  <r>
    <x v="20"/>
    <x v="0"/>
    <x v="257"/>
    <x v="0"/>
    <x v="0"/>
    <x v="2"/>
    <x v="1092"/>
    <x v="0"/>
  </r>
  <r>
    <x v="45"/>
    <x v="0"/>
    <x v="175"/>
    <x v="5"/>
    <x v="1"/>
    <x v="0"/>
    <x v="1093"/>
    <x v="2"/>
  </r>
  <r>
    <x v="1"/>
    <x v="0"/>
    <x v="112"/>
    <x v="5"/>
    <x v="1"/>
    <x v="3"/>
    <x v="1094"/>
    <x v="0"/>
  </r>
  <r>
    <x v="43"/>
    <x v="0"/>
    <x v="379"/>
    <x v="3"/>
    <x v="0"/>
    <x v="3"/>
    <x v="1095"/>
    <x v="2"/>
  </r>
  <r>
    <x v="20"/>
    <x v="1"/>
    <x v="1"/>
    <x v="0"/>
    <x v="1"/>
    <x v="1"/>
    <x v="1096"/>
    <x v="0"/>
  </r>
  <r>
    <x v="14"/>
    <x v="0"/>
    <x v="99"/>
    <x v="0"/>
    <x v="1"/>
    <x v="3"/>
    <x v="1097"/>
    <x v="2"/>
  </r>
  <r>
    <x v="9"/>
    <x v="0"/>
    <x v="457"/>
    <x v="1"/>
    <x v="1"/>
    <x v="1"/>
    <x v="1098"/>
    <x v="0"/>
  </r>
  <r>
    <x v="3"/>
    <x v="0"/>
    <x v="501"/>
    <x v="3"/>
    <x v="0"/>
    <x v="3"/>
    <x v="1099"/>
    <x v="1"/>
  </r>
  <r>
    <x v="31"/>
    <x v="1"/>
    <x v="32"/>
    <x v="2"/>
    <x v="1"/>
    <x v="0"/>
    <x v="1100"/>
    <x v="2"/>
  </r>
  <r>
    <x v="38"/>
    <x v="1"/>
    <x v="447"/>
    <x v="1"/>
    <x v="1"/>
    <x v="1"/>
    <x v="1101"/>
    <x v="0"/>
  </r>
  <r>
    <x v="30"/>
    <x v="1"/>
    <x v="168"/>
    <x v="0"/>
    <x v="1"/>
    <x v="1"/>
    <x v="1102"/>
    <x v="2"/>
  </r>
  <r>
    <x v="7"/>
    <x v="1"/>
    <x v="141"/>
    <x v="0"/>
    <x v="1"/>
    <x v="0"/>
    <x v="1103"/>
    <x v="1"/>
  </r>
  <r>
    <x v="40"/>
    <x v="0"/>
    <x v="502"/>
    <x v="0"/>
    <x v="1"/>
    <x v="1"/>
    <x v="1104"/>
    <x v="2"/>
  </r>
  <r>
    <x v="41"/>
    <x v="0"/>
    <x v="503"/>
    <x v="0"/>
    <x v="1"/>
    <x v="2"/>
    <x v="1105"/>
    <x v="2"/>
  </r>
  <r>
    <x v="45"/>
    <x v="0"/>
    <x v="10"/>
    <x v="3"/>
    <x v="1"/>
    <x v="2"/>
    <x v="1106"/>
    <x v="2"/>
  </r>
  <r>
    <x v="21"/>
    <x v="1"/>
    <x v="308"/>
    <x v="1"/>
    <x v="1"/>
    <x v="0"/>
    <x v="1107"/>
    <x v="0"/>
  </r>
  <r>
    <x v="39"/>
    <x v="1"/>
    <x v="504"/>
    <x v="2"/>
    <x v="1"/>
    <x v="1"/>
    <x v="1108"/>
    <x v="1"/>
  </r>
  <r>
    <x v="40"/>
    <x v="0"/>
    <x v="243"/>
    <x v="1"/>
    <x v="1"/>
    <x v="3"/>
    <x v="1109"/>
    <x v="2"/>
  </r>
  <r>
    <x v="25"/>
    <x v="1"/>
    <x v="186"/>
    <x v="2"/>
    <x v="0"/>
    <x v="1"/>
    <x v="1110"/>
    <x v="1"/>
  </r>
  <r>
    <x v="28"/>
    <x v="0"/>
    <x v="505"/>
    <x v="2"/>
    <x v="0"/>
    <x v="1"/>
    <x v="1111"/>
    <x v="2"/>
  </r>
  <r>
    <x v="2"/>
    <x v="0"/>
    <x v="31"/>
    <x v="2"/>
    <x v="1"/>
    <x v="2"/>
    <x v="1112"/>
    <x v="0"/>
  </r>
  <r>
    <x v="11"/>
    <x v="1"/>
    <x v="184"/>
    <x v="0"/>
    <x v="1"/>
    <x v="3"/>
    <x v="1113"/>
    <x v="0"/>
  </r>
  <r>
    <x v="19"/>
    <x v="1"/>
    <x v="314"/>
    <x v="1"/>
    <x v="1"/>
    <x v="1"/>
    <x v="1114"/>
    <x v="2"/>
  </r>
  <r>
    <x v="24"/>
    <x v="1"/>
    <x v="142"/>
    <x v="4"/>
    <x v="1"/>
    <x v="3"/>
    <x v="1115"/>
    <x v="1"/>
  </r>
  <r>
    <x v="9"/>
    <x v="1"/>
    <x v="230"/>
    <x v="3"/>
    <x v="0"/>
    <x v="1"/>
    <x v="1116"/>
    <x v="0"/>
  </r>
  <r>
    <x v="3"/>
    <x v="1"/>
    <x v="246"/>
    <x v="1"/>
    <x v="0"/>
    <x v="1"/>
    <x v="1117"/>
    <x v="1"/>
  </r>
  <r>
    <x v="15"/>
    <x v="0"/>
    <x v="91"/>
    <x v="2"/>
    <x v="1"/>
    <x v="2"/>
    <x v="1118"/>
    <x v="0"/>
  </r>
  <r>
    <x v="11"/>
    <x v="0"/>
    <x v="234"/>
    <x v="0"/>
    <x v="0"/>
    <x v="0"/>
    <x v="1119"/>
    <x v="0"/>
  </r>
  <r>
    <x v="6"/>
    <x v="1"/>
    <x v="271"/>
    <x v="3"/>
    <x v="1"/>
    <x v="1"/>
    <x v="1120"/>
    <x v="2"/>
  </r>
  <r>
    <x v="31"/>
    <x v="0"/>
    <x v="350"/>
    <x v="2"/>
    <x v="0"/>
    <x v="2"/>
    <x v="1121"/>
    <x v="2"/>
  </r>
  <r>
    <x v="13"/>
    <x v="0"/>
    <x v="203"/>
    <x v="1"/>
    <x v="1"/>
    <x v="3"/>
    <x v="1122"/>
    <x v="0"/>
  </r>
  <r>
    <x v="11"/>
    <x v="0"/>
    <x v="506"/>
    <x v="1"/>
    <x v="0"/>
    <x v="3"/>
    <x v="1123"/>
    <x v="0"/>
  </r>
  <r>
    <x v="18"/>
    <x v="0"/>
    <x v="322"/>
    <x v="0"/>
    <x v="1"/>
    <x v="2"/>
    <x v="1124"/>
    <x v="3"/>
  </r>
  <r>
    <x v="19"/>
    <x v="1"/>
    <x v="441"/>
    <x v="0"/>
    <x v="1"/>
    <x v="0"/>
    <x v="1125"/>
    <x v="2"/>
  </r>
  <r>
    <x v="22"/>
    <x v="0"/>
    <x v="191"/>
    <x v="3"/>
    <x v="1"/>
    <x v="1"/>
    <x v="1126"/>
    <x v="1"/>
  </r>
  <r>
    <x v="16"/>
    <x v="1"/>
    <x v="163"/>
    <x v="1"/>
    <x v="1"/>
    <x v="0"/>
    <x v="1127"/>
    <x v="1"/>
  </r>
  <r>
    <x v="0"/>
    <x v="0"/>
    <x v="507"/>
    <x v="0"/>
    <x v="1"/>
    <x v="0"/>
    <x v="1128"/>
    <x v="0"/>
  </r>
  <r>
    <x v="46"/>
    <x v="0"/>
    <x v="508"/>
    <x v="4"/>
    <x v="1"/>
    <x v="1"/>
    <x v="1129"/>
    <x v="1"/>
  </r>
  <r>
    <x v="13"/>
    <x v="1"/>
    <x v="509"/>
    <x v="3"/>
    <x v="1"/>
    <x v="0"/>
    <x v="1130"/>
    <x v="0"/>
  </r>
  <r>
    <x v="37"/>
    <x v="1"/>
    <x v="405"/>
    <x v="0"/>
    <x v="1"/>
    <x v="3"/>
    <x v="1131"/>
    <x v="2"/>
  </r>
  <r>
    <x v="14"/>
    <x v="0"/>
    <x v="469"/>
    <x v="0"/>
    <x v="1"/>
    <x v="2"/>
    <x v="1132"/>
    <x v="2"/>
  </r>
  <r>
    <x v="2"/>
    <x v="1"/>
    <x v="312"/>
    <x v="0"/>
    <x v="1"/>
    <x v="2"/>
    <x v="1133"/>
    <x v="0"/>
  </r>
  <r>
    <x v="45"/>
    <x v="0"/>
    <x v="213"/>
    <x v="2"/>
    <x v="1"/>
    <x v="2"/>
    <x v="1134"/>
    <x v="2"/>
  </r>
  <r>
    <x v="36"/>
    <x v="0"/>
    <x v="459"/>
    <x v="1"/>
    <x v="1"/>
    <x v="0"/>
    <x v="1135"/>
    <x v="1"/>
  </r>
  <r>
    <x v="21"/>
    <x v="0"/>
    <x v="259"/>
    <x v="0"/>
    <x v="1"/>
    <x v="2"/>
    <x v="1136"/>
    <x v="0"/>
  </r>
  <r>
    <x v="3"/>
    <x v="1"/>
    <x v="328"/>
    <x v="0"/>
    <x v="1"/>
    <x v="1"/>
    <x v="1137"/>
    <x v="1"/>
  </r>
  <r>
    <x v="0"/>
    <x v="0"/>
    <x v="127"/>
    <x v="0"/>
    <x v="0"/>
    <x v="2"/>
    <x v="1138"/>
    <x v="0"/>
  </r>
  <r>
    <x v="45"/>
    <x v="1"/>
    <x v="493"/>
    <x v="1"/>
    <x v="1"/>
    <x v="1"/>
    <x v="1139"/>
    <x v="2"/>
  </r>
  <r>
    <x v="24"/>
    <x v="0"/>
    <x v="365"/>
    <x v="2"/>
    <x v="1"/>
    <x v="0"/>
    <x v="1140"/>
    <x v="1"/>
  </r>
  <r>
    <x v="14"/>
    <x v="0"/>
    <x v="443"/>
    <x v="0"/>
    <x v="1"/>
    <x v="1"/>
    <x v="1141"/>
    <x v="2"/>
  </r>
  <r>
    <x v="46"/>
    <x v="1"/>
    <x v="454"/>
    <x v="3"/>
    <x v="1"/>
    <x v="1"/>
    <x v="1142"/>
    <x v="1"/>
  </r>
  <r>
    <x v="45"/>
    <x v="1"/>
    <x v="243"/>
    <x v="3"/>
    <x v="1"/>
    <x v="0"/>
    <x v="1143"/>
    <x v="2"/>
  </r>
  <r>
    <x v="14"/>
    <x v="1"/>
    <x v="27"/>
    <x v="2"/>
    <x v="1"/>
    <x v="2"/>
    <x v="1144"/>
    <x v="2"/>
  </r>
  <r>
    <x v="8"/>
    <x v="1"/>
    <x v="163"/>
    <x v="0"/>
    <x v="0"/>
    <x v="0"/>
    <x v="1145"/>
    <x v="2"/>
  </r>
  <r>
    <x v="34"/>
    <x v="0"/>
    <x v="23"/>
    <x v="0"/>
    <x v="1"/>
    <x v="2"/>
    <x v="1146"/>
    <x v="0"/>
  </r>
  <r>
    <x v="19"/>
    <x v="1"/>
    <x v="510"/>
    <x v="1"/>
    <x v="1"/>
    <x v="0"/>
    <x v="1147"/>
    <x v="2"/>
  </r>
  <r>
    <x v="44"/>
    <x v="1"/>
    <x v="22"/>
    <x v="0"/>
    <x v="1"/>
    <x v="0"/>
    <x v="1148"/>
    <x v="1"/>
  </r>
  <r>
    <x v="1"/>
    <x v="0"/>
    <x v="511"/>
    <x v="0"/>
    <x v="1"/>
    <x v="3"/>
    <x v="1149"/>
    <x v="0"/>
  </r>
  <r>
    <x v="30"/>
    <x v="0"/>
    <x v="238"/>
    <x v="0"/>
    <x v="1"/>
    <x v="2"/>
    <x v="1150"/>
    <x v="2"/>
  </r>
  <r>
    <x v="32"/>
    <x v="0"/>
    <x v="316"/>
    <x v="2"/>
    <x v="0"/>
    <x v="1"/>
    <x v="1151"/>
    <x v="1"/>
  </r>
  <r>
    <x v="22"/>
    <x v="0"/>
    <x v="427"/>
    <x v="1"/>
    <x v="1"/>
    <x v="2"/>
    <x v="1152"/>
    <x v="1"/>
  </r>
  <r>
    <x v="28"/>
    <x v="0"/>
    <x v="325"/>
    <x v="5"/>
    <x v="1"/>
    <x v="2"/>
    <x v="1153"/>
    <x v="2"/>
  </r>
  <r>
    <x v="26"/>
    <x v="0"/>
    <x v="188"/>
    <x v="2"/>
    <x v="1"/>
    <x v="3"/>
    <x v="1154"/>
    <x v="1"/>
  </r>
  <r>
    <x v="0"/>
    <x v="1"/>
    <x v="512"/>
    <x v="0"/>
    <x v="0"/>
    <x v="1"/>
    <x v="1155"/>
    <x v="0"/>
  </r>
  <r>
    <x v="11"/>
    <x v="0"/>
    <x v="247"/>
    <x v="3"/>
    <x v="1"/>
    <x v="2"/>
    <x v="1156"/>
    <x v="0"/>
  </r>
  <r>
    <x v="34"/>
    <x v="0"/>
    <x v="162"/>
    <x v="0"/>
    <x v="1"/>
    <x v="3"/>
    <x v="1157"/>
    <x v="0"/>
  </r>
  <r>
    <x v="4"/>
    <x v="0"/>
    <x v="513"/>
    <x v="0"/>
    <x v="1"/>
    <x v="0"/>
    <x v="1158"/>
    <x v="1"/>
  </r>
  <r>
    <x v="32"/>
    <x v="0"/>
    <x v="415"/>
    <x v="1"/>
    <x v="1"/>
    <x v="2"/>
    <x v="1159"/>
    <x v="1"/>
  </r>
  <r>
    <x v="16"/>
    <x v="1"/>
    <x v="14"/>
    <x v="3"/>
    <x v="1"/>
    <x v="1"/>
    <x v="1160"/>
    <x v="1"/>
  </r>
  <r>
    <x v="15"/>
    <x v="1"/>
    <x v="130"/>
    <x v="1"/>
    <x v="1"/>
    <x v="1"/>
    <x v="1161"/>
    <x v="0"/>
  </r>
  <r>
    <x v="1"/>
    <x v="0"/>
    <x v="143"/>
    <x v="0"/>
    <x v="1"/>
    <x v="3"/>
    <x v="1162"/>
    <x v="0"/>
  </r>
  <r>
    <x v="24"/>
    <x v="0"/>
    <x v="33"/>
    <x v="1"/>
    <x v="1"/>
    <x v="2"/>
    <x v="1163"/>
    <x v="1"/>
  </r>
  <r>
    <x v="22"/>
    <x v="0"/>
    <x v="388"/>
    <x v="0"/>
    <x v="1"/>
    <x v="3"/>
    <x v="1164"/>
    <x v="1"/>
  </r>
  <r>
    <x v="37"/>
    <x v="1"/>
    <x v="514"/>
    <x v="0"/>
    <x v="1"/>
    <x v="1"/>
    <x v="1165"/>
    <x v="2"/>
  </r>
  <r>
    <x v="38"/>
    <x v="0"/>
    <x v="15"/>
    <x v="3"/>
    <x v="1"/>
    <x v="0"/>
    <x v="1166"/>
    <x v="0"/>
  </r>
  <r>
    <x v="4"/>
    <x v="1"/>
    <x v="49"/>
    <x v="3"/>
    <x v="1"/>
    <x v="0"/>
    <x v="1167"/>
    <x v="1"/>
  </r>
  <r>
    <x v="7"/>
    <x v="0"/>
    <x v="237"/>
    <x v="1"/>
    <x v="1"/>
    <x v="2"/>
    <x v="1168"/>
    <x v="1"/>
  </r>
  <r>
    <x v="1"/>
    <x v="1"/>
    <x v="60"/>
    <x v="1"/>
    <x v="0"/>
    <x v="3"/>
    <x v="1169"/>
    <x v="0"/>
  </r>
  <r>
    <x v="32"/>
    <x v="0"/>
    <x v="418"/>
    <x v="3"/>
    <x v="0"/>
    <x v="0"/>
    <x v="1170"/>
    <x v="1"/>
  </r>
  <r>
    <x v="12"/>
    <x v="0"/>
    <x v="180"/>
    <x v="0"/>
    <x v="1"/>
    <x v="1"/>
    <x v="1171"/>
    <x v="2"/>
  </r>
  <r>
    <x v="25"/>
    <x v="1"/>
    <x v="245"/>
    <x v="3"/>
    <x v="1"/>
    <x v="2"/>
    <x v="1172"/>
    <x v="1"/>
  </r>
  <r>
    <x v="38"/>
    <x v="1"/>
    <x v="159"/>
    <x v="3"/>
    <x v="1"/>
    <x v="2"/>
    <x v="1173"/>
    <x v="0"/>
  </r>
  <r>
    <x v="20"/>
    <x v="0"/>
    <x v="416"/>
    <x v="0"/>
    <x v="1"/>
    <x v="0"/>
    <x v="1174"/>
    <x v="0"/>
  </r>
  <r>
    <x v="14"/>
    <x v="0"/>
    <x v="134"/>
    <x v="1"/>
    <x v="0"/>
    <x v="2"/>
    <x v="1175"/>
    <x v="2"/>
  </r>
  <r>
    <x v="29"/>
    <x v="0"/>
    <x v="73"/>
    <x v="1"/>
    <x v="1"/>
    <x v="0"/>
    <x v="1176"/>
    <x v="1"/>
  </r>
  <r>
    <x v="11"/>
    <x v="0"/>
    <x v="231"/>
    <x v="0"/>
    <x v="1"/>
    <x v="3"/>
    <x v="1177"/>
    <x v="0"/>
  </r>
  <r>
    <x v="5"/>
    <x v="1"/>
    <x v="382"/>
    <x v="0"/>
    <x v="0"/>
    <x v="1"/>
    <x v="1178"/>
    <x v="1"/>
  </r>
  <r>
    <x v="44"/>
    <x v="0"/>
    <x v="317"/>
    <x v="1"/>
    <x v="1"/>
    <x v="3"/>
    <x v="1179"/>
    <x v="1"/>
  </r>
  <r>
    <x v="23"/>
    <x v="0"/>
    <x v="503"/>
    <x v="0"/>
    <x v="1"/>
    <x v="2"/>
    <x v="1180"/>
    <x v="0"/>
  </r>
  <r>
    <x v="9"/>
    <x v="0"/>
    <x v="148"/>
    <x v="0"/>
    <x v="1"/>
    <x v="0"/>
    <x v="1181"/>
    <x v="0"/>
  </r>
  <r>
    <x v="28"/>
    <x v="0"/>
    <x v="60"/>
    <x v="1"/>
    <x v="1"/>
    <x v="3"/>
    <x v="1182"/>
    <x v="2"/>
  </r>
  <r>
    <x v="11"/>
    <x v="0"/>
    <x v="515"/>
    <x v="1"/>
    <x v="0"/>
    <x v="1"/>
    <x v="1183"/>
    <x v="0"/>
  </r>
  <r>
    <x v="39"/>
    <x v="1"/>
    <x v="476"/>
    <x v="3"/>
    <x v="1"/>
    <x v="3"/>
    <x v="1184"/>
    <x v="1"/>
  </r>
  <r>
    <x v="34"/>
    <x v="1"/>
    <x v="50"/>
    <x v="2"/>
    <x v="0"/>
    <x v="2"/>
    <x v="1185"/>
    <x v="0"/>
  </r>
  <r>
    <x v="10"/>
    <x v="0"/>
    <x v="297"/>
    <x v="0"/>
    <x v="1"/>
    <x v="2"/>
    <x v="1186"/>
    <x v="3"/>
  </r>
  <r>
    <x v="32"/>
    <x v="0"/>
    <x v="235"/>
    <x v="1"/>
    <x v="0"/>
    <x v="3"/>
    <x v="1187"/>
    <x v="1"/>
  </r>
  <r>
    <x v="11"/>
    <x v="0"/>
    <x v="52"/>
    <x v="0"/>
    <x v="1"/>
    <x v="0"/>
    <x v="1188"/>
    <x v="0"/>
  </r>
  <r>
    <x v="5"/>
    <x v="0"/>
    <x v="27"/>
    <x v="3"/>
    <x v="1"/>
    <x v="2"/>
    <x v="1189"/>
    <x v="1"/>
  </r>
  <r>
    <x v="24"/>
    <x v="0"/>
    <x v="404"/>
    <x v="1"/>
    <x v="1"/>
    <x v="3"/>
    <x v="1190"/>
    <x v="1"/>
  </r>
  <r>
    <x v="30"/>
    <x v="0"/>
    <x v="203"/>
    <x v="1"/>
    <x v="1"/>
    <x v="3"/>
    <x v="1191"/>
    <x v="2"/>
  </r>
  <r>
    <x v="28"/>
    <x v="0"/>
    <x v="429"/>
    <x v="0"/>
    <x v="1"/>
    <x v="2"/>
    <x v="1192"/>
    <x v="2"/>
  </r>
  <r>
    <x v="5"/>
    <x v="0"/>
    <x v="404"/>
    <x v="0"/>
    <x v="1"/>
    <x v="2"/>
    <x v="1193"/>
    <x v="1"/>
  </r>
  <r>
    <x v="0"/>
    <x v="0"/>
    <x v="325"/>
    <x v="2"/>
    <x v="1"/>
    <x v="2"/>
    <x v="1194"/>
    <x v="0"/>
  </r>
  <r>
    <x v="0"/>
    <x v="0"/>
    <x v="190"/>
    <x v="0"/>
    <x v="0"/>
    <x v="2"/>
    <x v="1195"/>
    <x v="0"/>
  </r>
  <r>
    <x v="24"/>
    <x v="1"/>
    <x v="516"/>
    <x v="0"/>
    <x v="1"/>
    <x v="1"/>
    <x v="1196"/>
    <x v="1"/>
  </r>
  <r>
    <x v="29"/>
    <x v="1"/>
    <x v="452"/>
    <x v="1"/>
    <x v="1"/>
    <x v="2"/>
    <x v="1197"/>
    <x v="1"/>
  </r>
  <r>
    <x v="5"/>
    <x v="0"/>
    <x v="335"/>
    <x v="3"/>
    <x v="1"/>
    <x v="0"/>
    <x v="1198"/>
    <x v="1"/>
  </r>
  <r>
    <x v="7"/>
    <x v="1"/>
    <x v="200"/>
    <x v="3"/>
    <x v="1"/>
    <x v="2"/>
    <x v="1199"/>
    <x v="1"/>
  </r>
  <r>
    <x v="6"/>
    <x v="1"/>
    <x v="517"/>
    <x v="3"/>
    <x v="1"/>
    <x v="2"/>
    <x v="1200"/>
    <x v="2"/>
  </r>
  <r>
    <x v="20"/>
    <x v="1"/>
    <x v="159"/>
    <x v="0"/>
    <x v="1"/>
    <x v="2"/>
    <x v="1201"/>
    <x v="0"/>
  </r>
  <r>
    <x v="43"/>
    <x v="1"/>
    <x v="243"/>
    <x v="1"/>
    <x v="1"/>
    <x v="3"/>
    <x v="1202"/>
    <x v="2"/>
  </r>
  <r>
    <x v="1"/>
    <x v="0"/>
    <x v="518"/>
    <x v="2"/>
    <x v="0"/>
    <x v="1"/>
    <x v="1203"/>
    <x v="0"/>
  </r>
  <r>
    <x v="22"/>
    <x v="1"/>
    <x v="519"/>
    <x v="1"/>
    <x v="1"/>
    <x v="2"/>
    <x v="1204"/>
    <x v="1"/>
  </r>
  <r>
    <x v="17"/>
    <x v="0"/>
    <x v="82"/>
    <x v="3"/>
    <x v="1"/>
    <x v="0"/>
    <x v="1205"/>
    <x v="2"/>
  </r>
  <r>
    <x v="26"/>
    <x v="1"/>
    <x v="220"/>
    <x v="3"/>
    <x v="0"/>
    <x v="0"/>
    <x v="1206"/>
    <x v="1"/>
  </r>
  <r>
    <x v="7"/>
    <x v="0"/>
    <x v="122"/>
    <x v="1"/>
    <x v="0"/>
    <x v="3"/>
    <x v="1207"/>
    <x v="1"/>
  </r>
  <r>
    <x v="17"/>
    <x v="1"/>
    <x v="109"/>
    <x v="1"/>
    <x v="1"/>
    <x v="0"/>
    <x v="1208"/>
    <x v="2"/>
  </r>
  <r>
    <x v="26"/>
    <x v="1"/>
    <x v="99"/>
    <x v="1"/>
    <x v="1"/>
    <x v="2"/>
    <x v="1209"/>
    <x v="1"/>
  </r>
  <r>
    <x v="46"/>
    <x v="1"/>
    <x v="22"/>
    <x v="3"/>
    <x v="1"/>
    <x v="1"/>
    <x v="1210"/>
    <x v="1"/>
  </r>
  <r>
    <x v="1"/>
    <x v="1"/>
    <x v="321"/>
    <x v="0"/>
    <x v="1"/>
    <x v="3"/>
    <x v="1211"/>
    <x v="0"/>
  </r>
  <r>
    <x v="14"/>
    <x v="0"/>
    <x v="520"/>
    <x v="3"/>
    <x v="1"/>
    <x v="0"/>
    <x v="1212"/>
    <x v="2"/>
  </r>
  <r>
    <x v="13"/>
    <x v="0"/>
    <x v="468"/>
    <x v="1"/>
    <x v="1"/>
    <x v="2"/>
    <x v="1213"/>
    <x v="0"/>
  </r>
  <r>
    <x v="1"/>
    <x v="1"/>
    <x v="521"/>
    <x v="0"/>
    <x v="1"/>
    <x v="3"/>
    <x v="1214"/>
    <x v="0"/>
  </r>
  <r>
    <x v="29"/>
    <x v="1"/>
    <x v="322"/>
    <x v="0"/>
    <x v="1"/>
    <x v="1"/>
    <x v="1215"/>
    <x v="1"/>
  </r>
  <r>
    <x v="38"/>
    <x v="1"/>
    <x v="348"/>
    <x v="3"/>
    <x v="1"/>
    <x v="1"/>
    <x v="1216"/>
    <x v="0"/>
  </r>
  <r>
    <x v="6"/>
    <x v="0"/>
    <x v="489"/>
    <x v="1"/>
    <x v="0"/>
    <x v="0"/>
    <x v="1217"/>
    <x v="2"/>
  </r>
  <r>
    <x v="25"/>
    <x v="0"/>
    <x v="267"/>
    <x v="2"/>
    <x v="1"/>
    <x v="2"/>
    <x v="1218"/>
    <x v="1"/>
  </r>
  <r>
    <x v="15"/>
    <x v="0"/>
    <x v="522"/>
    <x v="1"/>
    <x v="1"/>
    <x v="3"/>
    <x v="1219"/>
    <x v="0"/>
  </r>
  <r>
    <x v="29"/>
    <x v="1"/>
    <x v="523"/>
    <x v="3"/>
    <x v="1"/>
    <x v="1"/>
    <x v="1220"/>
    <x v="1"/>
  </r>
  <r>
    <x v="45"/>
    <x v="1"/>
    <x v="128"/>
    <x v="0"/>
    <x v="1"/>
    <x v="1"/>
    <x v="1221"/>
    <x v="2"/>
  </r>
  <r>
    <x v="34"/>
    <x v="0"/>
    <x v="137"/>
    <x v="0"/>
    <x v="0"/>
    <x v="1"/>
    <x v="1222"/>
    <x v="0"/>
  </r>
  <r>
    <x v="24"/>
    <x v="1"/>
    <x v="524"/>
    <x v="1"/>
    <x v="1"/>
    <x v="3"/>
    <x v="1223"/>
    <x v="1"/>
  </r>
  <r>
    <x v="3"/>
    <x v="0"/>
    <x v="13"/>
    <x v="1"/>
    <x v="1"/>
    <x v="1"/>
    <x v="1224"/>
    <x v="1"/>
  </r>
  <r>
    <x v="25"/>
    <x v="1"/>
    <x v="290"/>
    <x v="3"/>
    <x v="1"/>
    <x v="3"/>
    <x v="1225"/>
    <x v="1"/>
  </r>
  <r>
    <x v="44"/>
    <x v="1"/>
    <x v="464"/>
    <x v="3"/>
    <x v="1"/>
    <x v="1"/>
    <x v="1226"/>
    <x v="1"/>
  </r>
  <r>
    <x v="12"/>
    <x v="1"/>
    <x v="53"/>
    <x v="0"/>
    <x v="1"/>
    <x v="1"/>
    <x v="1227"/>
    <x v="2"/>
  </r>
  <r>
    <x v="30"/>
    <x v="1"/>
    <x v="511"/>
    <x v="0"/>
    <x v="1"/>
    <x v="3"/>
    <x v="1228"/>
    <x v="2"/>
  </r>
  <r>
    <x v="14"/>
    <x v="1"/>
    <x v="525"/>
    <x v="2"/>
    <x v="0"/>
    <x v="2"/>
    <x v="1229"/>
    <x v="2"/>
  </r>
  <r>
    <x v="34"/>
    <x v="0"/>
    <x v="526"/>
    <x v="0"/>
    <x v="0"/>
    <x v="0"/>
    <x v="1230"/>
    <x v="0"/>
  </r>
  <r>
    <x v="40"/>
    <x v="0"/>
    <x v="456"/>
    <x v="2"/>
    <x v="1"/>
    <x v="2"/>
    <x v="1231"/>
    <x v="2"/>
  </r>
  <r>
    <x v="30"/>
    <x v="1"/>
    <x v="527"/>
    <x v="0"/>
    <x v="1"/>
    <x v="0"/>
    <x v="1232"/>
    <x v="2"/>
  </r>
  <r>
    <x v="39"/>
    <x v="0"/>
    <x v="138"/>
    <x v="3"/>
    <x v="1"/>
    <x v="1"/>
    <x v="1233"/>
    <x v="1"/>
  </r>
  <r>
    <x v="21"/>
    <x v="1"/>
    <x v="320"/>
    <x v="0"/>
    <x v="1"/>
    <x v="2"/>
    <x v="1234"/>
    <x v="0"/>
  </r>
  <r>
    <x v="18"/>
    <x v="0"/>
    <x v="496"/>
    <x v="0"/>
    <x v="1"/>
    <x v="3"/>
    <x v="1235"/>
    <x v="3"/>
  </r>
  <r>
    <x v="30"/>
    <x v="0"/>
    <x v="143"/>
    <x v="0"/>
    <x v="1"/>
    <x v="2"/>
    <x v="1236"/>
    <x v="2"/>
  </r>
  <r>
    <x v="7"/>
    <x v="1"/>
    <x v="3"/>
    <x v="2"/>
    <x v="1"/>
    <x v="3"/>
    <x v="1237"/>
    <x v="1"/>
  </r>
  <r>
    <x v="9"/>
    <x v="0"/>
    <x v="14"/>
    <x v="1"/>
    <x v="1"/>
    <x v="1"/>
    <x v="1238"/>
    <x v="0"/>
  </r>
  <r>
    <x v="14"/>
    <x v="1"/>
    <x v="423"/>
    <x v="3"/>
    <x v="0"/>
    <x v="1"/>
    <x v="1239"/>
    <x v="2"/>
  </r>
  <r>
    <x v="33"/>
    <x v="1"/>
    <x v="528"/>
    <x v="3"/>
    <x v="0"/>
    <x v="1"/>
    <x v="1240"/>
    <x v="3"/>
  </r>
  <r>
    <x v="20"/>
    <x v="0"/>
    <x v="529"/>
    <x v="2"/>
    <x v="1"/>
    <x v="2"/>
    <x v="1241"/>
    <x v="0"/>
  </r>
  <r>
    <x v="2"/>
    <x v="0"/>
    <x v="293"/>
    <x v="0"/>
    <x v="1"/>
    <x v="1"/>
    <x v="1242"/>
    <x v="0"/>
  </r>
  <r>
    <x v="1"/>
    <x v="1"/>
    <x v="230"/>
    <x v="0"/>
    <x v="1"/>
    <x v="1"/>
    <x v="1243"/>
    <x v="0"/>
  </r>
  <r>
    <x v="2"/>
    <x v="1"/>
    <x v="210"/>
    <x v="4"/>
    <x v="1"/>
    <x v="0"/>
    <x v="1244"/>
    <x v="0"/>
  </r>
  <r>
    <x v="39"/>
    <x v="0"/>
    <x v="324"/>
    <x v="2"/>
    <x v="1"/>
    <x v="0"/>
    <x v="1245"/>
    <x v="1"/>
  </r>
  <r>
    <x v="3"/>
    <x v="1"/>
    <x v="530"/>
    <x v="5"/>
    <x v="1"/>
    <x v="0"/>
    <x v="1246"/>
    <x v="1"/>
  </r>
  <r>
    <x v="1"/>
    <x v="0"/>
    <x v="13"/>
    <x v="0"/>
    <x v="1"/>
    <x v="1"/>
    <x v="1247"/>
    <x v="0"/>
  </r>
  <r>
    <x v="4"/>
    <x v="1"/>
    <x v="51"/>
    <x v="1"/>
    <x v="0"/>
    <x v="3"/>
    <x v="1248"/>
    <x v="1"/>
  </r>
  <r>
    <x v="23"/>
    <x v="1"/>
    <x v="8"/>
    <x v="0"/>
    <x v="0"/>
    <x v="3"/>
    <x v="1249"/>
    <x v="0"/>
  </r>
  <r>
    <x v="0"/>
    <x v="1"/>
    <x v="202"/>
    <x v="0"/>
    <x v="1"/>
    <x v="0"/>
    <x v="1250"/>
    <x v="0"/>
  </r>
  <r>
    <x v="34"/>
    <x v="1"/>
    <x v="531"/>
    <x v="0"/>
    <x v="0"/>
    <x v="0"/>
    <x v="1251"/>
    <x v="0"/>
  </r>
  <r>
    <x v="29"/>
    <x v="0"/>
    <x v="375"/>
    <x v="5"/>
    <x v="1"/>
    <x v="0"/>
    <x v="1252"/>
    <x v="1"/>
  </r>
  <r>
    <x v="16"/>
    <x v="0"/>
    <x v="25"/>
    <x v="0"/>
    <x v="1"/>
    <x v="1"/>
    <x v="1253"/>
    <x v="1"/>
  </r>
  <r>
    <x v="44"/>
    <x v="0"/>
    <x v="532"/>
    <x v="0"/>
    <x v="1"/>
    <x v="0"/>
    <x v="1254"/>
    <x v="1"/>
  </r>
  <r>
    <x v="43"/>
    <x v="0"/>
    <x v="241"/>
    <x v="2"/>
    <x v="1"/>
    <x v="2"/>
    <x v="1255"/>
    <x v="2"/>
  </r>
  <r>
    <x v="40"/>
    <x v="0"/>
    <x v="215"/>
    <x v="1"/>
    <x v="1"/>
    <x v="2"/>
    <x v="1256"/>
    <x v="2"/>
  </r>
  <r>
    <x v="19"/>
    <x v="1"/>
    <x v="533"/>
    <x v="2"/>
    <x v="1"/>
    <x v="2"/>
    <x v="1257"/>
    <x v="2"/>
  </r>
  <r>
    <x v="14"/>
    <x v="0"/>
    <x v="247"/>
    <x v="0"/>
    <x v="1"/>
    <x v="3"/>
    <x v="1258"/>
    <x v="2"/>
  </r>
  <r>
    <x v="4"/>
    <x v="0"/>
    <x v="481"/>
    <x v="0"/>
    <x v="1"/>
    <x v="3"/>
    <x v="1259"/>
    <x v="1"/>
  </r>
  <r>
    <x v="2"/>
    <x v="1"/>
    <x v="109"/>
    <x v="1"/>
    <x v="1"/>
    <x v="0"/>
    <x v="1260"/>
    <x v="0"/>
  </r>
  <r>
    <x v="24"/>
    <x v="0"/>
    <x v="123"/>
    <x v="1"/>
    <x v="1"/>
    <x v="1"/>
    <x v="1261"/>
    <x v="1"/>
  </r>
  <r>
    <x v="32"/>
    <x v="0"/>
    <x v="441"/>
    <x v="1"/>
    <x v="1"/>
    <x v="0"/>
    <x v="1262"/>
    <x v="1"/>
  </r>
  <r>
    <x v="41"/>
    <x v="0"/>
    <x v="150"/>
    <x v="3"/>
    <x v="1"/>
    <x v="3"/>
    <x v="1263"/>
    <x v="2"/>
  </r>
  <r>
    <x v="33"/>
    <x v="1"/>
    <x v="534"/>
    <x v="0"/>
    <x v="0"/>
    <x v="1"/>
    <x v="1264"/>
    <x v="3"/>
  </r>
  <r>
    <x v="19"/>
    <x v="0"/>
    <x v="252"/>
    <x v="0"/>
    <x v="1"/>
    <x v="0"/>
    <x v="1265"/>
    <x v="2"/>
  </r>
  <r>
    <x v="23"/>
    <x v="1"/>
    <x v="320"/>
    <x v="0"/>
    <x v="0"/>
    <x v="3"/>
    <x v="1266"/>
    <x v="0"/>
  </r>
  <r>
    <x v="34"/>
    <x v="0"/>
    <x v="520"/>
    <x v="0"/>
    <x v="1"/>
    <x v="0"/>
    <x v="1267"/>
    <x v="0"/>
  </r>
  <r>
    <x v="39"/>
    <x v="1"/>
    <x v="97"/>
    <x v="2"/>
    <x v="1"/>
    <x v="0"/>
    <x v="1268"/>
    <x v="1"/>
  </r>
  <r>
    <x v="21"/>
    <x v="1"/>
    <x v="113"/>
    <x v="1"/>
    <x v="1"/>
    <x v="2"/>
    <x v="1269"/>
    <x v="0"/>
  </r>
  <r>
    <x v="9"/>
    <x v="0"/>
    <x v="525"/>
    <x v="0"/>
    <x v="1"/>
    <x v="2"/>
    <x v="1270"/>
    <x v="0"/>
  </r>
  <r>
    <x v="32"/>
    <x v="1"/>
    <x v="535"/>
    <x v="4"/>
    <x v="1"/>
    <x v="1"/>
    <x v="1271"/>
    <x v="1"/>
  </r>
  <r>
    <x v="22"/>
    <x v="1"/>
    <x v="536"/>
    <x v="1"/>
    <x v="1"/>
    <x v="1"/>
    <x v="1272"/>
    <x v="1"/>
  </r>
  <r>
    <x v="21"/>
    <x v="1"/>
    <x v="537"/>
    <x v="0"/>
    <x v="0"/>
    <x v="1"/>
    <x v="1273"/>
    <x v="0"/>
  </r>
  <r>
    <x v="37"/>
    <x v="1"/>
    <x v="408"/>
    <x v="0"/>
    <x v="1"/>
    <x v="0"/>
    <x v="1274"/>
    <x v="2"/>
  </r>
  <r>
    <x v="20"/>
    <x v="0"/>
    <x v="257"/>
    <x v="0"/>
    <x v="1"/>
    <x v="3"/>
    <x v="1275"/>
    <x v="0"/>
  </r>
  <r>
    <x v="4"/>
    <x v="0"/>
    <x v="129"/>
    <x v="0"/>
    <x v="1"/>
    <x v="2"/>
    <x v="1276"/>
    <x v="1"/>
  </r>
  <r>
    <x v="46"/>
    <x v="1"/>
    <x v="503"/>
    <x v="1"/>
    <x v="0"/>
    <x v="3"/>
    <x v="1277"/>
    <x v="1"/>
  </r>
  <r>
    <x v="9"/>
    <x v="0"/>
    <x v="471"/>
    <x v="3"/>
    <x v="1"/>
    <x v="2"/>
    <x v="1278"/>
    <x v="0"/>
  </r>
  <r>
    <x v="28"/>
    <x v="0"/>
    <x v="230"/>
    <x v="0"/>
    <x v="1"/>
    <x v="1"/>
    <x v="1279"/>
    <x v="2"/>
  </r>
  <r>
    <x v="42"/>
    <x v="0"/>
    <x v="215"/>
    <x v="3"/>
    <x v="0"/>
    <x v="2"/>
    <x v="1280"/>
    <x v="2"/>
  </r>
  <r>
    <x v="1"/>
    <x v="0"/>
    <x v="496"/>
    <x v="0"/>
    <x v="0"/>
    <x v="3"/>
    <x v="1281"/>
    <x v="0"/>
  </r>
  <r>
    <x v="1"/>
    <x v="1"/>
    <x v="279"/>
    <x v="1"/>
    <x v="1"/>
    <x v="1"/>
    <x v="1282"/>
    <x v="0"/>
  </r>
  <r>
    <x v="35"/>
    <x v="1"/>
    <x v="29"/>
    <x v="1"/>
    <x v="0"/>
    <x v="0"/>
    <x v="1283"/>
    <x v="3"/>
  </r>
  <r>
    <x v="42"/>
    <x v="0"/>
    <x v="200"/>
    <x v="0"/>
    <x v="1"/>
    <x v="3"/>
    <x v="1284"/>
    <x v="2"/>
  </r>
  <r>
    <x v="2"/>
    <x v="0"/>
    <x v="193"/>
    <x v="0"/>
    <x v="1"/>
    <x v="3"/>
    <x v="1285"/>
    <x v="0"/>
  </r>
  <r>
    <x v="26"/>
    <x v="0"/>
    <x v="473"/>
    <x v="1"/>
    <x v="1"/>
    <x v="0"/>
    <x v="1286"/>
    <x v="1"/>
  </r>
  <r>
    <x v="34"/>
    <x v="1"/>
    <x v="538"/>
    <x v="3"/>
    <x v="0"/>
    <x v="0"/>
    <x v="1287"/>
    <x v="0"/>
  </r>
  <r>
    <x v="36"/>
    <x v="1"/>
    <x v="419"/>
    <x v="1"/>
    <x v="1"/>
    <x v="1"/>
    <x v="1288"/>
    <x v="1"/>
  </r>
  <r>
    <x v="25"/>
    <x v="0"/>
    <x v="91"/>
    <x v="3"/>
    <x v="1"/>
    <x v="3"/>
    <x v="1289"/>
    <x v="1"/>
  </r>
  <r>
    <x v="0"/>
    <x v="1"/>
    <x v="539"/>
    <x v="0"/>
    <x v="0"/>
    <x v="0"/>
    <x v="1290"/>
    <x v="0"/>
  </r>
  <r>
    <x v="27"/>
    <x v="1"/>
    <x v="174"/>
    <x v="0"/>
    <x v="1"/>
    <x v="1"/>
    <x v="1291"/>
    <x v="0"/>
  </r>
  <r>
    <x v="6"/>
    <x v="1"/>
    <x v="474"/>
    <x v="2"/>
    <x v="1"/>
    <x v="2"/>
    <x v="1292"/>
    <x v="2"/>
  </r>
  <r>
    <x v="30"/>
    <x v="1"/>
    <x v="124"/>
    <x v="0"/>
    <x v="1"/>
    <x v="3"/>
    <x v="1293"/>
    <x v="2"/>
  </r>
  <r>
    <x v="34"/>
    <x v="1"/>
    <x v="540"/>
    <x v="1"/>
    <x v="1"/>
    <x v="0"/>
    <x v="1294"/>
    <x v="0"/>
  </r>
  <r>
    <x v="1"/>
    <x v="1"/>
    <x v="388"/>
    <x v="0"/>
    <x v="1"/>
    <x v="3"/>
    <x v="1295"/>
    <x v="0"/>
  </r>
  <r>
    <x v="2"/>
    <x v="0"/>
    <x v="426"/>
    <x v="3"/>
    <x v="1"/>
    <x v="1"/>
    <x v="1296"/>
    <x v="0"/>
  </r>
  <r>
    <x v="3"/>
    <x v="1"/>
    <x v="207"/>
    <x v="3"/>
    <x v="1"/>
    <x v="2"/>
    <x v="1297"/>
    <x v="1"/>
  </r>
  <r>
    <x v="0"/>
    <x v="0"/>
    <x v="474"/>
    <x v="1"/>
    <x v="1"/>
    <x v="2"/>
    <x v="1298"/>
    <x v="0"/>
  </r>
  <r>
    <x v="39"/>
    <x v="1"/>
    <x v="541"/>
    <x v="0"/>
    <x v="0"/>
    <x v="1"/>
    <x v="1299"/>
    <x v="1"/>
  </r>
  <r>
    <x v="10"/>
    <x v="1"/>
    <x v="99"/>
    <x v="2"/>
    <x v="0"/>
    <x v="2"/>
    <x v="1300"/>
    <x v="3"/>
  </r>
  <r>
    <x v="9"/>
    <x v="0"/>
    <x v="37"/>
    <x v="1"/>
    <x v="1"/>
    <x v="0"/>
    <x v="1301"/>
    <x v="0"/>
  </r>
  <r>
    <x v="32"/>
    <x v="1"/>
    <x v="542"/>
    <x v="0"/>
    <x v="0"/>
    <x v="0"/>
    <x v="1302"/>
    <x v="1"/>
  </r>
  <r>
    <x v="44"/>
    <x v="1"/>
    <x v="456"/>
    <x v="3"/>
    <x v="0"/>
    <x v="3"/>
    <x v="1303"/>
    <x v="1"/>
  </r>
  <r>
    <x v="23"/>
    <x v="0"/>
    <x v="25"/>
    <x v="0"/>
    <x v="1"/>
    <x v="1"/>
    <x v="1304"/>
    <x v="0"/>
  </r>
  <r>
    <x v="38"/>
    <x v="0"/>
    <x v="361"/>
    <x v="0"/>
    <x v="0"/>
    <x v="3"/>
    <x v="1305"/>
    <x v="0"/>
  </r>
  <r>
    <x v="4"/>
    <x v="1"/>
    <x v="213"/>
    <x v="5"/>
    <x v="0"/>
    <x v="2"/>
    <x v="1306"/>
    <x v="1"/>
  </r>
  <r>
    <x v="9"/>
    <x v="0"/>
    <x v="204"/>
    <x v="0"/>
    <x v="0"/>
    <x v="0"/>
    <x v="1307"/>
    <x v="0"/>
  </r>
  <r>
    <x v="24"/>
    <x v="1"/>
    <x v="158"/>
    <x v="3"/>
    <x v="1"/>
    <x v="0"/>
    <x v="1308"/>
    <x v="1"/>
  </r>
  <r>
    <x v="44"/>
    <x v="1"/>
    <x v="31"/>
    <x v="1"/>
    <x v="1"/>
    <x v="2"/>
    <x v="1309"/>
    <x v="1"/>
  </r>
  <r>
    <x v="3"/>
    <x v="0"/>
    <x v="301"/>
    <x v="0"/>
    <x v="1"/>
    <x v="2"/>
    <x v="1310"/>
    <x v="1"/>
  </r>
  <r>
    <x v="16"/>
    <x v="1"/>
    <x v="470"/>
    <x v="1"/>
    <x v="1"/>
    <x v="0"/>
    <x v="1311"/>
    <x v="1"/>
  </r>
  <r>
    <x v="0"/>
    <x v="0"/>
    <x v="118"/>
    <x v="3"/>
    <x v="0"/>
    <x v="0"/>
    <x v="1312"/>
    <x v="0"/>
  </r>
  <r>
    <x v="15"/>
    <x v="0"/>
    <x v="367"/>
    <x v="2"/>
    <x v="0"/>
    <x v="2"/>
    <x v="1313"/>
    <x v="0"/>
  </r>
  <r>
    <x v="1"/>
    <x v="1"/>
    <x v="33"/>
    <x v="1"/>
    <x v="1"/>
    <x v="3"/>
    <x v="1314"/>
    <x v="0"/>
  </r>
  <r>
    <x v="0"/>
    <x v="0"/>
    <x v="272"/>
    <x v="0"/>
    <x v="1"/>
    <x v="0"/>
    <x v="1315"/>
    <x v="0"/>
  </r>
  <r>
    <x v="1"/>
    <x v="1"/>
    <x v="543"/>
    <x v="0"/>
    <x v="1"/>
    <x v="1"/>
    <x v="1316"/>
    <x v="0"/>
  </r>
  <r>
    <x v="22"/>
    <x v="1"/>
    <x v="544"/>
    <x v="5"/>
    <x v="1"/>
    <x v="3"/>
    <x v="1317"/>
    <x v="1"/>
  </r>
  <r>
    <x v="46"/>
    <x v="0"/>
    <x v="31"/>
    <x v="3"/>
    <x v="1"/>
    <x v="2"/>
    <x v="1318"/>
    <x v="1"/>
  </r>
  <r>
    <x v="5"/>
    <x v="1"/>
    <x v="320"/>
    <x v="2"/>
    <x v="1"/>
    <x v="2"/>
    <x v="1319"/>
    <x v="1"/>
  </r>
  <r>
    <x v="10"/>
    <x v="1"/>
    <x v="301"/>
    <x v="0"/>
    <x v="0"/>
    <x v="3"/>
    <x v="1320"/>
    <x v="3"/>
  </r>
  <r>
    <x v="10"/>
    <x v="1"/>
    <x v="130"/>
    <x v="0"/>
    <x v="1"/>
    <x v="1"/>
    <x v="1321"/>
    <x v="3"/>
  </r>
  <r>
    <x v="44"/>
    <x v="0"/>
    <x v="514"/>
    <x v="3"/>
    <x v="0"/>
    <x v="1"/>
    <x v="1322"/>
    <x v="1"/>
  </r>
  <r>
    <x v="5"/>
    <x v="1"/>
    <x v="63"/>
    <x v="1"/>
    <x v="1"/>
    <x v="2"/>
    <x v="1323"/>
    <x v="1"/>
  </r>
  <r>
    <x v="35"/>
    <x v="1"/>
    <x v="371"/>
    <x v="0"/>
    <x v="1"/>
    <x v="3"/>
    <x v="1324"/>
    <x v="3"/>
  </r>
  <r>
    <x v="44"/>
    <x v="0"/>
    <x v="545"/>
    <x v="0"/>
    <x v="1"/>
    <x v="3"/>
    <x v="1325"/>
    <x v="1"/>
  </r>
  <r>
    <x v="43"/>
    <x v="1"/>
    <x v="279"/>
    <x v="1"/>
    <x v="1"/>
    <x v="1"/>
    <x v="1326"/>
    <x v="2"/>
  </r>
  <r>
    <x v="11"/>
    <x v="0"/>
    <x v="432"/>
    <x v="3"/>
    <x v="1"/>
    <x v="3"/>
    <x v="1327"/>
    <x v="0"/>
  </r>
  <r>
    <x v="14"/>
    <x v="1"/>
    <x v="304"/>
    <x v="3"/>
    <x v="1"/>
    <x v="0"/>
    <x v="1328"/>
    <x v="2"/>
  </r>
  <r>
    <x v="37"/>
    <x v="0"/>
    <x v="5"/>
    <x v="3"/>
    <x v="1"/>
    <x v="1"/>
    <x v="1329"/>
    <x v="2"/>
  </r>
  <r>
    <x v="11"/>
    <x v="0"/>
    <x v="220"/>
    <x v="0"/>
    <x v="1"/>
    <x v="0"/>
    <x v="1330"/>
    <x v="0"/>
  </r>
  <r>
    <x v="14"/>
    <x v="0"/>
    <x v="546"/>
    <x v="2"/>
    <x v="1"/>
    <x v="0"/>
    <x v="1331"/>
    <x v="2"/>
  </r>
  <r>
    <x v="45"/>
    <x v="1"/>
    <x v="547"/>
    <x v="2"/>
    <x v="1"/>
    <x v="2"/>
    <x v="1332"/>
    <x v="2"/>
  </r>
  <r>
    <x v="1"/>
    <x v="0"/>
    <x v="23"/>
    <x v="0"/>
    <x v="1"/>
    <x v="3"/>
    <x v="1333"/>
    <x v="0"/>
  </r>
  <r>
    <x v="1"/>
    <x v="0"/>
    <x v="139"/>
    <x v="0"/>
    <x v="1"/>
    <x v="1"/>
    <x v="1334"/>
    <x v="0"/>
  </r>
  <r>
    <x v="27"/>
    <x v="0"/>
    <x v="335"/>
    <x v="0"/>
    <x v="1"/>
    <x v="0"/>
    <x v="1335"/>
    <x v="0"/>
  </r>
  <r>
    <x v="35"/>
    <x v="0"/>
    <x v="187"/>
    <x v="0"/>
    <x v="0"/>
    <x v="2"/>
    <x v="133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dataFields count="1">
    <dataField name="Sum of charges" fld="6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6:B89" firstHeaderRow="1" firstDataRow="1" firstDataCol="1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axis="axisRow" compact="0" sortType="descending" showAll="0">
      <items count="3">
        <item x="1"/>
        <item x="0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charges" fld="6" subtotal="average" baseField="0" baseItem="0"/>
  </dataFields>
  <formats count="7"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01:D107" firstHeaderRow="1" firstDataRow="2" firstDataCol="1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axis="axisCol"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axis="axisRow" compact="0" sortType="descending" showAll="0">
      <items count="5">
        <item x="0"/>
        <item x="2"/>
        <item x="3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5">
    <i>
      <x v="2"/>
    </i>
    <i>
      <x v="1"/>
    </i>
    <i>
      <x v="3"/>
    </i>
    <i>
      <x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charges" fld="6" subtotal="average" baseField="0" baseItem="0"/>
  </dataFields>
  <formats count="13"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>
        <references count="1">
          <reference field="4" count="1" selected="0">
            <x v="0"/>
          </reference>
        </references>
      </pivotArea>
    </format>
    <format dxfId="16">
      <pivotArea collapsedLevelsAreSubtotals="1" fieldPosition="0">
        <references count="1">
          <reference field="4" count="1" selected="0">
            <x v="0"/>
          </reference>
        </references>
      </pivotArea>
    </format>
    <format dxfId="17">
      <pivotArea collapsedLevelsAreSubtotals="1" fieldPosition="0">
        <references count="1">
          <reference field="4" count="1" selected="0">
            <x v="0"/>
          </reference>
        </references>
      </pivotArea>
    </format>
    <format dxfId="18">
      <pivotArea collapsedLevelsAreSubtotals="1" fieldPosition="0">
        <references count="1">
          <reference field="4" count="1" selected="0">
            <x v="1"/>
          </reference>
        </references>
      </pivotArea>
    </format>
    <format dxfId="19">
      <pivotArea collapsedLevelsAreSubtotals="1" fieldPosition="0">
        <references count="1">
          <reference field="4" count="1" selected="0">
            <x v="1"/>
          </reference>
        </references>
      </pivotArea>
    </format>
    <format dxfId="20">
      <pivotArea collapsedLevelsAreSubtotals="1" fieldPosition="0">
        <references count="1">
          <reference field="4" count="1" selected="0">
            <x v="1"/>
          </reference>
        </references>
      </pivotArea>
    </format>
    <format dxfId="21">
      <pivotArea grandCol="1" collapsedLevelsAreSubtotals="1" fieldPosition="0"/>
    </format>
    <format dxfId="22">
      <pivotArea grandCol="1" collapsedLevelsAreSubtotals="1" fieldPosition="0"/>
    </format>
    <format dxfId="23">
      <pivotArea grandCol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:A7" firstHeaderRow="1" firstDataRow="1" firstDataCol="0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dataFields count="1">
    <dataField name="Average of charges" fld="6" subtotal="average" baseField="0" baseItem="0"/>
  </dataFields>
  <formats count="4"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0:A11" firstHeaderRow="1" firstDataRow="1" firstDataCol="0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dataFields count="1">
    <dataField name="Average of bmi" fld="2" subtotal="average" baseField="0" baseItem="0"/>
  </dataFields>
  <formats count="4"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4:A15" firstHeaderRow="1" firstDataRow="1" firstDataCol="0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dataFields count="1">
    <dataField name="Count of smoker" fld="4" subtotal="count" baseField="0" baseItem="0"/>
  </dataFields>
  <formats count="4"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18:B23" firstHeaderRow="1" firstDataRow="1" firstDataCol="1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axis="axisRow" compact="0" sortType="descending" showAll="0">
      <items count="5">
        <item x="0"/>
        <item x="2"/>
        <item x="3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Average of charges" fld="6" subtotal="average" baseField="0" baseItem="0"/>
  </dataFields>
  <formats count="7"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4:B37" firstHeaderRow="1" firstDataRow="1" firstDataCol="1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axis="axisRow" compact="0" sortType="descending" showAll="0">
      <items count="3">
        <item x="0"/>
        <item x="1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charges" fld="6" subtotal="average" baseField="0" baseItem="0"/>
  </dataFields>
  <formats count="7">
    <format dxfId="43">
      <pivotArea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  <format dxfId="48">
      <pivotArea collapsedLevelsAreSubtotals="1" fieldPosition="0"/>
    </format>
    <format dxfId="4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2:B57" firstHeaderRow="1" firstDataRow="1" firstDataCol="1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compact="0" showAll="0">
      <items count="7">
        <item x="0"/>
        <item x="1"/>
        <item x="3"/>
        <item x="2"/>
        <item x="5"/>
        <item x="4"/>
        <item t="default"/>
      </items>
    </pivotField>
    <pivotField compact="0" showAll="0">
      <items count="3">
        <item x="1"/>
        <item x="0"/>
        <item t="default"/>
      </items>
    </pivotField>
    <pivotField axis="axisRow" compact="0" sortType="ascending" showAll="0">
      <items count="5">
        <item x="3"/>
        <item x="2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Average of bmi" fld="2" subtotal="average" baseField="0" baseItem="0"/>
  </dataFields>
  <formats count="4"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9:B76" firstHeaderRow="1" firstDataRow="1" firstDataCol="1"/>
  <pivotFields count="8">
    <pivotField compact="0" showAll="0">
      <items count="48">
        <item x="1"/>
        <item x="0"/>
        <item x="34"/>
        <item x="27"/>
        <item x="20"/>
        <item x="11"/>
        <item x="23"/>
        <item x="9"/>
        <item x="21"/>
        <item x="13"/>
        <item x="2"/>
        <item x="38"/>
        <item x="15"/>
        <item x="5"/>
        <item x="4"/>
        <item x="3"/>
        <item x="16"/>
        <item x="22"/>
        <item x="26"/>
        <item x="7"/>
        <item x="25"/>
        <item x="46"/>
        <item x="29"/>
        <item x="24"/>
        <item x="44"/>
        <item x="32"/>
        <item x="36"/>
        <item x="39"/>
        <item x="6"/>
        <item x="42"/>
        <item x="28"/>
        <item x="41"/>
        <item x="45"/>
        <item x="43"/>
        <item x="14"/>
        <item x="31"/>
        <item x="40"/>
        <item x="19"/>
        <item x="12"/>
        <item x="37"/>
        <item x="30"/>
        <item x="17"/>
        <item x="8"/>
        <item x="35"/>
        <item x="10"/>
        <item x="18"/>
        <item x="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49">
        <item x="149"/>
        <item x="290"/>
        <item x="282"/>
        <item x="193"/>
        <item x="28"/>
        <item x="385"/>
        <item x="280"/>
        <item x="433"/>
        <item x="117"/>
        <item x="183"/>
        <item x="519"/>
        <item x="263"/>
        <item x="164"/>
        <item x="498"/>
        <item x="469"/>
        <item x="387"/>
        <item x="507"/>
        <item x="490"/>
        <item x="146"/>
        <item x="369"/>
        <item x="501"/>
        <item x="485"/>
        <item x="92"/>
        <item x="417"/>
        <item x="359"/>
        <item x="202"/>
        <item x="269"/>
        <item x="91"/>
        <item x="449"/>
        <item x="462"/>
        <item x="486"/>
        <item x="281"/>
        <item x="386"/>
        <item x="504"/>
        <item x="274"/>
        <item x="35"/>
        <item x="481"/>
        <item x="272"/>
        <item x="209"/>
        <item x="355"/>
        <item x="251"/>
        <item x="37"/>
        <item x="192"/>
        <item x="431"/>
        <item x="258"/>
        <item x="278"/>
        <item x="529"/>
        <item x="370"/>
        <item x="383"/>
        <item x="343"/>
        <item x="321"/>
        <item x="510"/>
        <item x="212"/>
        <item x="491"/>
        <item x="496"/>
        <item x="253"/>
        <item x="404"/>
        <item x="42"/>
        <item x="526"/>
        <item x="361"/>
        <item x="254"/>
        <item x="522"/>
        <item x="540"/>
        <item x="120"/>
        <item x="500"/>
        <item x="188"/>
        <item x="185"/>
        <item x="259"/>
        <item x="169"/>
        <item x="64"/>
        <item x="422"/>
        <item x="286"/>
        <item x="227"/>
        <item x="3"/>
        <item x="413"/>
        <item x="414"/>
        <item x="58"/>
        <item x="83"/>
        <item x="223"/>
        <item x="492"/>
        <item x="26"/>
        <item x="173"/>
        <item x="247"/>
        <item x="461"/>
        <item x="174"/>
        <item x="482"/>
        <item x="527"/>
        <item x="487"/>
        <item x="108"/>
        <item x="305"/>
        <item x="352"/>
        <item x="397"/>
        <item x="476"/>
        <item x="277"/>
        <item x="354"/>
        <item x="367"/>
        <item x="408"/>
        <item x="110"/>
        <item x="534"/>
        <item x="344"/>
        <item x="17"/>
        <item x="508"/>
        <item x="283"/>
        <item x="524"/>
        <item x="68"/>
        <item x="167"/>
        <item x="313"/>
        <item x="390"/>
        <item x="134"/>
        <item x="432"/>
        <item x="210"/>
        <item x="276"/>
        <item x="200"/>
        <item x="420"/>
        <item x="197"/>
        <item x="137"/>
        <item x="184"/>
        <item x="48"/>
        <item x="15"/>
        <item x="456"/>
        <item x="177"/>
        <item x="62"/>
        <item x="69"/>
        <item x="88"/>
        <item x="443"/>
        <item x="261"/>
        <item x="523"/>
        <item x="255"/>
        <item x="459"/>
        <item x="322"/>
        <item x="315"/>
        <item x="124"/>
        <item x="198"/>
        <item x="235"/>
        <item x="128"/>
        <item x="195"/>
        <item x="440"/>
        <item x="225"/>
        <item x="94"/>
        <item x="535"/>
        <item x="122"/>
        <item x="248"/>
        <item x="302"/>
        <item x="324"/>
        <item x="5"/>
        <item x="474"/>
        <item x="335"/>
        <item x="9"/>
        <item x="505"/>
        <item x="473"/>
        <item x="63"/>
        <item x="327"/>
        <item x="334"/>
        <item x="388"/>
        <item x="424"/>
        <item x="161"/>
        <item x="10"/>
        <item x="11"/>
        <item x="31"/>
        <item x="170"/>
        <item x="154"/>
        <item x="119"/>
        <item x="426"/>
        <item x="40"/>
        <item x="217"/>
        <item x="301"/>
        <item x="418"/>
        <item x="172"/>
        <item x="471"/>
        <item x="189"/>
        <item x="199"/>
        <item x="78"/>
        <item x="292"/>
        <item x="86"/>
        <item x="411"/>
        <item x="537"/>
        <item x="402"/>
        <item x="416"/>
        <item x="107"/>
        <item x="85"/>
        <item x="288"/>
        <item x="518"/>
        <item x="531"/>
        <item x="60"/>
        <item x="73"/>
        <item x="207"/>
        <item x="97"/>
        <item x="208"/>
        <item x="244"/>
        <item x="536"/>
        <item x="215"/>
        <item x="224"/>
        <item x="25"/>
        <item x="7"/>
        <item x="542"/>
        <item x="138"/>
        <item x="152"/>
        <item x="0"/>
        <item x="325"/>
        <item x="100"/>
        <item x="52"/>
        <item x="24"/>
        <item x="123"/>
        <item x="71"/>
        <item x="213"/>
        <item x="475"/>
        <item x="458"/>
        <item x="143"/>
        <item x="356"/>
        <item x="115"/>
        <item x="33"/>
        <item x="310"/>
        <item x="98"/>
        <item x="403"/>
        <item x="515"/>
        <item x="70"/>
        <item x="105"/>
        <item x="32"/>
        <item x="54"/>
        <item x="311"/>
        <item x="114"/>
        <item x="444"/>
        <item x="222"/>
        <item x="4"/>
        <item x="65"/>
        <item x="329"/>
        <item x="111"/>
        <item x="358"/>
        <item x="446"/>
        <item x="187"/>
        <item x="347"/>
        <item x="410"/>
        <item x="289"/>
        <item x="153"/>
        <item x="245"/>
        <item x="375"/>
        <item x="452"/>
        <item x="205"/>
        <item x="530"/>
        <item x="296"/>
        <item x="364"/>
        <item x="445"/>
        <item x="396"/>
        <item x="75"/>
        <item x="303"/>
        <item x="142"/>
        <item x="102"/>
        <item x="129"/>
        <item x="141"/>
        <item x="382"/>
        <item x="8"/>
        <item x="441"/>
        <item x="96"/>
        <item x="503"/>
        <item x="308"/>
        <item x="190"/>
        <item x="279"/>
        <item x="406"/>
        <item x="95"/>
        <item x="307"/>
        <item x="204"/>
        <item x="267"/>
        <item x="328"/>
        <item x="148"/>
        <item x="511"/>
        <item x="541"/>
        <item x="257"/>
        <item x="131"/>
        <item x="252"/>
        <item x="162"/>
        <item x="264"/>
        <item x="155"/>
        <item x="16"/>
        <item x="43"/>
        <item x="99"/>
        <item x="157"/>
        <item x="547"/>
        <item x="332"/>
        <item x="270"/>
        <item x="320"/>
        <item x="435"/>
        <item x="360"/>
        <item x="84"/>
        <item x="216"/>
        <item x="502"/>
        <item x="468"/>
        <item x="89"/>
        <item x="112"/>
        <item x="234"/>
        <item x="268"/>
        <item x="262"/>
        <item x="434"/>
        <item x="381"/>
        <item x="160"/>
        <item x="93"/>
        <item x="181"/>
        <item x="57"/>
        <item x="294"/>
        <item x="211"/>
        <item x="171"/>
        <item x="56"/>
        <item x="125"/>
        <item x="23"/>
        <item x="497"/>
        <item x="72"/>
        <item x="256"/>
        <item x="407"/>
        <item x="159"/>
        <item x="346"/>
        <item x="158"/>
        <item x="104"/>
        <item x="166"/>
        <item x="243"/>
        <item x="454"/>
        <item x="203"/>
        <item x="21"/>
        <item x="437"/>
        <item x="127"/>
        <item x="463"/>
        <item x="316"/>
        <item x="453"/>
        <item x="365"/>
        <item x="314"/>
        <item x="297"/>
        <item x="484"/>
        <item x="27"/>
        <item x="436"/>
        <item x="163"/>
        <item x="545"/>
        <item x="260"/>
        <item x="36"/>
        <item x="2"/>
        <item x="232"/>
        <item x="291"/>
        <item x="293"/>
        <item x="145"/>
        <item x="460"/>
        <item x="176"/>
        <item x="520"/>
        <item x="230"/>
        <item x="150"/>
        <item x="220"/>
        <item x="6"/>
        <item x="298"/>
        <item x="371"/>
        <item x="516"/>
        <item x="51"/>
        <item x="61"/>
        <item x="175"/>
        <item x="363"/>
        <item x="1"/>
        <item x="239"/>
        <item x="312"/>
        <item x="178"/>
        <item x="113"/>
        <item x="457"/>
        <item x="74"/>
        <item x="22"/>
        <item x="237"/>
        <item x="206"/>
        <item x="194"/>
        <item x="351"/>
        <item x="319"/>
        <item x="419"/>
        <item x="226"/>
        <item x="12"/>
        <item x="53"/>
        <item x="525"/>
        <item x="242"/>
        <item x="415"/>
        <item x="489"/>
        <item x="480"/>
        <item x="118"/>
        <item x="47"/>
        <item x="82"/>
        <item x="231"/>
        <item x="394"/>
        <item x="539"/>
        <item x="379"/>
        <item x="101"/>
        <item x="451"/>
        <item x="284"/>
        <item x="49"/>
        <item x="249"/>
        <item x="19"/>
        <item x="331"/>
        <item x="401"/>
        <item x="478"/>
        <item x="340"/>
        <item x="409"/>
        <item x="76"/>
        <item x="30"/>
        <item x="50"/>
        <item x="285"/>
        <item x="330"/>
        <item x="103"/>
        <item x="246"/>
        <item x="467"/>
        <item x="427"/>
        <item x="191"/>
        <item x="121"/>
        <item x="357"/>
        <item x="233"/>
        <item x="126"/>
        <item x="20"/>
        <item x="168"/>
        <item x="374"/>
        <item x="67"/>
        <item x="182"/>
        <item x="391"/>
        <item x="483"/>
        <item x="29"/>
        <item x="241"/>
        <item x="34"/>
        <item x="238"/>
        <item x="300"/>
        <item x="429"/>
        <item x="400"/>
        <item x="41"/>
        <item x="38"/>
        <item x="240"/>
        <item x="219"/>
        <item x="139"/>
        <item x="350"/>
        <item x="55"/>
        <item x="528"/>
        <item x="144"/>
        <item x="44"/>
        <item x="493"/>
        <item x="109"/>
        <item x="135"/>
        <item x="464"/>
        <item x="348"/>
        <item x="45"/>
        <item x="59"/>
        <item x="116"/>
        <item x="133"/>
        <item x="228"/>
        <item x="366"/>
        <item x="80"/>
        <item x="151"/>
        <item x="533"/>
        <item x="132"/>
        <item x="368"/>
        <item x="532"/>
        <item x="412"/>
        <item x="229"/>
        <item x="179"/>
        <item x="309"/>
        <item x="271"/>
        <item x="377"/>
        <item x="90"/>
        <item x="79"/>
        <item x="275"/>
        <item x="186"/>
        <item x="304"/>
        <item x="46"/>
        <item x="130"/>
        <item x="338"/>
        <item x="447"/>
        <item x="373"/>
        <item x="266"/>
        <item x="66"/>
        <item x="521"/>
        <item x="287"/>
        <item x="326"/>
        <item x="393"/>
        <item x="165"/>
        <item x="538"/>
        <item x="336"/>
        <item x="87"/>
        <item x="318"/>
        <item x="136"/>
        <item x="140"/>
        <item x="472"/>
        <item x="376"/>
        <item x="544"/>
        <item x="455"/>
        <item x="77"/>
        <item x="13"/>
        <item x="39"/>
        <item x="466"/>
        <item x="479"/>
        <item x="196"/>
        <item x="392"/>
        <item x="362"/>
        <item x="405"/>
        <item x="18"/>
        <item x="514"/>
        <item x="517"/>
        <item x="398"/>
        <item x="337"/>
        <item x="477"/>
        <item x="214"/>
        <item x="399"/>
        <item x="384"/>
        <item x="450"/>
        <item x="236"/>
        <item x="513"/>
        <item x="421"/>
        <item x="81"/>
        <item x="317"/>
        <item x="428"/>
        <item x="147"/>
        <item x="389"/>
        <item x="423"/>
        <item x="156"/>
        <item x="180"/>
        <item x="14"/>
        <item x="425"/>
        <item x="201"/>
        <item x="378"/>
        <item x="372"/>
        <item x="495"/>
        <item x="380"/>
        <item x="506"/>
        <item x="470"/>
        <item x="430"/>
        <item x="299"/>
        <item x="349"/>
        <item x="265"/>
        <item x="323"/>
        <item x="442"/>
        <item x="250"/>
        <item x="448"/>
        <item x="333"/>
        <item x="546"/>
        <item x="395"/>
        <item x="345"/>
        <item x="512"/>
        <item x="488"/>
        <item x="353"/>
        <item x="221"/>
        <item x="509"/>
        <item x="465"/>
        <item x="342"/>
        <item x="306"/>
        <item x="341"/>
        <item x="295"/>
        <item x="339"/>
        <item x="273"/>
        <item x="439"/>
        <item x="499"/>
        <item x="218"/>
        <item x="106"/>
        <item x="438"/>
        <item x="494"/>
        <item x="543"/>
        <item t="default"/>
      </items>
    </pivotField>
    <pivotField axis="axisRow" compact="0" sortType="ascending" showAll="0">
      <items count="7">
        <item x="0"/>
        <item x="1"/>
        <item x="3"/>
        <item x="2"/>
        <item x="5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">
        <item x="1"/>
        <item x="0"/>
        <item t="default"/>
      </items>
    </pivotField>
    <pivotField compact="0" showAll="0">
      <items count="5">
        <item x="3"/>
        <item x="2"/>
        <item x="1"/>
        <item x="0"/>
        <item t="default"/>
      </items>
    </pivotField>
    <pivotField dataField="1" compact="0" showAll="0">
      <items count="1338">
        <item x="939"/>
        <item x="807"/>
        <item x="1243"/>
        <item x="662"/>
        <item x="22"/>
        <item x="194"/>
        <item x="865"/>
        <item x="780"/>
        <item x="442"/>
        <item x="1316"/>
        <item x="1250"/>
        <item x="680"/>
        <item x="583"/>
        <item x="790"/>
        <item x="487"/>
        <item x="513"/>
        <item x="136"/>
        <item x="385"/>
        <item x="722"/>
        <item x="374"/>
        <item x="1291"/>
        <item x="839"/>
        <item x="77"/>
        <item x="478"/>
        <item x="359"/>
        <item x="236"/>
        <item x="410"/>
        <item x="821"/>
        <item x="482"/>
        <item x="35"/>
        <item x="746"/>
        <item x="942"/>
        <item x="1334"/>
        <item x="399"/>
        <item x="181"/>
        <item x="464"/>
        <item x="133"/>
        <item x="599"/>
        <item x="1247"/>
        <item x="897"/>
        <item x="349"/>
        <item x="195"/>
        <item x="559"/>
        <item x="576"/>
        <item x="1096"/>
        <item x="887"/>
        <item x="172"/>
        <item x="1211"/>
        <item x="295"/>
        <item x="1040"/>
        <item x="121"/>
        <item x="529"/>
        <item x="1295"/>
        <item x="1022"/>
        <item x="647"/>
        <item x="270"/>
        <item x="1282"/>
        <item x="1"/>
        <item x="709"/>
        <item x="232"/>
        <item x="1128"/>
        <item x="1315"/>
        <item x="311"/>
        <item x="65"/>
        <item x="472"/>
        <item x="490"/>
        <item x="972"/>
        <item x="453"/>
        <item x="803"/>
        <item x="479"/>
        <item x="12"/>
        <item x="248"/>
        <item x="15"/>
        <item x="358"/>
        <item x="149"/>
        <item x="854"/>
        <item x="814"/>
        <item x="613"/>
        <item x="1267"/>
        <item x="750"/>
        <item x="1071"/>
        <item x="786"/>
        <item x="1294"/>
        <item x="495"/>
        <item x="452"/>
        <item x="1001"/>
        <item x="630"/>
        <item x="210"/>
        <item x="1059"/>
        <item x="712"/>
        <item x="247"/>
        <item x="1335"/>
        <item x="1024"/>
        <item x="699"/>
        <item x="90"/>
        <item x="137"/>
        <item x="1201"/>
        <item x="1076"/>
        <item x="801"/>
        <item x="689"/>
        <item x="898"/>
        <item x="565"/>
        <item x="200"/>
        <item x="414"/>
        <item x="806"/>
        <item x="192"/>
        <item x="391"/>
        <item x="277"/>
        <item x="1174"/>
        <item x="135"/>
        <item x="293"/>
        <item x="139"/>
        <item x="492"/>
        <item x="31"/>
        <item x="1162"/>
        <item x="469"/>
        <item x="471"/>
        <item x="1149"/>
        <item x="1333"/>
        <item x="611"/>
        <item x="50"/>
        <item x="941"/>
        <item x="727"/>
        <item x="571"/>
        <item x="896"/>
        <item x="1037"/>
        <item x="436"/>
        <item x="122"/>
        <item x="1146"/>
        <item x="37"/>
        <item x="937"/>
        <item x="973"/>
        <item x="106"/>
        <item x="692"/>
        <item x="691"/>
        <item x="17"/>
        <item x="1113"/>
        <item x="113"/>
        <item x="760"/>
        <item x="846"/>
        <item x="134"/>
        <item x="713"/>
        <item x="1157"/>
        <item x="1304"/>
        <item x="914"/>
        <item x="1057"/>
        <item x="217"/>
        <item x="562"/>
        <item x="470"/>
        <item x="511"/>
        <item x="274"/>
        <item x="971"/>
        <item x="477"/>
        <item x="591"/>
        <item x="679"/>
        <item x="881"/>
        <item x="363"/>
        <item x="1181"/>
        <item x="909"/>
        <item x="506"/>
        <item x="820"/>
        <item x="226"/>
        <item x="874"/>
        <item x="1234"/>
        <item x="635"/>
        <item x="1015"/>
        <item x="1298"/>
        <item x="168"/>
        <item x="10"/>
        <item x="423"/>
        <item x="959"/>
        <item x="791"/>
        <item x="1275"/>
        <item x="78"/>
        <item x="28"/>
        <item x="880"/>
        <item x="564"/>
        <item x="276"/>
        <item x="815"/>
        <item x="1180"/>
        <item x="174"/>
        <item x="324"/>
        <item x="108"/>
        <item x="439"/>
        <item x="1177"/>
        <item x="976"/>
        <item x="1107"/>
        <item x="925"/>
        <item x="929"/>
        <item x="847"/>
        <item x="1270"/>
        <item x="508"/>
        <item x="40"/>
        <item x="541"/>
        <item x="748"/>
        <item x="762"/>
        <item x="507"/>
        <item x="1042"/>
        <item x="428"/>
        <item x="1242"/>
        <item x="290"/>
        <item x="1136"/>
        <item x="388"/>
        <item x="364"/>
        <item x="694"/>
        <item x="579"/>
        <item x="1301"/>
        <item x="548"/>
        <item x="1098"/>
        <item x="1238"/>
        <item x="404"/>
        <item x="546"/>
        <item x="1260"/>
        <item x="967"/>
        <item x="1269"/>
        <item x="808"/>
        <item x="960"/>
        <item x="1053"/>
        <item x="631"/>
        <item x="989"/>
        <item x="125"/>
        <item x="870"/>
        <item x="218"/>
        <item x="46"/>
        <item x="655"/>
        <item x="879"/>
        <item x="1101"/>
        <item x="369"/>
        <item x="736"/>
        <item x="141"/>
        <item x="698"/>
        <item x="212"/>
        <item x="352"/>
        <item x="47"/>
        <item x="605"/>
        <item x="326"/>
        <item x="693"/>
        <item x="51"/>
        <item x="1091"/>
        <item x="1047"/>
        <item x="816"/>
        <item x="101"/>
        <item x="619"/>
        <item x="1130"/>
        <item x="1137"/>
        <item x="1285"/>
        <item x="624"/>
        <item x="5"/>
        <item x="742"/>
        <item x="570"/>
        <item x="95"/>
        <item x="555"/>
        <item x="519"/>
        <item x="585"/>
        <item x="4"/>
        <item x="954"/>
        <item x="107"/>
        <item x="294"/>
        <item x="759"/>
        <item x="557"/>
        <item x="670"/>
        <item x="76"/>
        <item x="1213"/>
        <item x="551"/>
        <item x="186"/>
        <item x="1016"/>
        <item x="1158"/>
        <item x="521"/>
        <item x="182"/>
        <item x="451"/>
        <item x="249"/>
        <item x="1216"/>
        <item x="656"/>
        <item x="409"/>
        <item x="1082"/>
        <item x="63"/>
        <item x="1193"/>
        <item x="1031"/>
        <item x="21"/>
        <item x="307"/>
        <item x="406"/>
        <item x="1278"/>
        <item x="731"/>
        <item x="282"/>
        <item x="1323"/>
        <item x="434"/>
        <item x="253"/>
        <item x="795"/>
        <item x="1241"/>
        <item x="922"/>
        <item x="205"/>
        <item x="1296"/>
        <item x="485"/>
        <item x="303"/>
        <item x="783"/>
        <item x="1276"/>
        <item x="868"/>
        <item x="671"/>
        <item x="835"/>
        <item x="1253"/>
        <item x="812"/>
        <item x="1004"/>
        <item x="1173"/>
        <item x="607"/>
        <item x="1005"/>
        <item x="80"/>
        <item x="2"/>
        <item x="1080"/>
        <item x="1058"/>
        <item x="237"/>
        <item x="642"/>
        <item x="980"/>
        <item x="61"/>
        <item x="987"/>
        <item x="951"/>
        <item x="1166"/>
        <item x="1311"/>
        <item x="1259"/>
        <item x="1094"/>
        <item x="1074"/>
        <item x="904"/>
        <item x="1310"/>
        <item x="389"/>
        <item x="112"/>
        <item x="901"/>
        <item x="319"/>
        <item x="1167"/>
        <item x="933"/>
        <item x="454"/>
        <item x="32"/>
        <item x="1219"/>
        <item x="796"/>
        <item x="831"/>
        <item x="440"/>
        <item x="964"/>
        <item x="1272"/>
        <item x="361"/>
        <item x="572"/>
        <item x="449"/>
        <item x="683"/>
        <item x="584"/>
        <item x="1224"/>
        <item x="169"/>
        <item x="166"/>
        <item x="669"/>
        <item x="905"/>
        <item x="883"/>
        <item x="191"/>
        <item x="978"/>
        <item x="346"/>
        <item x="320"/>
        <item x="431"/>
        <item x="983"/>
        <item x="189"/>
        <item x="496"/>
        <item x="1198"/>
        <item x="41"/>
        <item x="970"/>
        <item x="213"/>
        <item x="104"/>
        <item x="220"/>
        <item x="164"/>
        <item x="754"/>
        <item x="413"/>
        <item x="1204"/>
        <item x="1160"/>
        <item x="150"/>
        <item x="145"/>
        <item x="661"/>
        <item x="163"/>
        <item x="787"/>
        <item x="1164"/>
        <item x="518"/>
        <item x="918"/>
        <item x="173"/>
        <item x="222"/>
        <item x="913"/>
        <item x="1297"/>
        <item x="830"/>
        <item x="998"/>
        <item x="886"/>
        <item x="1112"/>
        <item x="187"/>
        <item x="1189"/>
        <item x="241"/>
        <item x="1209"/>
        <item x="704"/>
        <item x="833"/>
        <item x="1013"/>
        <item x="702"/>
        <item x="523"/>
        <item x="257"/>
        <item x="1215"/>
        <item x="1319"/>
        <item x="757"/>
        <item x="686"/>
        <item x="862"/>
        <item x="708"/>
        <item x="1286"/>
        <item x="348"/>
        <item x="992"/>
        <item x="921"/>
        <item x="813"/>
        <item x="596"/>
        <item x="1244"/>
        <item x="1152"/>
        <item x="196"/>
        <item x="789"/>
        <item x="1118"/>
        <item x="1196"/>
        <item x="1063"/>
        <item x="593"/>
        <item x="93"/>
        <item x="1066"/>
        <item x="1126"/>
        <item x="383"/>
        <item x="1081"/>
        <item x="448"/>
        <item x="68"/>
        <item x="437"/>
        <item x="777"/>
        <item x="871"/>
        <item x="432"/>
        <item x="536"/>
        <item x="504"/>
        <item x="588"/>
        <item x="1148"/>
        <item x="59"/>
        <item x="1246"/>
        <item x="535"/>
        <item x="44"/>
        <item x="129"/>
        <item x="1168"/>
        <item x="707"/>
        <item x="828"/>
        <item x="645"/>
        <item x="167"/>
        <item x="345"/>
        <item x="672"/>
        <item x="100"/>
        <item x="540"/>
        <item x="1199"/>
        <item x="24"/>
        <item x="930"/>
        <item x="923"/>
        <item x="42"/>
        <item x="877"/>
        <item x="928"/>
        <item x="878"/>
        <item x="43"/>
        <item x="152"/>
        <item x="1142"/>
        <item x="581"/>
        <item x="947"/>
        <item x="810"/>
        <item x="566"/>
        <item x="67"/>
        <item x="1197"/>
        <item x="837"/>
        <item x="8"/>
        <item x="784"/>
        <item x="659"/>
        <item x="176"/>
        <item x="1172"/>
        <item x="1254"/>
        <item x="1176"/>
        <item x="668"/>
        <item x="1062"/>
        <item x="997"/>
        <item x="426"/>
        <item x="79"/>
        <item x="610"/>
        <item x="1220"/>
        <item x="325"/>
        <item x="864"/>
        <item x="209"/>
        <item x="1225"/>
        <item x="408"/>
        <item x="876"/>
        <item x="725"/>
        <item x="639"/>
        <item x="119"/>
        <item x="234"/>
        <item x="300"/>
        <item x="625"/>
        <item x="612"/>
        <item x="1261"/>
        <item x="188"/>
        <item x="728"/>
        <item x="505"/>
        <item x="71"/>
        <item x="501"/>
        <item x="872"/>
        <item x="1223"/>
        <item x="1308"/>
        <item x="1028"/>
        <item x="768"/>
        <item x="1309"/>
        <item x="155"/>
        <item x="1237"/>
        <item x="775"/>
        <item x="1064"/>
        <item x="799"/>
        <item x="1325"/>
        <item x="766"/>
        <item x="154"/>
        <item x="1289"/>
        <item x="990"/>
        <item x="204"/>
        <item x="1288"/>
        <item x="860"/>
        <item x="239"/>
        <item x="1163"/>
        <item x="945"/>
        <item x="834"/>
        <item x="1226"/>
        <item x="632"/>
        <item x="243"/>
        <item x="1318"/>
        <item x="793"/>
        <item x="674"/>
        <item x="1154"/>
        <item x="890"/>
        <item x="567"/>
        <item x="773"/>
        <item x="272"/>
        <item x="7"/>
        <item x="427"/>
        <item x="1045"/>
        <item x="1262"/>
        <item x="445"/>
        <item x="415"/>
        <item x="932"/>
        <item x="228"/>
        <item x="215"/>
        <item x="995"/>
        <item x="183"/>
        <item x="318"/>
        <item x="268"/>
        <item x="597"/>
        <item x="230"/>
        <item x="819"/>
        <item x="776"/>
        <item x="450"/>
        <item x="966"/>
        <item x="395"/>
        <item x="1218"/>
        <item x="1135"/>
        <item x="984"/>
        <item x="912"/>
        <item x="906"/>
        <item x="372"/>
        <item x="595"/>
        <item x="1179"/>
        <item x="459"/>
        <item x="74"/>
        <item x="1159"/>
        <item x="685"/>
        <item x="184"/>
        <item x="804"/>
        <item x="120"/>
        <item x="285"/>
        <item x="309"/>
        <item x="151"/>
        <item x="975"/>
        <item x="81"/>
        <item x="1140"/>
        <item x="755"/>
        <item x="994"/>
        <item x="367"/>
        <item x="1049"/>
        <item x="88"/>
        <item x="497"/>
        <item x="54"/>
        <item x="765"/>
        <item x="690"/>
        <item x="401"/>
        <item x="368"/>
        <item x="171"/>
        <item x="313"/>
        <item x="902"/>
        <item x="211"/>
        <item x="498"/>
        <item x="822"/>
        <item x="339"/>
        <item x="538"/>
        <item x="6"/>
        <item x="646"/>
        <item x="1009"/>
        <item x="1055"/>
        <item x="651"/>
        <item x="1279"/>
        <item x="384"/>
        <item x="711"/>
        <item x="347"/>
        <item x="556"/>
        <item x="528"/>
        <item x="1120"/>
        <item x="985"/>
        <item x="517"/>
        <item x="590"/>
        <item x="1221"/>
        <item x="310"/>
        <item x="869"/>
        <item x="1233"/>
        <item x="197"/>
        <item x="214"/>
        <item x="396"/>
        <item x="652"/>
        <item x="1284"/>
        <item x="179"/>
        <item x="407"/>
        <item x="609"/>
        <item x="1075"/>
        <item x="747"/>
        <item x="1023"/>
        <item x="1129"/>
        <item x="968"/>
        <item x="118"/>
        <item x="1184"/>
        <item x="739"/>
        <item x="1108"/>
        <item x="60"/>
        <item x="1268"/>
        <item x="1003"/>
        <item x="1192"/>
        <item x="899"/>
        <item x="665"/>
        <item x="1200"/>
        <item x="1012"/>
        <item x="863"/>
        <item x="1019"/>
        <item x="178"/>
        <item x="594"/>
        <item x="537"/>
        <item x="743"/>
        <item x="316"/>
        <item x="201"/>
        <item x="873"/>
        <item x="703"/>
        <item x="351"/>
        <item x="356"/>
        <item x="392"/>
        <item x="936"/>
        <item x="424"/>
        <item x="1065"/>
        <item x="1105"/>
        <item x="1139"/>
        <item x="563"/>
        <item x="763"/>
        <item x="1245"/>
        <item x="416"/>
        <item x="329"/>
        <item x="600"/>
        <item x="621"/>
        <item x="560"/>
        <item x="1115"/>
        <item x="229"/>
        <item x="299"/>
        <item x="400"/>
        <item x="269"/>
        <item x="604"/>
        <item x="1051"/>
        <item x="393"/>
        <item x="1292"/>
        <item x="481"/>
        <item x="512"/>
        <item x="1326"/>
        <item x="781"/>
        <item x="633"/>
        <item x="394"/>
        <item x="809"/>
        <item x="286"/>
        <item x="732"/>
        <item x="1182"/>
        <item x="938"/>
        <item x="962"/>
        <item x="701"/>
        <item x="700"/>
        <item x="940"/>
        <item x="484"/>
        <item x="715"/>
        <item x="734"/>
        <item x="273"/>
        <item x="357"/>
        <item x="284"/>
        <item x="1143"/>
        <item x="127"/>
        <item x="198"/>
        <item x="977"/>
        <item x="275"/>
        <item x="315"/>
        <item x="578"/>
        <item x="1087"/>
        <item x="365"/>
        <item x="425"/>
        <item x="649"/>
        <item x="1027"/>
        <item x="279"/>
        <item x="527"/>
        <item x="682"/>
        <item x="522"/>
        <item x="778"/>
        <item x="845"/>
        <item x="719"/>
        <item x="147"/>
        <item x="483"/>
        <item x="744"/>
        <item x="1008"/>
        <item x="1202"/>
        <item x="1132"/>
        <item x="360"/>
        <item x="730"/>
        <item x="843"/>
        <item x="629"/>
        <item x="931"/>
        <item x="723"/>
        <item x="710"/>
        <item x="124"/>
        <item x="991"/>
        <item x="644"/>
        <item x="678"/>
        <item x="1258"/>
        <item x="1125"/>
        <item x="97"/>
        <item x="544"/>
        <item x="706"/>
        <item x="403"/>
        <item x="1328"/>
        <item x="1104"/>
        <item x="216"/>
        <item x="1263"/>
        <item x="460"/>
        <item x="165"/>
        <item x="891"/>
        <item x="317"/>
        <item x="177"/>
        <item x="162"/>
        <item x="489"/>
        <item x="1106"/>
        <item x="774"/>
        <item x="221"/>
        <item x="1088"/>
        <item x="650"/>
        <item x="1227"/>
        <item x="1054"/>
        <item x="1332"/>
        <item x="458"/>
        <item x="848"/>
        <item x="18"/>
        <item x="969"/>
        <item x="1265"/>
        <item x="618"/>
        <item x="390"/>
        <item x="1147"/>
        <item x="1330"/>
        <item x="1085"/>
        <item x="16"/>
        <item x="1212"/>
        <item x="1114"/>
        <item x="110"/>
        <item x="717"/>
        <item x="561"/>
        <item x="1068"/>
        <item x="91"/>
        <item x="1274"/>
        <item x="148"/>
        <item x="858"/>
        <item x="697"/>
        <item x="344"/>
        <item x="1165"/>
        <item x="811"/>
        <item x="1153"/>
        <item x="83"/>
        <item x="601"/>
        <item x="87"/>
        <item x="89"/>
        <item x="1134"/>
        <item x="13"/>
        <item x="1171"/>
        <item x="770"/>
        <item x="132"/>
        <item x="463"/>
        <item x="553"/>
        <item x="684"/>
        <item x="1100"/>
        <item x="720"/>
        <item x="1314"/>
        <item x="1090"/>
        <item x="1144"/>
        <item x="1093"/>
        <item x="1256"/>
        <item x="626"/>
        <item x="1232"/>
        <item x="1086"/>
        <item x="75"/>
        <item x="515"/>
        <item x="1102"/>
        <item x="627"/>
        <item x="116"/>
        <item x="1043"/>
        <item x="405"/>
        <item x="1331"/>
        <item x="1255"/>
        <item x="447"/>
        <item x="509"/>
        <item x="525"/>
        <item x="114"/>
        <item x="1109"/>
        <item x="258"/>
        <item x="949"/>
        <item x="547"/>
        <item x="568"/>
        <item x="1060"/>
        <item x="323"/>
        <item x="866"/>
        <item x="836"/>
        <item x="615"/>
        <item x="333"/>
        <item x="944"/>
        <item x="852"/>
        <item x="180"/>
        <item x="745"/>
        <item x="72"/>
        <item x="206"/>
        <item x="832"/>
        <item x="510"/>
        <item x="350"/>
        <item x="752"/>
        <item x="260"/>
        <item x="457"/>
        <item x="589"/>
        <item x="764"/>
        <item x="797"/>
        <item x="386"/>
        <item x="283"/>
        <item x="111"/>
        <item x="456"/>
        <item x="1079"/>
        <item x="1293"/>
        <item x="1228"/>
        <item x="308"/>
        <item x="888"/>
        <item x="73"/>
        <item x="225"/>
        <item x="371"/>
        <item x="926"/>
        <item x="193"/>
        <item x="1034"/>
        <item x="1072"/>
        <item x="96"/>
        <item x="1014"/>
        <item x="623"/>
        <item x="336"/>
        <item x="714"/>
        <item x="575"/>
        <item x="1236"/>
        <item x="718"/>
        <item x="934"/>
        <item x="1150"/>
        <item x="653"/>
        <item x="302"/>
        <item x="27"/>
        <item x="861"/>
        <item x="840"/>
        <item x="233"/>
        <item x="1208"/>
        <item x="677"/>
        <item x="353"/>
        <item x="648"/>
        <item x="486"/>
        <item x="1231"/>
        <item x="675"/>
        <item x="1017"/>
        <item x="823"/>
        <item x="190"/>
        <item x="493"/>
        <item x="438"/>
        <item x="956"/>
        <item x="838"/>
        <item x="1329"/>
        <item x="48"/>
        <item x="433"/>
        <item x="467"/>
        <item x="903"/>
        <item x="304"/>
        <item x="246"/>
        <item x="446"/>
        <item x="785"/>
        <item x="771"/>
        <item x="130"/>
        <item x="250"/>
        <item x="1214"/>
        <item x="580"/>
        <item x="532"/>
        <item x="278"/>
        <item x="638"/>
        <item x="1033"/>
        <item x="552"/>
        <item x="721"/>
        <item x="1321"/>
        <item x="943"/>
        <item x="202"/>
        <item x="1191"/>
        <item x="917"/>
        <item x="255"/>
        <item x="894"/>
        <item x="716"/>
        <item x="1188"/>
        <item x="867"/>
        <item x="1324"/>
        <item x="641"/>
        <item x="1073"/>
        <item x="342"/>
        <item x="574"/>
        <item x="466"/>
        <item x="20"/>
        <item x="341"/>
        <item x="550"/>
        <item x="829"/>
        <item x="170"/>
        <item x="370"/>
        <item x="332"/>
        <item x="366"/>
        <item x="919"/>
        <item x="788"/>
        <item x="920"/>
        <item x="927"/>
        <item x="499"/>
        <item x="893"/>
        <item x="56"/>
        <item x="131"/>
        <item x="587"/>
        <item x="1190"/>
        <item x="1032"/>
        <item x="33"/>
        <item x="335"/>
        <item x="534"/>
        <item x="362"/>
        <item x="1186"/>
        <item x="208"/>
        <item x="542"/>
        <item x="996"/>
        <item x="435"/>
        <item x="337"/>
        <item x="1070"/>
        <item x="343"/>
        <item x="25"/>
        <item x="231"/>
        <item x="733"/>
        <item x="531"/>
        <item x="850"/>
        <item x="354"/>
        <item x="751"/>
        <item x="66"/>
        <item x="1124"/>
        <item x="287"/>
        <item x="1281"/>
        <item x="800"/>
        <item x="767"/>
        <item x="1067"/>
        <item x="1127"/>
        <item x="911"/>
        <item x="658"/>
        <item x="1050"/>
        <item x="634"/>
        <item x="418"/>
        <item x="1156"/>
        <item x="1235"/>
        <item x="26"/>
        <item x="412"/>
        <item x="961"/>
        <item x="1271"/>
        <item x="988"/>
        <item x="267"/>
        <item x="402"/>
        <item x="64"/>
        <item x="199"/>
        <item x="398"/>
        <item x="380"/>
        <item x="1083"/>
        <item x="1078"/>
        <item x="907"/>
        <item x="462"/>
        <item x="592"/>
        <item x="157"/>
        <item x="480"/>
        <item x="36"/>
        <item x="856"/>
        <item x="99"/>
        <item x="1252"/>
        <item x="824"/>
        <item x="602"/>
        <item x="1305"/>
        <item x="974"/>
        <item x="1251"/>
        <item x="296"/>
        <item x="993"/>
        <item x="1025"/>
        <item x="378"/>
        <item x="70"/>
        <item x="397"/>
        <item x="726"/>
        <item x="1099"/>
        <item x="982"/>
        <item x="0"/>
        <item x="1273"/>
        <item x="126"/>
        <item x="261"/>
        <item x="753"/>
        <item x="1169"/>
        <item x="266"/>
        <item x="238"/>
        <item x="999"/>
        <item x="603"/>
        <item x="908"/>
        <item x="105"/>
        <item x="582"/>
        <item x="69"/>
        <item x="772"/>
        <item x="554"/>
        <item x="798"/>
        <item x="1056"/>
        <item x="494"/>
        <item x="375"/>
        <item x="143"/>
        <item x="857"/>
        <item x="1203"/>
        <item x="740"/>
        <item x="779"/>
        <item x="794"/>
        <item x="1183"/>
        <item x="417"/>
        <item x="1249"/>
        <item x="1313"/>
        <item x="1010"/>
        <item x="429"/>
        <item x="643"/>
        <item x="1194"/>
        <item x="1122"/>
        <item x="340"/>
        <item x="1161"/>
        <item x="142"/>
        <item x="1084"/>
        <item x="761"/>
        <item x="117"/>
        <item x="334"/>
        <item x="981"/>
        <item x="533"/>
        <item x="1178"/>
        <item x="729"/>
        <item x="305"/>
        <item x="235"/>
        <item x="1317"/>
        <item x="224"/>
        <item x="465"/>
        <item x="749"/>
        <item x="411"/>
        <item x="1133"/>
        <item x="884"/>
        <item x="159"/>
        <item x="895"/>
        <item x="948"/>
        <item x="153"/>
        <item x="953"/>
        <item x="637"/>
        <item x="1230"/>
        <item x="306"/>
        <item x="1039"/>
        <item x="291"/>
        <item x="1207"/>
        <item x="1103"/>
        <item x="264"/>
        <item x="45"/>
        <item x="1131"/>
        <item x="144"/>
        <item x="826"/>
        <item x="382"/>
        <item x="473"/>
        <item x="207"/>
        <item x="514"/>
        <item x="85"/>
        <item x="792"/>
        <item x="156"/>
        <item x="1002"/>
        <item x="1303"/>
        <item x="102"/>
        <item x="160"/>
        <item x="1306"/>
        <item x="1026"/>
        <item x="376"/>
        <item x="1029"/>
        <item x="1187"/>
        <item x="915"/>
        <item x="455"/>
        <item x="1044"/>
        <item x="297"/>
        <item x="3"/>
        <item x="461"/>
        <item x="660"/>
        <item x="502"/>
        <item x="280"/>
        <item x="1327"/>
        <item x="98"/>
        <item x="1277"/>
        <item x="1170"/>
        <item x="1038"/>
        <item x="1097"/>
        <item x="756"/>
        <item x="430"/>
        <item x="1007"/>
        <item x="58"/>
        <item x="468"/>
        <item x="616"/>
        <item x="817"/>
        <item x="1210"/>
        <item x="52"/>
        <item x="545"/>
        <item x="1175"/>
        <item x="965"/>
        <item x="526"/>
        <item x="853"/>
        <item x="1111"/>
        <item x="227"/>
        <item x="331"/>
        <item x="245"/>
        <item x="491"/>
        <item x="782"/>
        <item x="1280"/>
        <item x="355"/>
        <item x="654"/>
        <item x="321"/>
        <item x="262"/>
        <item x="301"/>
        <item x="636"/>
        <item x="1006"/>
        <item x="219"/>
        <item x="1052"/>
        <item x="924"/>
        <item x="474"/>
        <item x="979"/>
        <item x="520"/>
        <item x="606"/>
        <item x="289"/>
        <item x="1018"/>
        <item x="444"/>
        <item x="1222"/>
        <item x="875"/>
        <item x="687"/>
        <item x="657"/>
        <item x="963"/>
        <item x="1264"/>
        <item x="379"/>
        <item x="663"/>
        <item x="1141"/>
        <item x="885"/>
        <item x="138"/>
        <item x="539"/>
        <item x="140"/>
        <item x="842"/>
        <item x="516"/>
        <item x="11"/>
        <item x="769"/>
        <item x="1320"/>
        <item x="443"/>
        <item x="986"/>
        <item x="958"/>
        <item x="805"/>
        <item x="475"/>
        <item x="9"/>
        <item x="419"/>
        <item x="1336"/>
        <item x="695"/>
        <item x="889"/>
        <item x="244"/>
        <item x="1257"/>
        <item x="62"/>
        <item x="92"/>
        <item x="115"/>
        <item x="387"/>
        <item x="103"/>
        <item x="573"/>
        <item x="935"/>
        <item x="503"/>
        <item x="128"/>
        <item x="640"/>
        <item x="1195"/>
        <item x="598"/>
        <item x="1041"/>
        <item x="910"/>
        <item x="259"/>
        <item x="1307"/>
        <item x="1092"/>
        <item x="1119"/>
        <item x="1266"/>
        <item x="57"/>
        <item x="617"/>
        <item x="1000"/>
        <item x="622"/>
        <item x="1077"/>
        <item x="223"/>
        <item x="688"/>
        <item x="1290"/>
        <item x="314"/>
        <item x="916"/>
        <item x="476"/>
        <item x="242"/>
        <item x="322"/>
        <item x="30"/>
        <item x="1020"/>
        <item x="841"/>
        <item x="373"/>
        <item x="1116"/>
        <item x="161"/>
        <item x="737"/>
        <item x="500"/>
        <item x="263"/>
        <item x="758"/>
        <item x="1312"/>
        <item x="1011"/>
        <item x="19"/>
        <item x="1138"/>
        <item x="1205"/>
        <item x="158"/>
        <item x="441"/>
        <item x="203"/>
        <item x="82"/>
        <item x="849"/>
        <item x="1185"/>
        <item x="1035"/>
        <item x="1248"/>
        <item x="23"/>
        <item x="53"/>
        <item x="1302"/>
        <item x="377"/>
        <item x="524"/>
        <item x="1117"/>
        <item x="1287"/>
        <item x="1206"/>
        <item x="240"/>
        <item x="49"/>
        <item x="29"/>
        <item x="298"/>
        <item x="802"/>
        <item x="952"/>
        <item x="946"/>
        <item x="422"/>
        <item x="608"/>
        <item x="123"/>
        <item x="827"/>
        <item x="14"/>
        <item x="1155"/>
        <item x="1036"/>
        <item x="1048"/>
        <item x="38"/>
        <item x="84"/>
        <item x="1069"/>
        <item x="558"/>
        <item x="666"/>
        <item x="681"/>
        <item x="620"/>
        <item x="696"/>
        <item x="735"/>
        <item x="146"/>
        <item x="1123"/>
        <item x="724"/>
        <item x="1151"/>
        <item x="855"/>
        <item x="957"/>
        <item x="254"/>
        <item x="1217"/>
        <item x="1089"/>
        <item x="338"/>
        <item x="1110"/>
        <item x="955"/>
        <item x="851"/>
        <item x="292"/>
        <item x="312"/>
        <item x="1021"/>
        <item x="381"/>
        <item x="664"/>
        <item x="327"/>
        <item x="271"/>
        <item x="614"/>
        <item x="628"/>
        <item x="741"/>
        <item x="86"/>
        <item x="185"/>
        <item x="825"/>
        <item x="1322"/>
        <item x="256"/>
        <item x="586"/>
        <item x="892"/>
        <item x="252"/>
        <item x="705"/>
        <item x="1030"/>
        <item x="1046"/>
        <item x="738"/>
        <item x="1095"/>
        <item x="844"/>
        <item x="569"/>
        <item x="667"/>
        <item x="549"/>
        <item x="859"/>
        <item x="676"/>
        <item x="265"/>
        <item x="673"/>
        <item x="882"/>
        <item x="421"/>
        <item x="1121"/>
        <item x="1300"/>
        <item x="420"/>
        <item x="109"/>
        <item x="1239"/>
        <item x="94"/>
        <item x="251"/>
        <item x="1283"/>
        <item x="950"/>
        <item x="55"/>
        <item x="288"/>
        <item x="328"/>
        <item x="39"/>
        <item x="330"/>
        <item x="281"/>
        <item x="900"/>
        <item x="530"/>
        <item x="175"/>
        <item x="488"/>
        <item x="1061"/>
        <item x="1240"/>
        <item x="34"/>
        <item x="1145"/>
        <item x="818"/>
        <item x="577"/>
        <item x="1229"/>
        <item x="1299"/>
        <item x="543"/>
        <item t="default"/>
      </items>
    </pivotField>
    <pivotField compact="0" showAll="0">
      <items count="5">
        <item x="1"/>
        <item x="3"/>
        <item x="2"/>
        <item x="0"/>
        <item t="default"/>
      </items>
    </pivotField>
  </pivotFields>
  <rowFields count="1">
    <field x="3"/>
  </rowFields>
  <rowItems count="7">
    <i>
      <x v="5"/>
    </i>
    <i>
      <x/>
    </i>
    <i>
      <x v="1"/>
    </i>
    <i>
      <x v="4"/>
    </i>
    <i>
      <x v="2"/>
    </i>
    <i>
      <x v="3"/>
    </i>
    <i t="grand">
      <x/>
    </i>
  </rowItems>
  <colItems count="1">
    <i/>
  </colItems>
  <dataFields count="1">
    <dataField name="Average of charges" fld="6" subtotal="average" baseField="0" baseItem="0"/>
  </dataFields>
  <formats count="7">
    <format dxfId="54">
      <pivotArea collapsedLevelsAreSubtotals="1" fieldPosition="0"/>
    </format>
    <format dxfId="55">
      <pivotArea collapsedLevelsAreSubtotals="1" fieldPosition="0"/>
    </format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collapsedLevelsAreSubtotals="1" fieldPosition="0"/>
    </format>
    <format dxfId="6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x" sourceName="sex">
  <pivotTables>
    <pivotTable tabId="2" name="PivotTable6"/>
    <pivotTable tabId="2" name="PivotTable1"/>
    <pivotTable tabId="2" name="PivotTable10"/>
    <pivotTable tabId="2" name="PivotTable2"/>
    <pivotTable tabId="2" name="PivotTable3"/>
    <pivotTable tabId="2" name="PivotTable4"/>
    <pivotTable tabId="2" name="PivotTable5"/>
    <pivotTable tabId="2" name="PivotTable7"/>
    <pivotTable tabId="2" name="PivotTable8"/>
    <pivotTable tabId="2" name="PivotTable9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x" cache="Slicer_sex" caption="sex" rowHeight="225425"/>
</slicers>
</file>

<file path=xl/tables/table1.xml><?xml version="1.0" encoding="utf-8"?>
<table xmlns="http://schemas.openxmlformats.org/spreadsheetml/2006/main" id="1" name="Table1" displayName="Table1" ref="A1:H1339" totalsRowShown="0">
  <autoFilter xmlns:etc="http://www.wps.cn/officeDocument/2017/etCustomData" ref="A1:H1339" etc:filterBottomFollowUsedRange="0"/>
  <tableColumns count="8">
    <tableColumn id="1" name="age"/>
    <tableColumn id="2" name="sex"/>
    <tableColumn id="3" name="bmi"/>
    <tableColumn id="4" name="children"/>
    <tableColumn id="5" name="smoker"/>
    <tableColumn id="6" name="region"/>
    <tableColumn id="7" name="charges"/>
    <tableColumn id="8" name="Age Group" dataDxfId="61">
      <calculatedColumnFormula array="1">_xlfn.IFS(Table1[[#This Row],[age]]&lt;=30,"Young Adults",Table1[[#This Row],[age]]&lt;=45,"Adults",Table1[[#This Row],[age]]&lt;=60,"Seniors",Table1[[#This Row],[age]]&gt;=61,"Elderly")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9"/>
  <sheetViews>
    <sheetView zoomScaleSheetLayoutView="60" workbookViewId="0">
      <selection activeCell="P12" sqref="P12"/>
    </sheetView>
  </sheetViews>
  <sheetFormatPr defaultColWidth="10.2857142857143" defaultRowHeight="15" outlineLevelCol="7"/>
  <cols>
    <col min="7" max="7" width="11.8571428571429"/>
    <col min="8" max="8" width="12.42857142857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</v>
      </c>
      <c r="B2" t="s">
        <v>8</v>
      </c>
      <c r="C2">
        <v>27.9</v>
      </c>
      <c r="D2">
        <v>0</v>
      </c>
      <c r="E2" t="s">
        <v>9</v>
      </c>
      <c r="F2" t="s">
        <v>10</v>
      </c>
      <c r="G2">
        <v>16884.92</v>
      </c>
      <c r="H2" s="11" t="str" cm="1">
        <f t="array" ref="H2">_xlfn.IFS(Table1[[#This Row],[age]]&lt;=30,"Young Adults",Table1[[#This Row],[age]]&lt;=45,"Adults",Table1[[#This Row],[age]]&lt;=60,"Seniors",Table1[[#This Row],[age]]&gt;=61,"Elderly")</f>
        <v>Young Adults</v>
      </c>
    </row>
    <row r="3" spans="1:8">
      <c r="A3">
        <v>18</v>
      </c>
      <c r="B3" t="s">
        <v>11</v>
      </c>
      <c r="C3">
        <v>33.77</v>
      </c>
      <c r="D3">
        <v>1</v>
      </c>
      <c r="E3" t="s">
        <v>12</v>
      </c>
      <c r="F3" t="s">
        <v>13</v>
      </c>
      <c r="G3">
        <v>1725.55</v>
      </c>
      <c r="H3" s="11" t="str" cm="1">
        <f t="array" ref="H3">_xlfn.IFS(Table1[[#This Row],[age]]&lt;=30,"Young Adults",Table1[[#This Row],[age]]&lt;=45,"Adults",Table1[[#This Row],[age]]&lt;=60,"Seniors",Table1[[#This Row],[age]]&gt;=61,"Elderly")</f>
        <v>Young Adults</v>
      </c>
    </row>
    <row r="4" spans="1:8">
      <c r="A4">
        <v>28</v>
      </c>
      <c r="B4" t="s">
        <v>11</v>
      </c>
      <c r="C4">
        <v>33</v>
      </c>
      <c r="D4">
        <v>3</v>
      </c>
      <c r="E4" t="s">
        <v>12</v>
      </c>
      <c r="F4" t="s">
        <v>13</v>
      </c>
      <c r="G4">
        <v>4449.46</v>
      </c>
      <c r="H4" s="11" t="str" cm="1">
        <f t="array" ref="H4">_xlfn.IFS(Table1[[#This Row],[age]]&lt;=30,"Young Adults",Table1[[#This Row],[age]]&lt;=45,"Adults",Table1[[#This Row],[age]]&lt;=60,"Seniors",Table1[[#This Row],[age]]&gt;=61,"Elderly")</f>
        <v>Young Adults</v>
      </c>
    </row>
    <row r="5" spans="1:8">
      <c r="A5">
        <v>33</v>
      </c>
      <c r="B5" t="s">
        <v>11</v>
      </c>
      <c r="C5">
        <v>22.705</v>
      </c>
      <c r="D5">
        <v>0</v>
      </c>
      <c r="E5" t="s">
        <v>12</v>
      </c>
      <c r="F5" t="s">
        <v>14</v>
      </c>
      <c r="G5">
        <v>21984.47</v>
      </c>
      <c r="H5" s="11" t="str" cm="1">
        <f t="array" ref="H5">_xlfn.IFS(Table1[[#This Row],[age]]&lt;=30,"Young Adults",Table1[[#This Row],[age]]&lt;=45,"Adults",Table1[[#This Row],[age]]&lt;=60,"Seniors",Table1[[#This Row],[age]]&gt;=61,"Elderly")</f>
        <v>Adults</v>
      </c>
    </row>
    <row r="6" spans="1:8">
      <c r="A6">
        <v>32</v>
      </c>
      <c r="B6" t="s">
        <v>11</v>
      </c>
      <c r="C6">
        <v>28.88</v>
      </c>
      <c r="D6">
        <v>0</v>
      </c>
      <c r="E6" t="s">
        <v>12</v>
      </c>
      <c r="F6" t="s">
        <v>14</v>
      </c>
      <c r="G6">
        <v>3866.86</v>
      </c>
      <c r="H6" s="11" t="str" cm="1">
        <f t="array" ref="H6">_xlfn.IFS(Table1[[#This Row],[age]]&lt;=30,"Young Adults",Table1[[#This Row],[age]]&lt;=45,"Adults",Table1[[#This Row],[age]]&lt;=60,"Seniors",Table1[[#This Row],[age]]&gt;=61,"Elderly")</f>
        <v>Adults</v>
      </c>
    </row>
    <row r="7" spans="1:8">
      <c r="A7">
        <v>31</v>
      </c>
      <c r="B7" t="s">
        <v>8</v>
      </c>
      <c r="C7">
        <v>25.74</v>
      </c>
      <c r="D7">
        <v>0</v>
      </c>
      <c r="E7" t="s">
        <v>12</v>
      </c>
      <c r="F7" t="s">
        <v>13</v>
      </c>
      <c r="G7">
        <v>3756.62</v>
      </c>
      <c r="H7" s="11" t="str" cm="1">
        <f t="array" ref="H7">_xlfn.IFS(Table1[[#This Row],[age]]&lt;=30,"Young Adults",Table1[[#This Row],[age]]&lt;=45,"Adults",Table1[[#This Row],[age]]&lt;=60,"Seniors",Table1[[#This Row],[age]]&gt;=61,"Elderly")</f>
        <v>Adults</v>
      </c>
    </row>
    <row r="8" spans="1:8">
      <c r="A8">
        <v>46</v>
      </c>
      <c r="B8" t="s">
        <v>8</v>
      </c>
      <c r="C8">
        <v>33.44</v>
      </c>
      <c r="D8">
        <v>1</v>
      </c>
      <c r="E8" t="s">
        <v>12</v>
      </c>
      <c r="F8" t="s">
        <v>13</v>
      </c>
      <c r="G8">
        <v>8240.59</v>
      </c>
      <c r="H8" s="11" t="str" cm="1">
        <f t="array" ref="H8">_xlfn.IFS(Table1[[#This Row],[age]]&lt;=30,"Young Adults",Table1[[#This Row],[age]]&lt;=45,"Adults",Table1[[#This Row],[age]]&lt;=60,"Seniors",Table1[[#This Row],[age]]&gt;=61,"Elderly")</f>
        <v>Seniors</v>
      </c>
    </row>
    <row r="9" spans="1:8">
      <c r="A9">
        <v>37</v>
      </c>
      <c r="B9" t="s">
        <v>8</v>
      </c>
      <c r="C9">
        <v>27.74</v>
      </c>
      <c r="D9">
        <v>3</v>
      </c>
      <c r="E9" t="s">
        <v>12</v>
      </c>
      <c r="F9" t="s">
        <v>14</v>
      </c>
      <c r="G9">
        <v>7281.51</v>
      </c>
      <c r="H9" s="11" t="str" cm="1">
        <f t="array" ref="H9">_xlfn.IFS(Table1[[#This Row],[age]]&lt;=30,"Young Adults",Table1[[#This Row],[age]]&lt;=45,"Adults",Table1[[#This Row],[age]]&lt;=60,"Seniors",Table1[[#This Row],[age]]&gt;=61,"Elderly")</f>
        <v>Adults</v>
      </c>
    </row>
    <row r="10" spans="1:8">
      <c r="A10">
        <v>37</v>
      </c>
      <c r="B10" t="s">
        <v>11</v>
      </c>
      <c r="C10">
        <v>29.83</v>
      </c>
      <c r="D10">
        <v>2</v>
      </c>
      <c r="E10" t="s">
        <v>12</v>
      </c>
      <c r="F10" t="s">
        <v>15</v>
      </c>
      <c r="G10">
        <v>6406.41</v>
      </c>
      <c r="H10" s="11" t="str" cm="1">
        <f t="array" ref="H10">_xlfn.IFS(Table1[[#This Row],[age]]&lt;=30,"Young Adults",Table1[[#This Row],[age]]&lt;=45,"Adults",Table1[[#This Row],[age]]&lt;=60,"Seniors",Table1[[#This Row],[age]]&gt;=61,"Elderly")</f>
        <v>Adults</v>
      </c>
    </row>
    <row r="11" spans="1:8">
      <c r="A11">
        <v>60</v>
      </c>
      <c r="B11" t="s">
        <v>8</v>
      </c>
      <c r="C11">
        <v>25.84</v>
      </c>
      <c r="D11">
        <v>0</v>
      </c>
      <c r="E11" t="s">
        <v>12</v>
      </c>
      <c r="F11" t="s">
        <v>14</v>
      </c>
      <c r="G11">
        <v>28923.14</v>
      </c>
      <c r="H11" s="11" t="str" cm="1">
        <f t="array" ref="H11">_xlfn.IFS(Table1[[#This Row],[age]]&lt;=30,"Young Adults",Table1[[#This Row],[age]]&lt;=45,"Adults",Table1[[#This Row],[age]]&lt;=60,"Seniors",Table1[[#This Row],[age]]&gt;=61,"Elderly")</f>
        <v>Seniors</v>
      </c>
    </row>
    <row r="12" spans="1:8">
      <c r="A12">
        <v>25</v>
      </c>
      <c r="B12" t="s">
        <v>11</v>
      </c>
      <c r="C12">
        <v>26.22</v>
      </c>
      <c r="D12">
        <v>0</v>
      </c>
      <c r="E12" t="s">
        <v>12</v>
      </c>
      <c r="F12" t="s">
        <v>15</v>
      </c>
      <c r="G12">
        <v>2721.32</v>
      </c>
      <c r="H12" s="11" t="str" cm="1">
        <f t="array" ref="H12">_xlfn.IFS(Table1[[#This Row],[age]]&lt;=30,"Young Adults",Table1[[#This Row],[age]]&lt;=45,"Adults",Table1[[#This Row],[age]]&lt;=60,"Seniors",Table1[[#This Row],[age]]&gt;=61,"Elderly")</f>
        <v>Young Adults</v>
      </c>
    </row>
    <row r="13" spans="1:8">
      <c r="A13">
        <v>62</v>
      </c>
      <c r="B13" t="s">
        <v>8</v>
      </c>
      <c r="C13">
        <v>26.29</v>
      </c>
      <c r="D13">
        <v>0</v>
      </c>
      <c r="E13" t="s">
        <v>9</v>
      </c>
      <c r="F13" t="s">
        <v>13</v>
      </c>
      <c r="G13">
        <v>27808.73</v>
      </c>
      <c r="H13" s="11" t="str" cm="1">
        <f t="array" ref="H13">_xlfn.IFS(Table1[[#This Row],[age]]&lt;=30,"Young Adults",Table1[[#This Row],[age]]&lt;=45,"Adults",Table1[[#This Row],[age]]&lt;=60,"Seniors",Table1[[#This Row],[age]]&gt;=61,"Elderly")</f>
        <v>Elderly</v>
      </c>
    </row>
    <row r="14" spans="1:8">
      <c r="A14">
        <v>23</v>
      </c>
      <c r="B14" t="s">
        <v>11</v>
      </c>
      <c r="C14">
        <v>34.4</v>
      </c>
      <c r="D14">
        <v>0</v>
      </c>
      <c r="E14" t="s">
        <v>12</v>
      </c>
      <c r="F14" t="s">
        <v>10</v>
      </c>
      <c r="G14">
        <v>1826.84</v>
      </c>
      <c r="H14" s="11" t="str" cm="1">
        <f t="array" ref="H14">_xlfn.IFS(Table1[[#This Row],[age]]&lt;=30,"Young Adults",Table1[[#This Row],[age]]&lt;=45,"Adults",Table1[[#This Row],[age]]&lt;=60,"Seniors",Table1[[#This Row],[age]]&gt;=61,"Elderly")</f>
        <v>Young Adults</v>
      </c>
    </row>
    <row r="15" spans="1:8">
      <c r="A15">
        <v>56</v>
      </c>
      <c r="B15" t="s">
        <v>8</v>
      </c>
      <c r="C15">
        <v>39.82</v>
      </c>
      <c r="D15">
        <v>0</v>
      </c>
      <c r="E15" t="s">
        <v>12</v>
      </c>
      <c r="F15" t="s">
        <v>13</v>
      </c>
      <c r="G15">
        <v>11090.72</v>
      </c>
      <c r="H15" s="11" t="str" cm="1">
        <f t="array" ref="H15">_xlfn.IFS(Table1[[#This Row],[age]]&lt;=30,"Young Adults",Table1[[#This Row],[age]]&lt;=45,"Adults",Table1[[#This Row],[age]]&lt;=60,"Seniors",Table1[[#This Row],[age]]&gt;=61,"Elderly")</f>
        <v>Seniors</v>
      </c>
    </row>
    <row r="16" spans="1:8">
      <c r="A16">
        <v>27</v>
      </c>
      <c r="B16" t="s">
        <v>11</v>
      </c>
      <c r="C16">
        <v>42.13</v>
      </c>
      <c r="D16">
        <v>0</v>
      </c>
      <c r="E16" t="s">
        <v>9</v>
      </c>
      <c r="F16" t="s">
        <v>13</v>
      </c>
      <c r="G16">
        <v>39611.76</v>
      </c>
      <c r="H16" s="11" t="str" cm="1">
        <f t="array" ref="H16">_xlfn.IFS(Table1[[#This Row],[age]]&lt;=30,"Young Adults",Table1[[#This Row],[age]]&lt;=45,"Adults",Table1[[#This Row],[age]]&lt;=60,"Seniors",Table1[[#This Row],[age]]&gt;=61,"Elderly")</f>
        <v>Young Adults</v>
      </c>
    </row>
    <row r="17" spans="1:8">
      <c r="A17">
        <v>19</v>
      </c>
      <c r="B17" t="s">
        <v>11</v>
      </c>
      <c r="C17">
        <v>24.6</v>
      </c>
      <c r="D17">
        <v>1</v>
      </c>
      <c r="E17" t="s">
        <v>12</v>
      </c>
      <c r="F17" t="s">
        <v>10</v>
      </c>
      <c r="G17">
        <v>1837.24</v>
      </c>
      <c r="H17" s="11" t="str" cm="1">
        <f t="array" ref="H17">_xlfn.IFS(Table1[[#This Row],[age]]&lt;=30,"Young Adults",Table1[[#This Row],[age]]&lt;=45,"Adults",Table1[[#This Row],[age]]&lt;=60,"Seniors",Table1[[#This Row],[age]]&gt;=61,"Elderly")</f>
        <v>Young Adults</v>
      </c>
    </row>
    <row r="18" spans="1:8">
      <c r="A18">
        <v>52</v>
      </c>
      <c r="B18" t="s">
        <v>8</v>
      </c>
      <c r="C18">
        <v>30.78</v>
      </c>
      <c r="D18">
        <v>1</v>
      </c>
      <c r="E18" t="s">
        <v>12</v>
      </c>
      <c r="F18" t="s">
        <v>15</v>
      </c>
      <c r="G18">
        <v>10797.34</v>
      </c>
      <c r="H18" s="11" t="str" cm="1">
        <f t="array" ref="H18">_xlfn.IFS(Table1[[#This Row],[age]]&lt;=30,"Young Adults",Table1[[#This Row],[age]]&lt;=45,"Adults",Table1[[#This Row],[age]]&lt;=60,"Seniors",Table1[[#This Row],[age]]&gt;=61,"Elderly")</f>
        <v>Seniors</v>
      </c>
    </row>
    <row r="19" spans="1:8">
      <c r="A19">
        <v>23</v>
      </c>
      <c r="B19" t="s">
        <v>11</v>
      </c>
      <c r="C19">
        <v>23.845</v>
      </c>
      <c r="D19">
        <v>0</v>
      </c>
      <c r="E19" t="s">
        <v>12</v>
      </c>
      <c r="F19" t="s">
        <v>15</v>
      </c>
      <c r="G19">
        <v>2395.17</v>
      </c>
      <c r="H19" s="11" t="str" cm="1">
        <f t="array" ref="H19">_xlfn.IFS(Table1[[#This Row],[age]]&lt;=30,"Young Adults",Table1[[#This Row],[age]]&lt;=45,"Adults",Table1[[#This Row],[age]]&lt;=60,"Seniors",Table1[[#This Row],[age]]&gt;=61,"Elderly")</f>
        <v>Young Adults</v>
      </c>
    </row>
    <row r="20" spans="1:8">
      <c r="A20">
        <v>56</v>
      </c>
      <c r="B20" t="s">
        <v>11</v>
      </c>
      <c r="C20">
        <v>40.3</v>
      </c>
      <c r="D20">
        <v>0</v>
      </c>
      <c r="E20" t="s">
        <v>12</v>
      </c>
      <c r="F20" t="s">
        <v>10</v>
      </c>
      <c r="G20">
        <v>10602.39</v>
      </c>
      <c r="H20" s="11" t="str" cm="1">
        <f t="array" ref="H20">_xlfn.IFS(Table1[[#This Row],[age]]&lt;=30,"Young Adults",Table1[[#This Row],[age]]&lt;=45,"Adults",Table1[[#This Row],[age]]&lt;=60,"Seniors",Table1[[#This Row],[age]]&gt;=61,"Elderly")</f>
        <v>Seniors</v>
      </c>
    </row>
    <row r="21" spans="1:8">
      <c r="A21">
        <v>30</v>
      </c>
      <c r="B21" t="s">
        <v>11</v>
      </c>
      <c r="C21">
        <v>35.3</v>
      </c>
      <c r="D21">
        <v>0</v>
      </c>
      <c r="E21" t="s">
        <v>9</v>
      </c>
      <c r="F21" t="s">
        <v>10</v>
      </c>
      <c r="G21">
        <v>36837.47</v>
      </c>
      <c r="H21" s="11" t="str" cm="1">
        <f t="array" ref="H21">_xlfn.IFS(Table1[[#This Row],[age]]&lt;=30,"Young Adults",Table1[[#This Row],[age]]&lt;=45,"Adults",Table1[[#This Row],[age]]&lt;=60,"Seniors",Table1[[#This Row],[age]]&gt;=61,"Elderly")</f>
        <v>Young Adults</v>
      </c>
    </row>
    <row r="22" spans="1:8">
      <c r="A22">
        <v>60</v>
      </c>
      <c r="B22" t="s">
        <v>8</v>
      </c>
      <c r="C22">
        <v>36.005</v>
      </c>
      <c r="D22">
        <v>0</v>
      </c>
      <c r="E22" t="s">
        <v>12</v>
      </c>
      <c r="F22" t="s">
        <v>15</v>
      </c>
      <c r="G22">
        <v>13228.85</v>
      </c>
      <c r="H22" s="11" t="str" cm="1">
        <f t="array" ref="H22">_xlfn.IFS(Table1[[#This Row],[age]]&lt;=30,"Young Adults",Table1[[#This Row],[age]]&lt;=45,"Adults",Table1[[#This Row],[age]]&lt;=60,"Seniors",Table1[[#This Row],[age]]&gt;=61,"Elderly")</f>
        <v>Seniors</v>
      </c>
    </row>
    <row r="23" spans="1:8">
      <c r="A23">
        <v>30</v>
      </c>
      <c r="B23" t="s">
        <v>8</v>
      </c>
      <c r="C23">
        <v>32.4</v>
      </c>
      <c r="D23">
        <v>1</v>
      </c>
      <c r="E23" t="s">
        <v>12</v>
      </c>
      <c r="F23" t="s">
        <v>10</v>
      </c>
      <c r="G23">
        <v>4149.74</v>
      </c>
      <c r="H23" s="11" t="str" cm="1">
        <f t="array" ref="H23">_xlfn.IFS(Table1[[#This Row],[age]]&lt;=30,"Young Adults",Table1[[#This Row],[age]]&lt;=45,"Adults",Table1[[#This Row],[age]]&lt;=60,"Seniors",Table1[[#This Row],[age]]&gt;=61,"Elderly")</f>
        <v>Young Adults</v>
      </c>
    </row>
    <row r="24" spans="1:8">
      <c r="A24">
        <v>18</v>
      </c>
      <c r="B24" t="s">
        <v>11</v>
      </c>
      <c r="C24">
        <v>34.1</v>
      </c>
      <c r="D24">
        <v>0</v>
      </c>
      <c r="E24" t="s">
        <v>12</v>
      </c>
      <c r="F24" t="s">
        <v>13</v>
      </c>
      <c r="G24">
        <v>1137.01</v>
      </c>
      <c r="H24" s="11" t="str" cm="1">
        <f t="array" ref="H24">_xlfn.IFS(Table1[[#This Row],[age]]&lt;=30,"Young Adults",Table1[[#This Row],[age]]&lt;=45,"Adults",Table1[[#This Row],[age]]&lt;=60,"Seniors",Table1[[#This Row],[age]]&gt;=61,"Elderly")</f>
        <v>Young Adults</v>
      </c>
    </row>
    <row r="25" spans="1:8">
      <c r="A25">
        <v>34</v>
      </c>
      <c r="B25" t="s">
        <v>8</v>
      </c>
      <c r="C25">
        <v>31.92</v>
      </c>
      <c r="D25">
        <v>1</v>
      </c>
      <c r="E25" t="s">
        <v>9</v>
      </c>
      <c r="F25" t="s">
        <v>15</v>
      </c>
      <c r="G25">
        <v>37701.88</v>
      </c>
      <c r="H25" s="11" t="str" cm="1">
        <f t="array" ref="H25">_xlfn.IFS(Table1[[#This Row],[age]]&lt;=30,"Young Adults",Table1[[#This Row],[age]]&lt;=45,"Adults",Table1[[#This Row],[age]]&lt;=60,"Seniors",Table1[[#This Row],[age]]&gt;=61,"Elderly")</f>
        <v>Adults</v>
      </c>
    </row>
    <row r="26" spans="1:8">
      <c r="A26">
        <v>37</v>
      </c>
      <c r="B26" t="s">
        <v>11</v>
      </c>
      <c r="C26">
        <v>28.025</v>
      </c>
      <c r="D26">
        <v>2</v>
      </c>
      <c r="E26" t="s">
        <v>12</v>
      </c>
      <c r="F26" t="s">
        <v>14</v>
      </c>
      <c r="G26">
        <v>6203.9</v>
      </c>
      <c r="H26" s="11" t="str" cm="1">
        <f t="array" ref="H26">_xlfn.IFS(Table1[[#This Row],[age]]&lt;=30,"Young Adults",Table1[[#This Row],[age]]&lt;=45,"Adults",Table1[[#This Row],[age]]&lt;=60,"Seniors",Table1[[#This Row],[age]]&gt;=61,"Elderly")</f>
        <v>Adults</v>
      </c>
    </row>
    <row r="27" spans="1:8">
      <c r="A27">
        <v>59</v>
      </c>
      <c r="B27" t="s">
        <v>8</v>
      </c>
      <c r="C27">
        <v>27.72</v>
      </c>
      <c r="D27">
        <v>3</v>
      </c>
      <c r="E27" t="s">
        <v>12</v>
      </c>
      <c r="F27" t="s">
        <v>13</v>
      </c>
      <c r="G27">
        <v>14001.13</v>
      </c>
      <c r="H27" s="11" t="str" cm="1">
        <f t="array" ref="H27">_xlfn.IFS(Table1[[#This Row],[age]]&lt;=30,"Young Adults",Table1[[#This Row],[age]]&lt;=45,"Adults",Table1[[#This Row],[age]]&lt;=60,"Seniors",Table1[[#This Row],[age]]&gt;=61,"Elderly")</f>
        <v>Seniors</v>
      </c>
    </row>
    <row r="28" spans="1:8">
      <c r="A28">
        <v>63</v>
      </c>
      <c r="B28" t="s">
        <v>8</v>
      </c>
      <c r="C28">
        <v>23.085</v>
      </c>
      <c r="D28">
        <v>0</v>
      </c>
      <c r="E28" t="s">
        <v>12</v>
      </c>
      <c r="F28" t="s">
        <v>15</v>
      </c>
      <c r="G28">
        <v>14451.84</v>
      </c>
      <c r="H28" s="11" t="str" cm="1">
        <f t="array" ref="H28">_xlfn.IFS(Table1[[#This Row],[age]]&lt;=30,"Young Adults",Table1[[#This Row],[age]]&lt;=45,"Adults",Table1[[#This Row],[age]]&lt;=60,"Seniors",Table1[[#This Row],[age]]&gt;=61,"Elderly")</f>
        <v>Elderly</v>
      </c>
    </row>
    <row r="29" spans="1:8">
      <c r="A29">
        <v>55</v>
      </c>
      <c r="B29" t="s">
        <v>8</v>
      </c>
      <c r="C29">
        <v>32.775</v>
      </c>
      <c r="D29">
        <v>2</v>
      </c>
      <c r="E29" t="s">
        <v>12</v>
      </c>
      <c r="F29" t="s">
        <v>14</v>
      </c>
      <c r="G29">
        <v>12268.63</v>
      </c>
      <c r="H29" s="11" t="str" cm="1">
        <f t="array" ref="H29">_xlfn.IFS(Table1[[#This Row],[age]]&lt;=30,"Young Adults",Table1[[#This Row],[age]]&lt;=45,"Adults",Table1[[#This Row],[age]]&lt;=60,"Seniors",Table1[[#This Row],[age]]&gt;=61,"Elderly")</f>
        <v>Seniors</v>
      </c>
    </row>
    <row r="30" spans="1:8">
      <c r="A30">
        <v>23</v>
      </c>
      <c r="B30" t="s">
        <v>11</v>
      </c>
      <c r="C30">
        <v>17.385</v>
      </c>
      <c r="D30">
        <v>1</v>
      </c>
      <c r="E30" t="s">
        <v>12</v>
      </c>
      <c r="F30" t="s">
        <v>14</v>
      </c>
      <c r="G30">
        <v>2775.19</v>
      </c>
      <c r="H30" s="11" t="str" cm="1">
        <f t="array" ref="H30">_xlfn.IFS(Table1[[#This Row],[age]]&lt;=30,"Young Adults",Table1[[#This Row],[age]]&lt;=45,"Adults",Table1[[#This Row],[age]]&lt;=60,"Seniors",Table1[[#This Row],[age]]&gt;=61,"Elderly")</f>
        <v>Young Adults</v>
      </c>
    </row>
    <row r="31" spans="1:8">
      <c r="A31">
        <v>31</v>
      </c>
      <c r="B31" t="s">
        <v>11</v>
      </c>
      <c r="C31">
        <v>36.3</v>
      </c>
      <c r="D31">
        <v>2</v>
      </c>
      <c r="E31" t="s">
        <v>9</v>
      </c>
      <c r="F31" t="s">
        <v>10</v>
      </c>
      <c r="G31">
        <v>38711</v>
      </c>
      <c r="H31" s="11" t="str" cm="1">
        <f t="array" ref="H31">_xlfn.IFS(Table1[[#This Row],[age]]&lt;=30,"Young Adults",Table1[[#This Row],[age]]&lt;=45,"Adults",Table1[[#This Row],[age]]&lt;=60,"Seniors",Table1[[#This Row],[age]]&gt;=61,"Elderly")</f>
        <v>Adults</v>
      </c>
    </row>
    <row r="32" spans="1:8">
      <c r="A32">
        <v>22</v>
      </c>
      <c r="B32" t="s">
        <v>11</v>
      </c>
      <c r="C32">
        <v>35.6</v>
      </c>
      <c r="D32">
        <v>0</v>
      </c>
      <c r="E32" t="s">
        <v>9</v>
      </c>
      <c r="F32" t="s">
        <v>10</v>
      </c>
      <c r="G32">
        <v>35585.58</v>
      </c>
      <c r="H32" s="11" t="str" cm="1">
        <f t="array" ref="H32">_xlfn.IFS(Table1[[#This Row],[age]]&lt;=30,"Young Adults",Table1[[#This Row],[age]]&lt;=45,"Adults",Table1[[#This Row],[age]]&lt;=60,"Seniors",Table1[[#This Row],[age]]&gt;=61,"Elderly")</f>
        <v>Young Adults</v>
      </c>
    </row>
    <row r="33" spans="1:8">
      <c r="A33">
        <v>18</v>
      </c>
      <c r="B33" t="s">
        <v>8</v>
      </c>
      <c r="C33">
        <v>26.315</v>
      </c>
      <c r="D33">
        <v>0</v>
      </c>
      <c r="E33" t="s">
        <v>12</v>
      </c>
      <c r="F33" t="s">
        <v>15</v>
      </c>
      <c r="G33">
        <v>2198.19</v>
      </c>
      <c r="H33" s="11" t="str" cm="1">
        <f t="array" ref="H33">_xlfn.IFS(Table1[[#This Row],[age]]&lt;=30,"Young Adults",Table1[[#This Row],[age]]&lt;=45,"Adults",Table1[[#This Row],[age]]&lt;=60,"Seniors",Table1[[#This Row],[age]]&gt;=61,"Elderly")</f>
        <v>Young Adults</v>
      </c>
    </row>
    <row r="34" spans="1:8">
      <c r="A34">
        <v>19</v>
      </c>
      <c r="B34" t="s">
        <v>8</v>
      </c>
      <c r="C34">
        <v>28.6</v>
      </c>
      <c r="D34">
        <v>5</v>
      </c>
      <c r="E34" t="s">
        <v>12</v>
      </c>
      <c r="F34" t="s">
        <v>10</v>
      </c>
      <c r="G34">
        <v>4687.8</v>
      </c>
      <c r="H34" s="11" t="str" cm="1">
        <f t="array" ref="H34">_xlfn.IFS(Table1[[#This Row],[age]]&lt;=30,"Young Adults",Table1[[#This Row],[age]]&lt;=45,"Adults",Table1[[#This Row],[age]]&lt;=60,"Seniors",Table1[[#This Row],[age]]&gt;=61,"Elderly")</f>
        <v>Young Adults</v>
      </c>
    </row>
    <row r="35" spans="1:8">
      <c r="A35">
        <v>63</v>
      </c>
      <c r="B35" t="s">
        <v>11</v>
      </c>
      <c r="C35">
        <v>28.31</v>
      </c>
      <c r="D35">
        <v>0</v>
      </c>
      <c r="E35" t="s">
        <v>12</v>
      </c>
      <c r="F35" t="s">
        <v>14</v>
      </c>
      <c r="G35">
        <v>13770.1</v>
      </c>
      <c r="H35" s="11" t="str" cm="1">
        <f t="array" ref="H35">_xlfn.IFS(Table1[[#This Row],[age]]&lt;=30,"Young Adults",Table1[[#This Row],[age]]&lt;=45,"Adults",Table1[[#This Row],[age]]&lt;=60,"Seniors",Table1[[#This Row],[age]]&gt;=61,"Elderly")</f>
        <v>Elderly</v>
      </c>
    </row>
    <row r="36" spans="1:8">
      <c r="A36">
        <v>28</v>
      </c>
      <c r="B36" t="s">
        <v>11</v>
      </c>
      <c r="C36">
        <v>36.4</v>
      </c>
      <c r="D36">
        <v>1</v>
      </c>
      <c r="E36" t="s">
        <v>9</v>
      </c>
      <c r="F36" t="s">
        <v>10</v>
      </c>
      <c r="G36">
        <v>51194.56</v>
      </c>
      <c r="H36" s="11" t="str" cm="1">
        <f t="array" ref="H36">_xlfn.IFS(Table1[[#This Row],[age]]&lt;=30,"Young Adults",Table1[[#This Row],[age]]&lt;=45,"Adults",Table1[[#This Row],[age]]&lt;=60,"Seniors",Table1[[#This Row],[age]]&gt;=61,"Elderly")</f>
        <v>Young Adults</v>
      </c>
    </row>
    <row r="37" spans="1:8">
      <c r="A37">
        <v>19</v>
      </c>
      <c r="B37" t="s">
        <v>11</v>
      </c>
      <c r="C37">
        <v>20.425</v>
      </c>
      <c r="D37">
        <v>0</v>
      </c>
      <c r="E37" t="s">
        <v>12</v>
      </c>
      <c r="F37" t="s">
        <v>14</v>
      </c>
      <c r="G37">
        <v>1625.43</v>
      </c>
      <c r="H37" s="11" t="str" cm="1">
        <f t="array" ref="H37">_xlfn.IFS(Table1[[#This Row],[age]]&lt;=30,"Young Adults",Table1[[#This Row],[age]]&lt;=45,"Adults",Table1[[#This Row],[age]]&lt;=60,"Seniors",Table1[[#This Row],[age]]&gt;=61,"Elderly")</f>
        <v>Young Adults</v>
      </c>
    </row>
    <row r="38" spans="1:8">
      <c r="A38">
        <v>62</v>
      </c>
      <c r="B38" t="s">
        <v>8</v>
      </c>
      <c r="C38">
        <v>32.965</v>
      </c>
      <c r="D38">
        <v>3</v>
      </c>
      <c r="E38" t="s">
        <v>12</v>
      </c>
      <c r="F38" t="s">
        <v>14</v>
      </c>
      <c r="G38">
        <v>15612.19</v>
      </c>
      <c r="H38" s="11" t="str" cm="1">
        <f t="array" ref="H38">_xlfn.IFS(Table1[[#This Row],[age]]&lt;=30,"Young Adults",Table1[[#This Row],[age]]&lt;=45,"Adults",Table1[[#This Row],[age]]&lt;=60,"Seniors",Table1[[#This Row],[age]]&gt;=61,"Elderly")</f>
        <v>Elderly</v>
      </c>
    </row>
    <row r="39" spans="1:8">
      <c r="A39">
        <v>26</v>
      </c>
      <c r="B39" t="s">
        <v>11</v>
      </c>
      <c r="C39">
        <v>20.8</v>
      </c>
      <c r="D39">
        <v>0</v>
      </c>
      <c r="E39" t="s">
        <v>12</v>
      </c>
      <c r="F39" t="s">
        <v>10</v>
      </c>
      <c r="G39">
        <v>2302.3</v>
      </c>
      <c r="H39" s="11" t="str" cm="1">
        <f t="array" ref="H39">_xlfn.IFS(Table1[[#This Row],[age]]&lt;=30,"Young Adults",Table1[[#This Row],[age]]&lt;=45,"Adults",Table1[[#This Row],[age]]&lt;=60,"Seniors",Table1[[#This Row],[age]]&gt;=61,"Elderly")</f>
        <v>Young Adults</v>
      </c>
    </row>
    <row r="40" spans="1:8">
      <c r="A40">
        <v>35</v>
      </c>
      <c r="B40" t="s">
        <v>11</v>
      </c>
      <c r="C40">
        <v>36.67</v>
      </c>
      <c r="D40">
        <v>1</v>
      </c>
      <c r="E40" t="s">
        <v>9</v>
      </c>
      <c r="F40" t="s">
        <v>15</v>
      </c>
      <c r="G40">
        <v>39774.28</v>
      </c>
      <c r="H40" s="11" t="str" cm="1">
        <f t="array" ref="H40">_xlfn.IFS(Table1[[#This Row],[age]]&lt;=30,"Young Adults",Table1[[#This Row],[age]]&lt;=45,"Adults",Table1[[#This Row],[age]]&lt;=60,"Seniors",Table1[[#This Row],[age]]&gt;=61,"Elderly")</f>
        <v>Adults</v>
      </c>
    </row>
    <row r="41" spans="1:8">
      <c r="A41">
        <v>60</v>
      </c>
      <c r="B41" t="s">
        <v>11</v>
      </c>
      <c r="C41">
        <v>39.9</v>
      </c>
      <c r="D41">
        <v>0</v>
      </c>
      <c r="E41" t="s">
        <v>9</v>
      </c>
      <c r="F41" t="s">
        <v>10</v>
      </c>
      <c r="G41">
        <v>48173.36</v>
      </c>
      <c r="H41" s="11" t="str" cm="1">
        <f t="array" ref="H41">_xlfn.IFS(Table1[[#This Row],[age]]&lt;=30,"Young Adults",Table1[[#This Row],[age]]&lt;=45,"Adults",Table1[[#This Row],[age]]&lt;=60,"Seniors",Table1[[#This Row],[age]]&gt;=61,"Elderly")</f>
        <v>Seniors</v>
      </c>
    </row>
    <row r="42" spans="1:8">
      <c r="A42">
        <v>24</v>
      </c>
      <c r="B42" t="s">
        <v>8</v>
      </c>
      <c r="C42">
        <v>26.6</v>
      </c>
      <c r="D42">
        <v>0</v>
      </c>
      <c r="E42" t="s">
        <v>12</v>
      </c>
      <c r="F42" t="s">
        <v>15</v>
      </c>
      <c r="G42">
        <v>3046.06</v>
      </c>
      <c r="H42" s="11" t="str" cm="1">
        <f t="array" ref="H42">_xlfn.IFS(Table1[[#This Row],[age]]&lt;=30,"Young Adults",Table1[[#This Row],[age]]&lt;=45,"Adults",Table1[[#This Row],[age]]&lt;=60,"Seniors",Table1[[#This Row],[age]]&gt;=61,"Elderly")</f>
        <v>Young Adults</v>
      </c>
    </row>
    <row r="43" spans="1:8">
      <c r="A43">
        <v>31</v>
      </c>
      <c r="B43" t="s">
        <v>8</v>
      </c>
      <c r="C43">
        <v>36.63</v>
      </c>
      <c r="D43">
        <v>2</v>
      </c>
      <c r="E43" t="s">
        <v>12</v>
      </c>
      <c r="F43" t="s">
        <v>13</v>
      </c>
      <c r="G43">
        <v>4949.76</v>
      </c>
      <c r="H43" s="11" t="str" cm="1">
        <f t="array" ref="H43">_xlfn.IFS(Table1[[#This Row],[age]]&lt;=30,"Young Adults",Table1[[#This Row],[age]]&lt;=45,"Adults",Table1[[#This Row],[age]]&lt;=60,"Seniors",Table1[[#This Row],[age]]&gt;=61,"Elderly")</f>
        <v>Adults</v>
      </c>
    </row>
    <row r="44" spans="1:8">
      <c r="A44">
        <v>41</v>
      </c>
      <c r="B44" t="s">
        <v>11</v>
      </c>
      <c r="C44">
        <v>21.78</v>
      </c>
      <c r="D44">
        <v>1</v>
      </c>
      <c r="E44" t="s">
        <v>12</v>
      </c>
      <c r="F44" t="s">
        <v>13</v>
      </c>
      <c r="G44">
        <v>6272.48</v>
      </c>
      <c r="H44" s="11" t="str" cm="1">
        <f t="array" ref="H44">_xlfn.IFS(Table1[[#This Row],[age]]&lt;=30,"Young Adults",Table1[[#This Row],[age]]&lt;=45,"Adults",Table1[[#This Row],[age]]&lt;=60,"Seniors",Table1[[#This Row],[age]]&gt;=61,"Elderly")</f>
        <v>Adults</v>
      </c>
    </row>
    <row r="45" spans="1:8">
      <c r="A45">
        <v>37</v>
      </c>
      <c r="B45" t="s">
        <v>8</v>
      </c>
      <c r="C45">
        <v>30.8</v>
      </c>
      <c r="D45">
        <v>2</v>
      </c>
      <c r="E45" t="s">
        <v>12</v>
      </c>
      <c r="F45" t="s">
        <v>13</v>
      </c>
      <c r="G45">
        <v>6313.76</v>
      </c>
      <c r="H45" s="11" t="str" cm="1">
        <f t="array" ref="H45">_xlfn.IFS(Table1[[#This Row],[age]]&lt;=30,"Young Adults",Table1[[#This Row],[age]]&lt;=45,"Adults",Table1[[#This Row],[age]]&lt;=60,"Seniors",Table1[[#This Row],[age]]&gt;=61,"Elderly")</f>
        <v>Adults</v>
      </c>
    </row>
    <row r="46" spans="1:8">
      <c r="A46">
        <v>38</v>
      </c>
      <c r="B46" t="s">
        <v>11</v>
      </c>
      <c r="C46">
        <v>37.05</v>
      </c>
      <c r="D46">
        <v>1</v>
      </c>
      <c r="E46" t="s">
        <v>12</v>
      </c>
      <c r="F46" t="s">
        <v>15</v>
      </c>
      <c r="G46">
        <v>6079.67</v>
      </c>
      <c r="H46" s="11" t="str" cm="1">
        <f t="array" ref="H46">_xlfn.IFS(Table1[[#This Row],[age]]&lt;=30,"Young Adults",Table1[[#This Row],[age]]&lt;=45,"Adults",Table1[[#This Row],[age]]&lt;=60,"Seniors",Table1[[#This Row],[age]]&gt;=61,"Elderly")</f>
        <v>Adults</v>
      </c>
    </row>
    <row r="47" spans="1:8">
      <c r="A47">
        <v>55</v>
      </c>
      <c r="B47" t="s">
        <v>11</v>
      </c>
      <c r="C47">
        <v>37.3</v>
      </c>
      <c r="D47">
        <v>0</v>
      </c>
      <c r="E47" t="s">
        <v>12</v>
      </c>
      <c r="F47" t="s">
        <v>10</v>
      </c>
      <c r="G47">
        <v>20630.28</v>
      </c>
      <c r="H47" s="11" t="str" cm="1">
        <f t="array" ref="H47">_xlfn.IFS(Table1[[#This Row],[age]]&lt;=30,"Young Adults",Table1[[#This Row],[age]]&lt;=45,"Adults",Table1[[#This Row],[age]]&lt;=60,"Seniors",Table1[[#This Row],[age]]&gt;=61,"Elderly")</f>
        <v>Seniors</v>
      </c>
    </row>
    <row r="48" spans="1:8">
      <c r="A48">
        <v>18</v>
      </c>
      <c r="B48" t="s">
        <v>8</v>
      </c>
      <c r="C48">
        <v>38.665</v>
      </c>
      <c r="D48">
        <v>2</v>
      </c>
      <c r="E48" t="s">
        <v>12</v>
      </c>
      <c r="F48" t="s">
        <v>15</v>
      </c>
      <c r="G48">
        <v>3393.36</v>
      </c>
      <c r="H48" s="11" t="str" cm="1">
        <f t="array" ref="H48">_xlfn.IFS(Table1[[#This Row],[age]]&lt;=30,"Young Adults",Table1[[#This Row],[age]]&lt;=45,"Adults",Table1[[#This Row],[age]]&lt;=60,"Seniors",Table1[[#This Row],[age]]&gt;=61,"Elderly")</f>
        <v>Young Adults</v>
      </c>
    </row>
    <row r="49" spans="1:8">
      <c r="A49">
        <v>28</v>
      </c>
      <c r="B49" t="s">
        <v>8</v>
      </c>
      <c r="C49">
        <v>34.77</v>
      </c>
      <c r="D49">
        <v>0</v>
      </c>
      <c r="E49" t="s">
        <v>12</v>
      </c>
      <c r="F49" t="s">
        <v>14</v>
      </c>
      <c r="G49">
        <v>3556.92</v>
      </c>
      <c r="H49" s="11" t="str" cm="1">
        <f t="array" ref="H49">_xlfn.IFS(Table1[[#This Row],[age]]&lt;=30,"Young Adults",Table1[[#This Row],[age]]&lt;=45,"Adults",Table1[[#This Row],[age]]&lt;=60,"Seniors",Table1[[#This Row],[age]]&gt;=61,"Elderly")</f>
        <v>Young Adults</v>
      </c>
    </row>
    <row r="50" spans="1:8">
      <c r="A50">
        <v>60</v>
      </c>
      <c r="B50" t="s">
        <v>8</v>
      </c>
      <c r="C50">
        <v>24.53</v>
      </c>
      <c r="D50">
        <v>0</v>
      </c>
      <c r="E50" t="s">
        <v>12</v>
      </c>
      <c r="F50" t="s">
        <v>13</v>
      </c>
      <c r="G50">
        <v>12629.9</v>
      </c>
      <c r="H50" s="11" t="str" cm="1">
        <f t="array" ref="H50">_xlfn.IFS(Table1[[#This Row],[age]]&lt;=30,"Young Adults",Table1[[#This Row],[age]]&lt;=45,"Adults",Table1[[#This Row],[age]]&lt;=60,"Seniors",Table1[[#This Row],[age]]&gt;=61,"Elderly")</f>
        <v>Seniors</v>
      </c>
    </row>
    <row r="51" spans="1:8">
      <c r="A51">
        <v>36</v>
      </c>
      <c r="B51" t="s">
        <v>11</v>
      </c>
      <c r="C51">
        <v>35.2</v>
      </c>
      <c r="D51">
        <v>1</v>
      </c>
      <c r="E51" t="s">
        <v>9</v>
      </c>
      <c r="F51" t="s">
        <v>13</v>
      </c>
      <c r="G51">
        <v>38709.18</v>
      </c>
      <c r="H51" s="11" t="str" cm="1">
        <f t="array" ref="H51">_xlfn.IFS(Table1[[#This Row],[age]]&lt;=30,"Young Adults",Table1[[#This Row],[age]]&lt;=45,"Adults",Table1[[#This Row],[age]]&lt;=60,"Seniors",Table1[[#This Row],[age]]&gt;=61,"Elderly")</f>
        <v>Adults</v>
      </c>
    </row>
    <row r="52" spans="1:8">
      <c r="A52">
        <v>18</v>
      </c>
      <c r="B52" t="s">
        <v>8</v>
      </c>
      <c r="C52">
        <v>35.625</v>
      </c>
      <c r="D52">
        <v>0</v>
      </c>
      <c r="E52" t="s">
        <v>12</v>
      </c>
      <c r="F52" t="s">
        <v>15</v>
      </c>
      <c r="G52">
        <v>2211.13</v>
      </c>
      <c r="H52" s="11" t="str" cm="1">
        <f t="array" ref="H52">_xlfn.IFS(Table1[[#This Row],[age]]&lt;=30,"Young Adults",Table1[[#This Row],[age]]&lt;=45,"Adults",Table1[[#This Row],[age]]&lt;=60,"Seniors",Table1[[#This Row],[age]]&gt;=61,"Elderly")</f>
        <v>Young Adults</v>
      </c>
    </row>
    <row r="53" spans="1:8">
      <c r="A53">
        <v>21</v>
      </c>
      <c r="B53" t="s">
        <v>8</v>
      </c>
      <c r="C53">
        <v>33.63</v>
      </c>
      <c r="D53">
        <v>2</v>
      </c>
      <c r="E53" t="s">
        <v>12</v>
      </c>
      <c r="F53" t="s">
        <v>14</v>
      </c>
      <c r="G53">
        <v>3579.83</v>
      </c>
      <c r="H53" s="11" t="str" cm="1">
        <f t="array" ref="H53">_xlfn.IFS(Table1[[#This Row],[age]]&lt;=30,"Young Adults",Table1[[#This Row],[age]]&lt;=45,"Adults",Table1[[#This Row],[age]]&lt;=60,"Seniors",Table1[[#This Row],[age]]&gt;=61,"Elderly")</f>
        <v>Young Adults</v>
      </c>
    </row>
    <row r="54" spans="1:8">
      <c r="A54">
        <v>48</v>
      </c>
      <c r="B54" t="s">
        <v>11</v>
      </c>
      <c r="C54">
        <v>28</v>
      </c>
      <c r="D54">
        <v>1</v>
      </c>
      <c r="E54" t="s">
        <v>9</v>
      </c>
      <c r="F54" t="s">
        <v>10</v>
      </c>
      <c r="G54">
        <v>23568.27</v>
      </c>
      <c r="H54" s="11" t="str" cm="1">
        <f t="array" ref="H54">_xlfn.IFS(Table1[[#This Row],[age]]&lt;=30,"Young Adults",Table1[[#This Row],[age]]&lt;=45,"Adults",Table1[[#This Row],[age]]&lt;=60,"Seniors",Table1[[#This Row],[age]]&gt;=61,"Elderly")</f>
        <v>Seniors</v>
      </c>
    </row>
    <row r="55" spans="1:8">
      <c r="A55">
        <v>36</v>
      </c>
      <c r="B55" t="s">
        <v>11</v>
      </c>
      <c r="C55">
        <v>34.43</v>
      </c>
      <c r="D55">
        <v>0</v>
      </c>
      <c r="E55" t="s">
        <v>9</v>
      </c>
      <c r="F55" t="s">
        <v>13</v>
      </c>
      <c r="G55">
        <v>37742.58</v>
      </c>
      <c r="H55" s="11" t="str" cm="1">
        <f t="array" ref="H55">_xlfn.IFS(Table1[[#This Row],[age]]&lt;=30,"Young Adults",Table1[[#This Row],[age]]&lt;=45,"Adults",Table1[[#This Row],[age]]&lt;=60,"Seniors",Table1[[#This Row],[age]]&gt;=61,"Elderly")</f>
        <v>Adults</v>
      </c>
    </row>
    <row r="56" spans="1:8">
      <c r="A56">
        <v>40</v>
      </c>
      <c r="B56" t="s">
        <v>8</v>
      </c>
      <c r="C56">
        <v>28.69</v>
      </c>
      <c r="D56">
        <v>3</v>
      </c>
      <c r="E56" t="s">
        <v>12</v>
      </c>
      <c r="F56" t="s">
        <v>14</v>
      </c>
      <c r="G56">
        <v>8059.68</v>
      </c>
      <c r="H56" s="11" t="str" cm="1">
        <f t="array" ref="H56">_xlfn.IFS(Table1[[#This Row],[age]]&lt;=30,"Young Adults",Table1[[#This Row],[age]]&lt;=45,"Adults",Table1[[#This Row],[age]]&lt;=60,"Seniors",Table1[[#This Row],[age]]&gt;=61,"Elderly")</f>
        <v>Adults</v>
      </c>
    </row>
    <row r="57" spans="1:8">
      <c r="A57">
        <v>58</v>
      </c>
      <c r="B57" t="s">
        <v>11</v>
      </c>
      <c r="C57">
        <v>36.955</v>
      </c>
      <c r="D57">
        <v>2</v>
      </c>
      <c r="E57" t="s">
        <v>9</v>
      </c>
      <c r="F57" t="s">
        <v>14</v>
      </c>
      <c r="G57">
        <v>47496.49</v>
      </c>
      <c r="H57" s="11" t="str" cm="1">
        <f t="array" ref="H57">_xlfn.IFS(Table1[[#This Row],[age]]&lt;=30,"Young Adults",Table1[[#This Row],[age]]&lt;=45,"Adults",Table1[[#This Row],[age]]&lt;=60,"Seniors",Table1[[#This Row],[age]]&gt;=61,"Elderly")</f>
        <v>Seniors</v>
      </c>
    </row>
    <row r="58" spans="1:8">
      <c r="A58">
        <v>58</v>
      </c>
      <c r="B58" t="s">
        <v>8</v>
      </c>
      <c r="C58">
        <v>31.825</v>
      </c>
      <c r="D58">
        <v>2</v>
      </c>
      <c r="E58" t="s">
        <v>12</v>
      </c>
      <c r="F58" t="s">
        <v>15</v>
      </c>
      <c r="G58">
        <v>13607.37</v>
      </c>
      <c r="H58" s="11" t="str" cm="1">
        <f t="array" ref="H58">_xlfn.IFS(Table1[[#This Row],[age]]&lt;=30,"Young Adults",Table1[[#This Row],[age]]&lt;=45,"Adults",Table1[[#This Row],[age]]&lt;=60,"Seniors",Table1[[#This Row],[age]]&gt;=61,"Elderly")</f>
        <v>Seniors</v>
      </c>
    </row>
    <row r="59" spans="1:8">
      <c r="A59">
        <v>18</v>
      </c>
      <c r="B59" t="s">
        <v>11</v>
      </c>
      <c r="C59">
        <v>31.68</v>
      </c>
      <c r="D59">
        <v>2</v>
      </c>
      <c r="E59" t="s">
        <v>9</v>
      </c>
      <c r="F59" t="s">
        <v>13</v>
      </c>
      <c r="G59">
        <v>34303.17</v>
      </c>
      <c r="H59" s="11" t="str" cm="1">
        <f t="array" ref="H59">_xlfn.IFS(Table1[[#This Row],[age]]&lt;=30,"Young Adults",Table1[[#This Row],[age]]&lt;=45,"Adults",Table1[[#This Row],[age]]&lt;=60,"Seniors",Table1[[#This Row],[age]]&gt;=61,"Elderly")</f>
        <v>Young Adults</v>
      </c>
    </row>
    <row r="60" spans="1:8">
      <c r="A60">
        <v>53</v>
      </c>
      <c r="B60" t="s">
        <v>8</v>
      </c>
      <c r="C60">
        <v>22.88</v>
      </c>
      <c r="D60">
        <v>1</v>
      </c>
      <c r="E60" t="s">
        <v>9</v>
      </c>
      <c r="F60" t="s">
        <v>13</v>
      </c>
      <c r="G60">
        <v>23244.79</v>
      </c>
      <c r="H60" s="11" t="str" cm="1">
        <f t="array" ref="H60">_xlfn.IFS(Table1[[#This Row],[age]]&lt;=30,"Young Adults",Table1[[#This Row],[age]]&lt;=45,"Adults",Table1[[#This Row],[age]]&lt;=60,"Seniors",Table1[[#This Row],[age]]&gt;=61,"Elderly")</f>
        <v>Seniors</v>
      </c>
    </row>
    <row r="61" spans="1:8">
      <c r="A61">
        <v>34</v>
      </c>
      <c r="B61" t="s">
        <v>8</v>
      </c>
      <c r="C61">
        <v>37.335</v>
      </c>
      <c r="D61">
        <v>2</v>
      </c>
      <c r="E61" t="s">
        <v>12</v>
      </c>
      <c r="F61" t="s">
        <v>14</v>
      </c>
      <c r="G61">
        <v>5989.52</v>
      </c>
      <c r="H61" s="11" t="str" cm="1">
        <f t="array" ref="H61">_xlfn.IFS(Table1[[#This Row],[age]]&lt;=30,"Young Adults",Table1[[#This Row],[age]]&lt;=45,"Adults",Table1[[#This Row],[age]]&lt;=60,"Seniors",Table1[[#This Row],[age]]&gt;=61,"Elderly")</f>
        <v>Adults</v>
      </c>
    </row>
    <row r="62" spans="1:8">
      <c r="A62">
        <v>43</v>
      </c>
      <c r="B62" t="s">
        <v>11</v>
      </c>
      <c r="C62">
        <v>27.36</v>
      </c>
      <c r="D62">
        <v>3</v>
      </c>
      <c r="E62" t="s">
        <v>12</v>
      </c>
      <c r="F62" t="s">
        <v>15</v>
      </c>
      <c r="G62">
        <v>8606.22</v>
      </c>
      <c r="H62" s="11" t="str" cm="1">
        <f t="array" ref="H62">_xlfn.IFS(Table1[[#This Row],[age]]&lt;=30,"Young Adults",Table1[[#This Row],[age]]&lt;=45,"Adults",Table1[[#This Row],[age]]&lt;=60,"Seniors",Table1[[#This Row],[age]]&gt;=61,"Elderly")</f>
        <v>Adults</v>
      </c>
    </row>
    <row r="63" spans="1:8">
      <c r="A63">
        <v>25</v>
      </c>
      <c r="B63" t="s">
        <v>11</v>
      </c>
      <c r="C63">
        <v>33.66</v>
      </c>
      <c r="D63">
        <v>4</v>
      </c>
      <c r="E63" t="s">
        <v>12</v>
      </c>
      <c r="F63" t="s">
        <v>13</v>
      </c>
      <c r="G63">
        <v>4504.66</v>
      </c>
      <c r="H63" s="11" t="str" cm="1">
        <f t="array" ref="H63">_xlfn.IFS(Table1[[#This Row],[age]]&lt;=30,"Young Adults",Table1[[#This Row],[age]]&lt;=45,"Adults",Table1[[#This Row],[age]]&lt;=60,"Seniors",Table1[[#This Row],[age]]&gt;=61,"Elderly")</f>
        <v>Young Adults</v>
      </c>
    </row>
    <row r="64" spans="1:8">
      <c r="A64">
        <v>64</v>
      </c>
      <c r="B64" t="s">
        <v>11</v>
      </c>
      <c r="C64">
        <v>24.7</v>
      </c>
      <c r="D64">
        <v>1</v>
      </c>
      <c r="E64" t="s">
        <v>12</v>
      </c>
      <c r="F64" t="s">
        <v>14</v>
      </c>
      <c r="G64">
        <v>30166.62</v>
      </c>
      <c r="H64" s="11" t="str" cm="1">
        <f t="array" ref="H64">_xlfn.IFS(Table1[[#This Row],[age]]&lt;=30,"Young Adults",Table1[[#This Row],[age]]&lt;=45,"Adults",Table1[[#This Row],[age]]&lt;=60,"Seniors",Table1[[#This Row],[age]]&gt;=61,"Elderly")</f>
        <v>Elderly</v>
      </c>
    </row>
    <row r="65" spans="1:8">
      <c r="A65">
        <v>28</v>
      </c>
      <c r="B65" t="s">
        <v>8</v>
      </c>
      <c r="C65">
        <v>25.935</v>
      </c>
      <c r="D65">
        <v>1</v>
      </c>
      <c r="E65" t="s">
        <v>12</v>
      </c>
      <c r="F65" t="s">
        <v>14</v>
      </c>
      <c r="G65">
        <v>4133.64</v>
      </c>
      <c r="H65" s="11" t="str" cm="1">
        <f t="array" ref="H65">_xlfn.IFS(Table1[[#This Row],[age]]&lt;=30,"Young Adults",Table1[[#This Row],[age]]&lt;=45,"Adults",Table1[[#This Row],[age]]&lt;=60,"Seniors",Table1[[#This Row],[age]]&gt;=61,"Elderly")</f>
        <v>Young Adults</v>
      </c>
    </row>
    <row r="66" spans="1:8">
      <c r="A66">
        <v>20</v>
      </c>
      <c r="B66" t="s">
        <v>8</v>
      </c>
      <c r="C66">
        <v>22.42</v>
      </c>
      <c r="D66">
        <v>0</v>
      </c>
      <c r="E66" t="s">
        <v>9</v>
      </c>
      <c r="F66" t="s">
        <v>14</v>
      </c>
      <c r="G66">
        <v>14711.74</v>
      </c>
      <c r="H66" s="11" t="str" cm="1">
        <f t="array" ref="H66">_xlfn.IFS(Table1[[#This Row],[age]]&lt;=30,"Young Adults",Table1[[#This Row],[age]]&lt;=45,"Adults",Table1[[#This Row],[age]]&lt;=60,"Seniors",Table1[[#This Row],[age]]&gt;=61,"Elderly")</f>
        <v>Young Adults</v>
      </c>
    </row>
    <row r="67" spans="1:8">
      <c r="A67">
        <v>19</v>
      </c>
      <c r="B67" t="s">
        <v>8</v>
      </c>
      <c r="C67">
        <v>28.9</v>
      </c>
      <c r="D67">
        <v>0</v>
      </c>
      <c r="E67" t="s">
        <v>12</v>
      </c>
      <c r="F67" t="s">
        <v>10</v>
      </c>
      <c r="G67">
        <v>1743.21</v>
      </c>
      <c r="H67" s="11" t="str" cm="1">
        <f t="array" ref="H67">_xlfn.IFS(Table1[[#This Row],[age]]&lt;=30,"Young Adults",Table1[[#This Row],[age]]&lt;=45,"Adults",Table1[[#This Row],[age]]&lt;=60,"Seniors",Table1[[#This Row],[age]]&gt;=61,"Elderly")</f>
        <v>Young Adults</v>
      </c>
    </row>
    <row r="68" spans="1:8">
      <c r="A68">
        <v>61</v>
      </c>
      <c r="B68" t="s">
        <v>8</v>
      </c>
      <c r="C68">
        <v>39.1</v>
      </c>
      <c r="D68">
        <v>2</v>
      </c>
      <c r="E68" t="s">
        <v>12</v>
      </c>
      <c r="F68" t="s">
        <v>10</v>
      </c>
      <c r="G68">
        <v>14235.07</v>
      </c>
      <c r="H68" s="11" t="str" cm="1">
        <f t="array" ref="H68">_xlfn.IFS(Table1[[#This Row],[age]]&lt;=30,"Young Adults",Table1[[#This Row],[age]]&lt;=45,"Adults",Table1[[#This Row],[age]]&lt;=60,"Seniors",Table1[[#This Row],[age]]&gt;=61,"Elderly")</f>
        <v>Elderly</v>
      </c>
    </row>
    <row r="69" spans="1:8">
      <c r="A69">
        <v>40</v>
      </c>
      <c r="B69" t="s">
        <v>11</v>
      </c>
      <c r="C69">
        <v>26.315</v>
      </c>
      <c r="D69">
        <v>1</v>
      </c>
      <c r="E69" t="s">
        <v>12</v>
      </c>
      <c r="F69" t="s">
        <v>14</v>
      </c>
      <c r="G69">
        <v>6389.38</v>
      </c>
      <c r="H69" s="11" t="str" cm="1">
        <f t="array" ref="H69">_xlfn.IFS(Table1[[#This Row],[age]]&lt;=30,"Young Adults",Table1[[#This Row],[age]]&lt;=45,"Adults",Table1[[#This Row],[age]]&lt;=60,"Seniors",Table1[[#This Row],[age]]&gt;=61,"Elderly")</f>
        <v>Adults</v>
      </c>
    </row>
    <row r="70" spans="1:8">
      <c r="A70">
        <v>40</v>
      </c>
      <c r="B70" t="s">
        <v>8</v>
      </c>
      <c r="C70">
        <v>36.19</v>
      </c>
      <c r="D70">
        <v>0</v>
      </c>
      <c r="E70" t="s">
        <v>12</v>
      </c>
      <c r="F70" t="s">
        <v>13</v>
      </c>
      <c r="G70">
        <v>5920.1</v>
      </c>
      <c r="H70" s="11" t="str" cm="1">
        <f t="array" ref="H70">_xlfn.IFS(Table1[[#This Row],[age]]&lt;=30,"Young Adults",Table1[[#This Row],[age]]&lt;=45,"Adults",Table1[[#This Row],[age]]&lt;=60,"Seniors",Table1[[#This Row],[age]]&gt;=61,"Elderly")</f>
        <v>Adults</v>
      </c>
    </row>
    <row r="71" spans="1:8">
      <c r="A71">
        <v>28</v>
      </c>
      <c r="B71" t="s">
        <v>11</v>
      </c>
      <c r="C71">
        <v>23.98</v>
      </c>
      <c r="D71">
        <v>3</v>
      </c>
      <c r="E71" t="s">
        <v>9</v>
      </c>
      <c r="F71" t="s">
        <v>13</v>
      </c>
      <c r="G71">
        <v>17663.14</v>
      </c>
      <c r="H71" s="11" t="str" cm="1">
        <f t="array" ref="H71">_xlfn.IFS(Table1[[#This Row],[age]]&lt;=30,"Young Adults",Table1[[#This Row],[age]]&lt;=45,"Adults",Table1[[#This Row],[age]]&lt;=60,"Seniors",Table1[[#This Row],[age]]&gt;=61,"Elderly")</f>
        <v>Young Adults</v>
      </c>
    </row>
    <row r="72" spans="1:8">
      <c r="A72">
        <v>27</v>
      </c>
      <c r="B72" t="s">
        <v>8</v>
      </c>
      <c r="C72">
        <v>24.75</v>
      </c>
      <c r="D72">
        <v>0</v>
      </c>
      <c r="E72" t="s">
        <v>9</v>
      </c>
      <c r="F72" t="s">
        <v>13</v>
      </c>
      <c r="G72">
        <v>16577.78</v>
      </c>
      <c r="H72" s="11" t="str" cm="1">
        <f t="array" ref="H72">_xlfn.IFS(Table1[[#This Row],[age]]&lt;=30,"Young Adults",Table1[[#This Row],[age]]&lt;=45,"Adults",Table1[[#This Row],[age]]&lt;=60,"Seniors",Table1[[#This Row],[age]]&gt;=61,"Elderly")</f>
        <v>Young Adults</v>
      </c>
    </row>
    <row r="73" spans="1:8">
      <c r="A73">
        <v>31</v>
      </c>
      <c r="B73" t="s">
        <v>11</v>
      </c>
      <c r="C73">
        <v>28.5</v>
      </c>
      <c r="D73">
        <v>5</v>
      </c>
      <c r="E73" t="s">
        <v>12</v>
      </c>
      <c r="F73" t="s">
        <v>15</v>
      </c>
      <c r="G73">
        <v>6799.46</v>
      </c>
      <c r="H73" s="11" t="str" cm="1">
        <f t="array" ref="H73">_xlfn.IFS(Table1[[#This Row],[age]]&lt;=30,"Young Adults",Table1[[#This Row],[age]]&lt;=45,"Adults",Table1[[#This Row],[age]]&lt;=60,"Seniors",Table1[[#This Row],[age]]&gt;=61,"Elderly")</f>
        <v>Adults</v>
      </c>
    </row>
    <row r="74" spans="1:8">
      <c r="A74">
        <v>53</v>
      </c>
      <c r="B74" t="s">
        <v>8</v>
      </c>
      <c r="C74">
        <v>28.1</v>
      </c>
      <c r="D74">
        <v>3</v>
      </c>
      <c r="E74" t="s">
        <v>12</v>
      </c>
      <c r="F74" t="s">
        <v>10</v>
      </c>
      <c r="G74">
        <v>11741.73</v>
      </c>
      <c r="H74" s="11" t="str" cm="1">
        <f t="array" ref="H74">_xlfn.IFS(Table1[[#This Row],[age]]&lt;=30,"Young Adults",Table1[[#This Row],[age]]&lt;=45,"Adults",Table1[[#This Row],[age]]&lt;=60,"Seniors",Table1[[#This Row],[age]]&gt;=61,"Elderly")</f>
        <v>Seniors</v>
      </c>
    </row>
    <row r="75" spans="1:8">
      <c r="A75">
        <v>58</v>
      </c>
      <c r="B75" t="s">
        <v>11</v>
      </c>
      <c r="C75">
        <v>32.01</v>
      </c>
      <c r="D75">
        <v>1</v>
      </c>
      <c r="E75" t="s">
        <v>12</v>
      </c>
      <c r="F75" t="s">
        <v>13</v>
      </c>
      <c r="G75">
        <v>11946.63</v>
      </c>
      <c r="H75" s="11" t="str" cm="1">
        <f t="array" ref="H75">_xlfn.IFS(Table1[[#This Row],[age]]&lt;=30,"Young Adults",Table1[[#This Row],[age]]&lt;=45,"Adults",Table1[[#This Row],[age]]&lt;=60,"Seniors",Table1[[#This Row],[age]]&gt;=61,"Elderly")</f>
        <v>Seniors</v>
      </c>
    </row>
    <row r="76" spans="1:8">
      <c r="A76">
        <v>44</v>
      </c>
      <c r="B76" t="s">
        <v>11</v>
      </c>
      <c r="C76">
        <v>27.4</v>
      </c>
      <c r="D76">
        <v>2</v>
      </c>
      <c r="E76" t="s">
        <v>12</v>
      </c>
      <c r="F76" t="s">
        <v>10</v>
      </c>
      <c r="G76">
        <v>7726.85</v>
      </c>
      <c r="H76" s="11" t="str" cm="1">
        <f t="array" ref="H76">_xlfn.IFS(Table1[[#This Row],[age]]&lt;=30,"Young Adults",Table1[[#This Row],[age]]&lt;=45,"Adults",Table1[[#This Row],[age]]&lt;=60,"Seniors",Table1[[#This Row],[age]]&gt;=61,"Elderly")</f>
        <v>Adults</v>
      </c>
    </row>
    <row r="77" spans="1:8">
      <c r="A77">
        <v>57</v>
      </c>
      <c r="B77" t="s">
        <v>11</v>
      </c>
      <c r="C77">
        <v>34.01</v>
      </c>
      <c r="D77">
        <v>0</v>
      </c>
      <c r="E77" t="s">
        <v>12</v>
      </c>
      <c r="F77" t="s">
        <v>14</v>
      </c>
      <c r="G77">
        <v>11356.66</v>
      </c>
      <c r="H77" s="11" t="str" cm="1">
        <f t="array" ref="H77">_xlfn.IFS(Table1[[#This Row],[age]]&lt;=30,"Young Adults",Table1[[#This Row],[age]]&lt;=45,"Adults",Table1[[#This Row],[age]]&lt;=60,"Seniors",Table1[[#This Row],[age]]&gt;=61,"Elderly")</f>
        <v>Seniors</v>
      </c>
    </row>
    <row r="78" spans="1:8">
      <c r="A78">
        <v>29</v>
      </c>
      <c r="B78" t="s">
        <v>8</v>
      </c>
      <c r="C78">
        <v>29.59</v>
      </c>
      <c r="D78">
        <v>1</v>
      </c>
      <c r="E78" t="s">
        <v>12</v>
      </c>
      <c r="F78" t="s">
        <v>13</v>
      </c>
      <c r="G78">
        <v>3947.41</v>
      </c>
      <c r="H78" s="11" t="str" cm="1">
        <f t="array" ref="H78">_xlfn.IFS(Table1[[#This Row],[age]]&lt;=30,"Young Adults",Table1[[#This Row],[age]]&lt;=45,"Adults",Table1[[#This Row],[age]]&lt;=60,"Seniors",Table1[[#This Row],[age]]&gt;=61,"Elderly")</f>
        <v>Young Adults</v>
      </c>
    </row>
    <row r="79" spans="1:8">
      <c r="A79">
        <v>21</v>
      </c>
      <c r="B79" t="s">
        <v>11</v>
      </c>
      <c r="C79">
        <v>35.53</v>
      </c>
      <c r="D79">
        <v>0</v>
      </c>
      <c r="E79" t="s">
        <v>12</v>
      </c>
      <c r="F79" t="s">
        <v>13</v>
      </c>
      <c r="G79">
        <v>1532.47</v>
      </c>
      <c r="H79" s="11" t="str" cm="1">
        <f t="array" ref="H79">_xlfn.IFS(Table1[[#This Row],[age]]&lt;=30,"Young Adults",Table1[[#This Row],[age]]&lt;=45,"Adults",Table1[[#This Row],[age]]&lt;=60,"Seniors",Table1[[#This Row],[age]]&gt;=61,"Elderly")</f>
        <v>Young Adults</v>
      </c>
    </row>
    <row r="80" spans="1:8">
      <c r="A80">
        <v>22</v>
      </c>
      <c r="B80" t="s">
        <v>8</v>
      </c>
      <c r="C80">
        <v>39.805</v>
      </c>
      <c r="D80">
        <v>0</v>
      </c>
      <c r="E80" t="s">
        <v>12</v>
      </c>
      <c r="F80" t="s">
        <v>15</v>
      </c>
      <c r="G80">
        <v>2755.02</v>
      </c>
      <c r="H80" s="11" t="str" cm="1">
        <f t="array" ref="H80">_xlfn.IFS(Table1[[#This Row],[age]]&lt;=30,"Young Adults",Table1[[#This Row],[age]]&lt;=45,"Adults",Table1[[#This Row],[age]]&lt;=60,"Seniors",Table1[[#This Row],[age]]&gt;=61,"Elderly")</f>
        <v>Young Adults</v>
      </c>
    </row>
    <row r="81" spans="1:8">
      <c r="A81">
        <v>41</v>
      </c>
      <c r="B81" t="s">
        <v>8</v>
      </c>
      <c r="C81">
        <v>32.965</v>
      </c>
      <c r="D81">
        <v>0</v>
      </c>
      <c r="E81" t="s">
        <v>12</v>
      </c>
      <c r="F81" t="s">
        <v>14</v>
      </c>
      <c r="G81">
        <v>6571.02</v>
      </c>
      <c r="H81" s="11" t="str" cm="1">
        <f t="array" ref="H81">_xlfn.IFS(Table1[[#This Row],[age]]&lt;=30,"Young Adults",Table1[[#This Row],[age]]&lt;=45,"Adults",Table1[[#This Row],[age]]&lt;=60,"Seniors",Table1[[#This Row],[age]]&gt;=61,"Elderly")</f>
        <v>Adults</v>
      </c>
    </row>
    <row r="82" spans="1:8">
      <c r="A82">
        <v>31</v>
      </c>
      <c r="B82" t="s">
        <v>11</v>
      </c>
      <c r="C82">
        <v>26.885</v>
      </c>
      <c r="D82">
        <v>1</v>
      </c>
      <c r="E82" t="s">
        <v>12</v>
      </c>
      <c r="F82" t="s">
        <v>15</v>
      </c>
      <c r="G82">
        <v>4441.21</v>
      </c>
      <c r="H82" s="11" t="str" cm="1">
        <f t="array" ref="H82">_xlfn.IFS(Table1[[#This Row],[age]]&lt;=30,"Young Adults",Table1[[#This Row],[age]]&lt;=45,"Adults",Table1[[#This Row],[age]]&lt;=60,"Seniors",Table1[[#This Row],[age]]&gt;=61,"Elderly")</f>
        <v>Adults</v>
      </c>
    </row>
    <row r="83" spans="1:8">
      <c r="A83">
        <v>45</v>
      </c>
      <c r="B83" t="s">
        <v>8</v>
      </c>
      <c r="C83">
        <v>38.285</v>
      </c>
      <c r="D83">
        <v>0</v>
      </c>
      <c r="E83" t="s">
        <v>12</v>
      </c>
      <c r="F83" t="s">
        <v>15</v>
      </c>
      <c r="G83">
        <v>7935.29</v>
      </c>
      <c r="H83" s="11" t="str" cm="1">
        <f t="array" ref="H83">_xlfn.IFS(Table1[[#This Row],[age]]&lt;=30,"Young Adults",Table1[[#This Row],[age]]&lt;=45,"Adults",Table1[[#This Row],[age]]&lt;=60,"Seniors",Table1[[#This Row],[age]]&gt;=61,"Elderly")</f>
        <v>Adults</v>
      </c>
    </row>
    <row r="84" spans="1:8">
      <c r="A84">
        <v>22</v>
      </c>
      <c r="B84" t="s">
        <v>11</v>
      </c>
      <c r="C84">
        <v>37.62</v>
      </c>
      <c r="D84">
        <v>1</v>
      </c>
      <c r="E84" t="s">
        <v>9</v>
      </c>
      <c r="F84" t="s">
        <v>13</v>
      </c>
      <c r="G84">
        <v>37165.16</v>
      </c>
      <c r="H84" s="11" t="str" cm="1">
        <f t="array" ref="H84">_xlfn.IFS(Table1[[#This Row],[age]]&lt;=30,"Young Adults",Table1[[#This Row],[age]]&lt;=45,"Adults",Table1[[#This Row],[age]]&lt;=60,"Seniors",Table1[[#This Row],[age]]&gt;=61,"Elderly")</f>
        <v>Young Adults</v>
      </c>
    </row>
    <row r="85" spans="1:8">
      <c r="A85">
        <v>48</v>
      </c>
      <c r="B85" t="s">
        <v>8</v>
      </c>
      <c r="C85">
        <v>41.23</v>
      </c>
      <c r="D85">
        <v>4</v>
      </c>
      <c r="E85" t="s">
        <v>12</v>
      </c>
      <c r="F85" t="s">
        <v>14</v>
      </c>
      <c r="G85">
        <v>11033.66</v>
      </c>
      <c r="H85" s="11" t="str" cm="1">
        <f t="array" ref="H85">_xlfn.IFS(Table1[[#This Row],[age]]&lt;=30,"Young Adults",Table1[[#This Row],[age]]&lt;=45,"Adults",Table1[[#This Row],[age]]&lt;=60,"Seniors",Table1[[#This Row],[age]]&gt;=61,"Elderly")</f>
        <v>Seniors</v>
      </c>
    </row>
    <row r="86" spans="1:8">
      <c r="A86">
        <v>37</v>
      </c>
      <c r="B86" t="s">
        <v>8</v>
      </c>
      <c r="C86">
        <v>34.8</v>
      </c>
      <c r="D86">
        <v>2</v>
      </c>
      <c r="E86" t="s">
        <v>9</v>
      </c>
      <c r="F86" t="s">
        <v>10</v>
      </c>
      <c r="G86">
        <v>39836.52</v>
      </c>
      <c r="H86" s="11" t="str" cm="1">
        <f t="array" ref="H86">_xlfn.IFS(Table1[[#This Row],[age]]&lt;=30,"Young Adults",Table1[[#This Row],[age]]&lt;=45,"Adults",Table1[[#This Row],[age]]&lt;=60,"Seniors",Table1[[#This Row],[age]]&gt;=61,"Elderly")</f>
        <v>Adults</v>
      </c>
    </row>
    <row r="87" spans="1:8">
      <c r="A87">
        <v>45</v>
      </c>
      <c r="B87" t="s">
        <v>11</v>
      </c>
      <c r="C87">
        <v>22.895</v>
      </c>
      <c r="D87">
        <v>2</v>
      </c>
      <c r="E87" t="s">
        <v>9</v>
      </c>
      <c r="F87" t="s">
        <v>14</v>
      </c>
      <c r="G87">
        <v>21098.55</v>
      </c>
      <c r="H87" s="11" t="str" cm="1">
        <f t="array" ref="H87">_xlfn.IFS(Table1[[#This Row],[age]]&lt;=30,"Young Adults",Table1[[#This Row],[age]]&lt;=45,"Adults",Table1[[#This Row],[age]]&lt;=60,"Seniors",Table1[[#This Row],[age]]&gt;=61,"Elderly")</f>
        <v>Adults</v>
      </c>
    </row>
    <row r="88" spans="1:8">
      <c r="A88">
        <v>57</v>
      </c>
      <c r="B88" t="s">
        <v>8</v>
      </c>
      <c r="C88">
        <v>31.16</v>
      </c>
      <c r="D88">
        <v>0</v>
      </c>
      <c r="E88" t="s">
        <v>9</v>
      </c>
      <c r="F88" t="s">
        <v>14</v>
      </c>
      <c r="G88">
        <v>43578.94</v>
      </c>
      <c r="H88" s="11" t="str" cm="1">
        <f t="array" ref="H88">_xlfn.IFS(Table1[[#This Row],[age]]&lt;=30,"Young Adults",Table1[[#This Row],[age]]&lt;=45,"Adults",Table1[[#This Row],[age]]&lt;=60,"Seniors",Table1[[#This Row],[age]]&gt;=61,"Elderly")</f>
        <v>Seniors</v>
      </c>
    </row>
    <row r="89" spans="1:8">
      <c r="A89">
        <v>56</v>
      </c>
      <c r="B89" t="s">
        <v>8</v>
      </c>
      <c r="C89">
        <v>27.2</v>
      </c>
      <c r="D89">
        <v>0</v>
      </c>
      <c r="E89" t="s">
        <v>12</v>
      </c>
      <c r="F89" t="s">
        <v>10</v>
      </c>
      <c r="G89">
        <v>11073.18</v>
      </c>
      <c r="H89" s="11" t="str" cm="1">
        <f t="array" ref="H89">_xlfn.IFS(Table1[[#This Row],[age]]&lt;=30,"Young Adults",Table1[[#This Row],[age]]&lt;=45,"Adults",Table1[[#This Row],[age]]&lt;=60,"Seniors",Table1[[#This Row],[age]]&gt;=61,"Elderly")</f>
        <v>Seniors</v>
      </c>
    </row>
    <row r="90" spans="1:8">
      <c r="A90">
        <v>46</v>
      </c>
      <c r="B90" t="s">
        <v>8</v>
      </c>
      <c r="C90">
        <v>27.74</v>
      </c>
      <c r="D90">
        <v>0</v>
      </c>
      <c r="E90" t="s">
        <v>12</v>
      </c>
      <c r="F90" t="s">
        <v>14</v>
      </c>
      <c r="G90">
        <v>8026.67</v>
      </c>
      <c r="H90" s="11" t="str" cm="1">
        <f t="array" ref="H90">_xlfn.IFS(Table1[[#This Row],[age]]&lt;=30,"Young Adults",Table1[[#This Row],[age]]&lt;=45,"Adults",Table1[[#This Row],[age]]&lt;=60,"Seniors",Table1[[#This Row],[age]]&gt;=61,"Elderly")</f>
        <v>Seniors</v>
      </c>
    </row>
    <row r="91" spans="1:8">
      <c r="A91">
        <v>55</v>
      </c>
      <c r="B91" t="s">
        <v>8</v>
      </c>
      <c r="C91">
        <v>26.98</v>
      </c>
      <c r="D91">
        <v>0</v>
      </c>
      <c r="E91" t="s">
        <v>12</v>
      </c>
      <c r="F91" t="s">
        <v>14</v>
      </c>
      <c r="G91">
        <v>11082.58</v>
      </c>
      <c r="H91" s="11" t="str" cm="1">
        <f t="array" ref="H91">_xlfn.IFS(Table1[[#This Row],[age]]&lt;=30,"Young Adults",Table1[[#This Row],[age]]&lt;=45,"Adults",Table1[[#This Row],[age]]&lt;=60,"Seniors",Table1[[#This Row],[age]]&gt;=61,"Elderly")</f>
        <v>Seniors</v>
      </c>
    </row>
    <row r="92" spans="1:8">
      <c r="A92">
        <v>21</v>
      </c>
      <c r="B92" t="s">
        <v>8</v>
      </c>
      <c r="C92">
        <v>39.49</v>
      </c>
      <c r="D92">
        <v>0</v>
      </c>
      <c r="E92" t="s">
        <v>12</v>
      </c>
      <c r="F92" t="s">
        <v>13</v>
      </c>
      <c r="G92">
        <v>2026.97</v>
      </c>
      <c r="H92" s="11" t="str" cm="1">
        <f t="array" ref="H92">_xlfn.IFS(Table1[[#This Row],[age]]&lt;=30,"Young Adults",Table1[[#This Row],[age]]&lt;=45,"Adults",Table1[[#This Row],[age]]&lt;=60,"Seniors",Table1[[#This Row],[age]]&gt;=61,"Elderly")</f>
        <v>Young Adults</v>
      </c>
    </row>
    <row r="93" spans="1:8">
      <c r="A93">
        <v>53</v>
      </c>
      <c r="B93" t="s">
        <v>8</v>
      </c>
      <c r="C93">
        <v>24.795</v>
      </c>
      <c r="D93">
        <v>1</v>
      </c>
      <c r="E93" t="s">
        <v>12</v>
      </c>
      <c r="F93" t="s">
        <v>14</v>
      </c>
      <c r="G93">
        <v>10942.13</v>
      </c>
      <c r="H93" s="11" t="str" cm="1">
        <f t="array" ref="H93">_xlfn.IFS(Table1[[#This Row],[age]]&lt;=30,"Young Adults",Table1[[#This Row],[age]]&lt;=45,"Adults",Table1[[#This Row],[age]]&lt;=60,"Seniors",Table1[[#This Row],[age]]&gt;=61,"Elderly")</f>
        <v>Seniors</v>
      </c>
    </row>
    <row r="94" spans="1:8">
      <c r="A94">
        <v>59</v>
      </c>
      <c r="B94" t="s">
        <v>11</v>
      </c>
      <c r="C94">
        <v>29.83</v>
      </c>
      <c r="D94">
        <v>3</v>
      </c>
      <c r="E94" t="s">
        <v>9</v>
      </c>
      <c r="F94" t="s">
        <v>15</v>
      </c>
      <c r="G94">
        <v>30184.94</v>
      </c>
      <c r="H94" s="11" t="str" cm="1">
        <f t="array" ref="H94">_xlfn.IFS(Table1[[#This Row],[age]]&lt;=30,"Young Adults",Table1[[#This Row],[age]]&lt;=45,"Adults",Table1[[#This Row],[age]]&lt;=60,"Seniors",Table1[[#This Row],[age]]&gt;=61,"Elderly")</f>
        <v>Seniors</v>
      </c>
    </row>
    <row r="95" spans="1:8">
      <c r="A95">
        <v>35</v>
      </c>
      <c r="B95" t="s">
        <v>11</v>
      </c>
      <c r="C95">
        <v>34.77</v>
      </c>
      <c r="D95">
        <v>2</v>
      </c>
      <c r="E95" t="s">
        <v>12</v>
      </c>
      <c r="F95" t="s">
        <v>14</v>
      </c>
      <c r="G95">
        <v>5729.01</v>
      </c>
      <c r="H95" s="11" t="str" cm="1">
        <f t="array" ref="H95">_xlfn.IFS(Table1[[#This Row],[age]]&lt;=30,"Young Adults",Table1[[#This Row],[age]]&lt;=45,"Adults",Table1[[#This Row],[age]]&lt;=60,"Seniors",Table1[[#This Row],[age]]&gt;=61,"Elderly")</f>
        <v>Adults</v>
      </c>
    </row>
    <row r="96" spans="1:8">
      <c r="A96">
        <v>64</v>
      </c>
      <c r="B96" t="s">
        <v>8</v>
      </c>
      <c r="C96">
        <v>31.3</v>
      </c>
      <c r="D96">
        <v>2</v>
      </c>
      <c r="E96" t="s">
        <v>9</v>
      </c>
      <c r="F96" t="s">
        <v>10</v>
      </c>
      <c r="G96">
        <v>47291.06</v>
      </c>
      <c r="H96" s="11" t="str" cm="1">
        <f t="array" ref="H96">_xlfn.IFS(Table1[[#This Row],[age]]&lt;=30,"Young Adults",Table1[[#This Row],[age]]&lt;=45,"Adults",Table1[[#This Row],[age]]&lt;=60,"Seniors",Table1[[#This Row],[age]]&gt;=61,"Elderly")</f>
        <v>Elderly</v>
      </c>
    </row>
    <row r="97" spans="1:8">
      <c r="A97">
        <v>28</v>
      </c>
      <c r="B97" t="s">
        <v>8</v>
      </c>
      <c r="C97">
        <v>37.62</v>
      </c>
      <c r="D97">
        <v>1</v>
      </c>
      <c r="E97" t="s">
        <v>12</v>
      </c>
      <c r="F97" t="s">
        <v>13</v>
      </c>
      <c r="G97">
        <v>3766.88</v>
      </c>
      <c r="H97" s="11" t="str" cm="1">
        <f t="array" ref="H97">_xlfn.IFS(Table1[[#This Row],[age]]&lt;=30,"Young Adults",Table1[[#This Row],[age]]&lt;=45,"Adults",Table1[[#This Row],[age]]&lt;=60,"Seniors",Table1[[#This Row],[age]]&gt;=61,"Elderly")</f>
        <v>Young Adults</v>
      </c>
    </row>
    <row r="98" spans="1:8">
      <c r="A98">
        <v>54</v>
      </c>
      <c r="B98" t="s">
        <v>8</v>
      </c>
      <c r="C98">
        <v>30.8</v>
      </c>
      <c r="D98">
        <v>3</v>
      </c>
      <c r="E98" t="s">
        <v>12</v>
      </c>
      <c r="F98" t="s">
        <v>10</v>
      </c>
      <c r="G98">
        <v>12105.32</v>
      </c>
      <c r="H98" s="11" t="str" cm="1">
        <f t="array" ref="H98">_xlfn.IFS(Table1[[#This Row],[age]]&lt;=30,"Young Adults",Table1[[#This Row],[age]]&lt;=45,"Adults",Table1[[#This Row],[age]]&lt;=60,"Seniors",Table1[[#This Row],[age]]&gt;=61,"Elderly")</f>
        <v>Seniors</v>
      </c>
    </row>
    <row r="99" spans="1:8">
      <c r="A99">
        <v>55</v>
      </c>
      <c r="B99" t="s">
        <v>11</v>
      </c>
      <c r="C99">
        <v>38.28</v>
      </c>
      <c r="D99">
        <v>0</v>
      </c>
      <c r="E99" t="s">
        <v>12</v>
      </c>
      <c r="F99" t="s">
        <v>13</v>
      </c>
      <c r="G99">
        <v>10226.28</v>
      </c>
      <c r="H99" s="11" t="str" cm="1">
        <f t="array" ref="H99">_xlfn.IFS(Table1[[#This Row],[age]]&lt;=30,"Young Adults",Table1[[#This Row],[age]]&lt;=45,"Adults",Table1[[#This Row],[age]]&lt;=60,"Seniors",Table1[[#This Row],[age]]&gt;=61,"Elderly")</f>
        <v>Seniors</v>
      </c>
    </row>
    <row r="100" spans="1:8">
      <c r="A100">
        <v>56</v>
      </c>
      <c r="B100" t="s">
        <v>11</v>
      </c>
      <c r="C100">
        <v>19.95</v>
      </c>
      <c r="D100">
        <v>0</v>
      </c>
      <c r="E100" t="s">
        <v>9</v>
      </c>
      <c r="F100" t="s">
        <v>15</v>
      </c>
      <c r="G100">
        <v>22412.65</v>
      </c>
      <c r="H100" s="11" t="str" cm="1">
        <f t="array" ref="H100">_xlfn.IFS(Table1[[#This Row],[age]]&lt;=30,"Young Adults",Table1[[#This Row],[age]]&lt;=45,"Adults",Table1[[#This Row],[age]]&lt;=60,"Seniors",Table1[[#This Row],[age]]&gt;=61,"Elderly")</f>
        <v>Seniors</v>
      </c>
    </row>
    <row r="101" spans="1:8">
      <c r="A101">
        <v>38</v>
      </c>
      <c r="B101" t="s">
        <v>11</v>
      </c>
      <c r="C101">
        <v>19.3</v>
      </c>
      <c r="D101">
        <v>0</v>
      </c>
      <c r="E101" t="s">
        <v>9</v>
      </c>
      <c r="F101" t="s">
        <v>10</v>
      </c>
      <c r="G101">
        <v>15820.7</v>
      </c>
      <c r="H101" s="11" t="str" cm="1">
        <f t="array" ref="H101">_xlfn.IFS(Table1[[#This Row],[age]]&lt;=30,"Young Adults",Table1[[#This Row],[age]]&lt;=45,"Adults",Table1[[#This Row],[age]]&lt;=60,"Seniors",Table1[[#This Row],[age]]&gt;=61,"Elderly")</f>
        <v>Adults</v>
      </c>
    </row>
    <row r="102" spans="1:8">
      <c r="A102">
        <v>41</v>
      </c>
      <c r="B102" t="s">
        <v>8</v>
      </c>
      <c r="C102">
        <v>31.6</v>
      </c>
      <c r="D102">
        <v>0</v>
      </c>
      <c r="E102" t="s">
        <v>12</v>
      </c>
      <c r="F102" t="s">
        <v>10</v>
      </c>
      <c r="G102">
        <v>6186.13</v>
      </c>
      <c r="H102" s="11" t="str" cm="1">
        <f t="array" ref="H102">_xlfn.IFS(Table1[[#This Row],[age]]&lt;=30,"Young Adults",Table1[[#This Row],[age]]&lt;=45,"Adults",Table1[[#This Row],[age]]&lt;=60,"Seniors",Table1[[#This Row],[age]]&gt;=61,"Elderly")</f>
        <v>Adults</v>
      </c>
    </row>
    <row r="103" spans="1:8">
      <c r="A103">
        <v>30</v>
      </c>
      <c r="B103" t="s">
        <v>11</v>
      </c>
      <c r="C103">
        <v>25.46</v>
      </c>
      <c r="D103">
        <v>0</v>
      </c>
      <c r="E103" t="s">
        <v>12</v>
      </c>
      <c r="F103" t="s">
        <v>15</v>
      </c>
      <c r="G103">
        <v>3645.09</v>
      </c>
      <c r="H103" s="11" t="str" cm="1">
        <f t="array" ref="H103">_xlfn.IFS(Table1[[#This Row],[age]]&lt;=30,"Young Adults",Table1[[#This Row],[age]]&lt;=45,"Adults",Table1[[#This Row],[age]]&lt;=60,"Seniors",Table1[[#This Row],[age]]&gt;=61,"Elderly")</f>
        <v>Young Adults</v>
      </c>
    </row>
    <row r="104" spans="1:8">
      <c r="A104">
        <v>18</v>
      </c>
      <c r="B104" t="s">
        <v>8</v>
      </c>
      <c r="C104">
        <v>30.115</v>
      </c>
      <c r="D104">
        <v>0</v>
      </c>
      <c r="E104" t="s">
        <v>12</v>
      </c>
      <c r="F104" t="s">
        <v>15</v>
      </c>
      <c r="G104">
        <v>21344.85</v>
      </c>
      <c r="H104" s="11" t="str" cm="1">
        <f t="array" ref="H104">_xlfn.IFS(Table1[[#This Row],[age]]&lt;=30,"Young Adults",Table1[[#This Row],[age]]&lt;=45,"Adults",Table1[[#This Row],[age]]&lt;=60,"Seniors",Table1[[#This Row],[age]]&gt;=61,"Elderly")</f>
        <v>Young Adults</v>
      </c>
    </row>
    <row r="105" spans="1:8">
      <c r="A105">
        <v>61</v>
      </c>
      <c r="B105" t="s">
        <v>8</v>
      </c>
      <c r="C105">
        <v>29.92</v>
      </c>
      <c r="D105">
        <v>3</v>
      </c>
      <c r="E105" t="s">
        <v>9</v>
      </c>
      <c r="F105" t="s">
        <v>13</v>
      </c>
      <c r="G105">
        <v>30942.19</v>
      </c>
      <c r="H105" s="11" t="str" cm="1">
        <f t="array" ref="H105">_xlfn.IFS(Table1[[#This Row],[age]]&lt;=30,"Young Adults",Table1[[#This Row],[age]]&lt;=45,"Adults",Table1[[#This Row],[age]]&lt;=60,"Seniors",Table1[[#This Row],[age]]&gt;=61,"Elderly")</f>
        <v>Elderly</v>
      </c>
    </row>
    <row r="106" spans="1:8">
      <c r="A106">
        <v>34</v>
      </c>
      <c r="B106" t="s">
        <v>8</v>
      </c>
      <c r="C106">
        <v>27.5</v>
      </c>
      <c r="D106">
        <v>1</v>
      </c>
      <c r="E106" t="s">
        <v>12</v>
      </c>
      <c r="F106" t="s">
        <v>10</v>
      </c>
      <c r="G106">
        <v>5003.85</v>
      </c>
      <c r="H106" s="11" t="str" cm="1">
        <f t="array" ref="H106">_xlfn.IFS(Table1[[#This Row],[age]]&lt;=30,"Young Adults",Table1[[#This Row],[age]]&lt;=45,"Adults",Table1[[#This Row],[age]]&lt;=60,"Seniors",Table1[[#This Row],[age]]&gt;=61,"Elderly")</f>
        <v>Adults</v>
      </c>
    </row>
    <row r="107" spans="1:8">
      <c r="A107">
        <v>20</v>
      </c>
      <c r="B107" t="s">
        <v>11</v>
      </c>
      <c r="C107">
        <v>28.025</v>
      </c>
      <c r="D107">
        <v>1</v>
      </c>
      <c r="E107" t="s">
        <v>9</v>
      </c>
      <c r="F107" t="s">
        <v>14</v>
      </c>
      <c r="G107">
        <v>17560.38</v>
      </c>
      <c r="H107" s="11" t="str" cm="1">
        <f t="array" ref="H107">_xlfn.IFS(Table1[[#This Row],[age]]&lt;=30,"Young Adults",Table1[[#This Row],[age]]&lt;=45,"Adults",Table1[[#This Row],[age]]&lt;=60,"Seniors",Table1[[#This Row],[age]]&gt;=61,"Elderly")</f>
        <v>Young Adults</v>
      </c>
    </row>
    <row r="108" spans="1:8">
      <c r="A108">
        <v>19</v>
      </c>
      <c r="B108" t="s">
        <v>8</v>
      </c>
      <c r="C108">
        <v>28.4</v>
      </c>
      <c r="D108">
        <v>1</v>
      </c>
      <c r="E108" t="s">
        <v>12</v>
      </c>
      <c r="F108" t="s">
        <v>10</v>
      </c>
      <c r="G108">
        <v>2331.52</v>
      </c>
      <c r="H108" s="11" t="str" cm="1">
        <f t="array" ref="H108">_xlfn.IFS(Table1[[#This Row],[age]]&lt;=30,"Young Adults",Table1[[#This Row],[age]]&lt;=45,"Adults",Table1[[#This Row],[age]]&lt;=60,"Seniors",Table1[[#This Row],[age]]&gt;=61,"Elderly")</f>
        <v>Young Adults</v>
      </c>
    </row>
    <row r="109" spans="1:8">
      <c r="A109">
        <v>26</v>
      </c>
      <c r="B109" t="s">
        <v>11</v>
      </c>
      <c r="C109">
        <v>30.875</v>
      </c>
      <c r="D109">
        <v>2</v>
      </c>
      <c r="E109" t="s">
        <v>12</v>
      </c>
      <c r="F109" t="s">
        <v>14</v>
      </c>
      <c r="G109">
        <v>3877.3</v>
      </c>
      <c r="H109" s="11" t="str" cm="1">
        <f t="array" ref="H109">_xlfn.IFS(Table1[[#This Row],[age]]&lt;=30,"Young Adults",Table1[[#This Row],[age]]&lt;=45,"Adults",Table1[[#This Row],[age]]&lt;=60,"Seniors",Table1[[#This Row],[age]]&gt;=61,"Elderly")</f>
        <v>Young Adults</v>
      </c>
    </row>
    <row r="110" spans="1:8">
      <c r="A110">
        <v>29</v>
      </c>
      <c r="B110" t="s">
        <v>11</v>
      </c>
      <c r="C110">
        <v>27.94</v>
      </c>
      <c r="D110">
        <v>0</v>
      </c>
      <c r="E110" t="s">
        <v>12</v>
      </c>
      <c r="F110" t="s">
        <v>13</v>
      </c>
      <c r="G110">
        <v>2867.12</v>
      </c>
      <c r="H110" s="11" t="str" cm="1">
        <f t="array" ref="H110">_xlfn.IFS(Table1[[#This Row],[age]]&lt;=30,"Young Adults",Table1[[#This Row],[age]]&lt;=45,"Adults",Table1[[#This Row],[age]]&lt;=60,"Seniors",Table1[[#This Row],[age]]&gt;=61,"Elderly")</f>
        <v>Young Adults</v>
      </c>
    </row>
    <row r="111" spans="1:8">
      <c r="A111">
        <v>63</v>
      </c>
      <c r="B111" t="s">
        <v>11</v>
      </c>
      <c r="C111">
        <v>35.09</v>
      </c>
      <c r="D111">
        <v>0</v>
      </c>
      <c r="E111" t="s">
        <v>9</v>
      </c>
      <c r="F111" t="s">
        <v>13</v>
      </c>
      <c r="G111">
        <v>47055.53</v>
      </c>
      <c r="H111" s="11" t="str" cm="1">
        <f t="array" ref="H111">_xlfn.IFS(Table1[[#This Row],[age]]&lt;=30,"Young Adults",Table1[[#This Row],[age]]&lt;=45,"Adults",Table1[[#This Row],[age]]&lt;=60,"Seniors",Table1[[#This Row],[age]]&gt;=61,"Elderly")</f>
        <v>Elderly</v>
      </c>
    </row>
    <row r="112" spans="1:8">
      <c r="A112">
        <v>54</v>
      </c>
      <c r="B112" t="s">
        <v>11</v>
      </c>
      <c r="C112">
        <v>33.63</v>
      </c>
      <c r="D112">
        <v>1</v>
      </c>
      <c r="E112" t="s">
        <v>12</v>
      </c>
      <c r="F112" t="s">
        <v>14</v>
      </c>
      <c r="G112">
        <v>10825.25</v>
      </c>
      <c r="H112" s="11" t="str" cm="1">
        <f t="array" ref="H112">_xlfn.IFS(Table1[[#This Row],[age]]&lt;=30,"Young Adults",Table1[[#This Row],[age]]&lt;=45,"Adults",Table1[[#This Row],[age]]&lt;=60,"Seniors",Table1[[#This Row],[age]]&gt;=61,"Elderly")</f>
        <v>Seniors</v>
      </c>
    </row>
    <row r="113" spans="1:8">
      <c r="A113">
        <v>55</v>
      </c>
      <c r="B113" t="s">
        <v>8</v>
      </c>
      <c r="C113">
        <v>29.7</v>
      </c>
      <c r="D113">
        <v>2</v>
      </c>
      <c r="E113" t="s">
        <v>12</v>
      </c>
      <c r="F113" t="s">
        <v>10</v>
      </c>
      <c r="G113">
        <v>11881.36</v>
      </c>
      <c r="H113" s="11" t="str" cm="1">
        <f t="array" ref="H113">_xlfn.IFS(Table1[[#This Row],[age]]&lt;=30,"Young Adults",Table1[[#This Row],[age]]&lt;=45,"Adults",Table1[[#This Row],[age]]&lt;=60,"Seniors",Table1[[#This Row],[age]]&gt;=61,"Elderly")</f>
        <v>Seniors</v>
      </c>
    </row>
    <row r="114" spans="1:8">
      <c r="A114">
        <v>37</v>
      </c>
      <c r="B114" t="s">
        <v>11</v>
      </c>
      <c r="C114">
        <v>30.8</v>
      </c>
      <c r="D114">
        <v>0</v>
      </c>
      <c r="E114" t="s">
        <v>12</v>
      </c>
      <c r="F114" t="s">
        <v>10</v>
      </c>
      <c r="G114">
        <v>4646.76</v>
      </c>
      <c r="H114" s="11" t="str" cm="1">
        <f t="array" ref="H114">_xlfn.IFS(Table1[[#This Row],[age]]&lt;=30,"Young Adults",Table1[[#This Row],[age]]&lt;=45,"Adults",Table1[[#This Row],[age]]&lt;=60,"Seniors",Table1[[#This Row],[age]]&gt;=61,"Elderly")</f>
        <v>Adults</v>
      </c>
    </row>
    <row r="115" spans="1:8">
      <c r="A115">
        <v>21</v>
      </c>
      <c r="B115" t="s">
        <v>8</v>
      </c>
      <c r="C115">
        <v>35.72</v>
      </c>
      <c r="D115">
        <v>0</v>
      </c>
      <c r="E115" t="s">
        <v>12</v>
      </c>
      <c r="F115" t="s">
        <v>14</v>
      </c>
      <c r="G115">
        <v>2404.73</v>
      </c>
      <c r="H115" s="11" t="str" cm="1">
        <f t="array" ref="H115">_xlfn.IFS(Table1[[#This Row],[age]]&lt;=30,"Young Adults",Table1[[#This Row],[age]]&lt;=45,"Adults",Table1[[#This Row],[age]]&lt;=60,"Seniors",Table1[[#This Row],[age]]&gt;=61,"Elderly")</f>
        <v>Young Adults</v>
      </c>
    </row>
    <row r="116" spans="1:8">
      <c r="A116">
        <v>52</v>
      </c>
      <c r="B116" t="s">
        <v>11</v>
      </c>
      <c r="C116">
        <v>32.205</v>
      </c>
      <c r="D116">
        <v>3</v>
      </c>
      <c r="E116" t="s">
        <v>12</v>
      </c>
      <c r="F116" t="s">
        <v>15</v>
      </c>
      <c r="G116">
        <v>11488.32</v>
      </c>
      <c r="H116" s="11" t="str" cm="1">
        <f t="array" ref="H116">_xlfn.IFS(Table1[[#This Row],[age]]&lt;=30,"Young Adults",Table1[[#This Row],[age]]&lt;=45,"Adults",Table1[[#This Row],[age]]&lt;=60,"Seniors",Table1[[#This Row],[age]]&gt;=61,"Elderly")</f>
        <v>Seniors</v>
      </c>
    </row>
    <row r="117" spans="1:8">
      <c r="A117">
        <v>60</v>
      </c>
      <c r="B117" t="s">
        <v>11</v>
      </c>
      <c r="C117">
        <v>28.595</v>
      </c>
      <c r="D117">
        <v>0</v>
      </c>
      <c r="E117" t="s">
        <v>12</v>
      </c>
      <c r="F117" t="s">
        <v>15</v>
      </c>
      <c r="G117">
        <v>30260</v>
      </c>
      <c r="H117" s="11" t="str" cm="1">
        <f t="array" ref="H117">_xlfn.IFS(Table1[[#This Row],[age]]&lt;=30,"Young Adults",Table1[[#This Row],[age]]&lt;=45,"Adults",Table1[[#This Row],[age]]&lt;=60,"Seniors",Table1[[#This Row],[age]]&gt;=61,"Elderly")</f>
        <v>Seniors</v>
      </c>
    </row>
    <row r="118" spans="1:8">
      <c r="A118">
        <v>58</v>
      </c>
      <c r="B118" t="s">
        <v>11</v>
      </c>
      <c r="C118">
        <v>49.06</v>
      </c>
      <c r="D118">
        <v>0</v>
      </c>
      <c r="E118" t="s">
        <v>12</v>
      </c>
      <c r="F118" t="s">
        <v>13</v>
      </c>
      <c r="G118">
        <v>11381.33</v>
      </c>
      <c r="H118" s="11" t="str" cm="1">
        <f t="array" ref="H118">_xlfn.IFS(Table1[[#This Row],[age]]&lt;=30,"Young Adults",Table1[[#This Row],[age]]&lt;=45,"Adults",Table1[[#This Row],[age]]&lt;=60,"Seniors",Table1[[#This Row],[age]]&gt;=61,"Elderly")</f>
        <v>Seniors</v>
      </c>
    </row>
    <row r="119" spans="1:8">
      <c r="A119">
        <v>29</v>
      </c>
      <c r="B119" t="s">
        <v>8</v>
      </c>
      <c r="C119">
        <v>27.94</v>
      </c>
      <c r="D119">
        <v>1</v>
      </c>
      <c r="E119" t="s">
        <v>9</v>
      </c>
      <c r="F119" t="s">
        <v>13</v>
      </c>
      <c r="G119">
        <v>19107.78</v>
      </c>
      <c r="H119" s="11" t="str" cm="1">
        <f t="array" ref="H119">_xlfn.IFS(Table1[[#This Row],[age]]&lt;=30,"Young Adults",Table1[[#This Row],[age]]&lt;=45,"Adults",Table1[[#This Row],[age]]&lt;=60,"Seniors",Table1[[#This Row],[age]]&gt;=61,"Elderly")</f>
        <v>Young Adults</v>
      </c>
    </row>
    <row r="120" spans="1:8">
      <c r="A120">
        <v>49</v>
      </c>
      <c r="B120" t="s">
        <v>8</v>
      </c>
      <c r="C120">
        <v>27.17</v>
      </c>
      <c r="D120">
        <v>0</v>
      </c>
      <c r="E120" t="s">
        <v>12</v>
      </c>
      <c r="F120" t="s">
        <v>13</v>
      </c>
      <c r="G120">
        <v>8601.33</v>
      </c>
      <c r="H120" s="11" t="str" cm="1">
        <f t="array" ref="H120">_xlfn.IFS(Table1[[#This Row],[age]]&lt;=30,"Young Adults",Table1[[#This Row],[age]]&lt;=45,"Adults",Table1[[#This Row],[age]]&lt;=60,"Seniors",Table1[[#This Row],[age]]&gt;=61,"Elderly")</f>
        <v>Seniors</v>
      </c>
    </row>
    <row r="121" spans="1:8">
      <c r="A121">
        <v>37</v>
      </c>
      <c r="B121" t="s">
        <v>8</v>
      </c>
      <c r="C121">
        <v>23.37</v>
      </c>
      <c r="D121">
        <v>2</v>
      </c>
      <c r="E121" t="s">
        <v>12</v>
      </c>
      <c r="F121" t="s">
        <v>14</v>
      </c>
      <c r="G121">
        <v>6686.43</v>
      </c>
      <c r="H121" s="11" t="str" cm="1">
        <f t="array" ref="H121">_xlfn.IFS(Table1[[#This Row],[age]]&lt;=30,"Young Adults",Table1[[#This Row],[age]]&lt;=45,"Adults",Table1[[#This Row],[age]]&lt;=60,"Seniors",Table1[[#This Row],[age]]&gt;=61,"Elderly")</f>
        <v>Adults</v>
      </c>
    </row>
    <row r="122" spans="1:8">
      <c r="A122">
        <v>44</v>
      </c>
      <c r="B122" t="s">
        <v>11</v>
      </c>
      <c r="C122">
        <v>37.1</v>
      </c>
      <c r="D122">
        <v>2</v>
      </c>
      <c r="E122" t="s">
        <v>12</v>
      </c>
      <c r="F122" t="s">
        <v>10</v>
      </c>
      <c r="G122">
        <v>7740.34</v>
      </c>
      <c r="H122" s="11" t="str" cm="1">
        <f t="array" ref="H122">_xlfn.IFS(Table1[[#This Row],[age]]&lt;=30,"Young Adults",Table1[[#This Row],[age]]&lt;=45,"Adults",Table1[[#This Row],[age]]&lt;=60,"Seniors",Table1[[#This Row],[age]]&gt;=61,"Elderly")</f>
        <v>Adults</v>
      </c>
    </row>
    <row r="123" spans="1:8">
      <c r="A123">
        <v>18</v>
      </c>
      <c r="B123" t="s">
        <v>11</v>
      </c>
      <c r="C123">
        <v>23.75</v>
      </c>
      <c r="D123">
        <v>0</v>
      </c>
      <c r="E123" t="s">
        <v>12</v>
      </c>
      <c r="F123" t="s">
        <v>15</v>
      </c>
      <c r="G123">
        <v>1705.62</v>
      </c>
      <c r="H123" s="11" t="str" cm="1">
        <f t="array" ref="H123">_xlfn.IFS(Table1[[#This Row],[age]]&lt;=30,"Young Adults",Table1[[#This Row],[age]]&lt;=45,"Adults",Table1[[#This Row],[age]]&lt;=60,"Seniors",Table1[[#This Row],[age]]&gt;=61,"Elderly")</f>
        <v>Young Adults</v>
      </c>
    </row>
    <row r="124" spans="1:8">
      <c r="A124">
        <v>20</v>
      </c>
      <c r="B124" t="s">
        <v>8</v>
      </c>
      <c r="C124">
        <v>28.975</v>
      </c>
      <c r="D124">
        <v>0</v>
      </c>
      <c r="E124" t="s">
        <v>12</v>
      </c>
      <c r="F124" t="s">
        <v>14</v>
      </c>
      <c r="G124">
        <v>2257.48</v>
      </c>
      <c r="H124" s="11" t="str" cm="1">
        <f t="array" ref="H124">_xlfn.IFS(Table1[[#This Row],[age]]&lt;=30,"Young Adults",Table1[[#This Row],[age]]&lt;=45,"Adults",Table1[[#This Row],[age]]&lt;=60,"Seniors",Table1[[#This Row],[age]]&gt;=61,"Elderly")</f>
        <v>Young Adults</v>
      </c>
    </row>
    <row r="125" spans="1:8">
      <c r="A125">
        <v>44</v>
      </c>
      <c r="B125" t="s">
        <v>11</v>
      </c>
      <c r="C125">
        <v>31.35</v>
      </c>
      <c r="D125">
        <v>1</v>
      </c>
      <c r="E125" t="s">
        <v>9</v>
      </c>
      <c r="F125" t="s">
        <v>15</v>
      </c>
      <c r="G125">
        <v>39556.49</v>
      </c>
      <c r="H125" s="11" t="str" cm="1">
        <f t="array" ref="H125">_xlfn.IFS(Table1[[#This Row],[age]]&lt;=30,"Young Adults",Table1[[#This Row],[age]]&lt;=45,"Adults",Table1[[#This Row],[age]]&lt;=60,"Seniors",Table1[[#This Row],[age]]&gt;=61,"Elderly")</f>
        <v>Adults</v>
      </c>
    </row>
    <row r="126" spans="1:8">
      <c r="A126">
        <v>47</v>
      </c>
      <c r="B126" t="s">
        <v>8</v>
      </c>
      <c r="C126">
        <v>33.915</v>
      </c>
      <c r="D126">
        <v>3</v>
      </c>
      <c r="E126" t="s">
        <v>12</v>
      </c>
      <c r="F126" t="s">
        <v>14</v>
      </c>
      <c r="G126">
        <v>10115.01</v>
      </c>
      <c r="H126" s="11" t="str" cm="1">
        <f t="array" ref="H126">_xlfn.IFS(Table1[[#This Row],[age]]&lt;=30,"Young Adults",Table1[[#This Row],[age]]&lt;=45,"Adults",Table1[[#This Row],[age]]&lt;=60,"Seniors",Table1[[#This Row],[age]]&gt;=61,"Elderly")</f>
        <v>Seniors</v>
      </c>
    </row>
    <row r="127" spans="1:8">
      <c r="A127">
        <v>26</v>
      </c>
      <c r="B127" t="s">
        <v>8</v>
      </c>
      <c r="C127">
        <v>28.785</v>
      </c>
      <c r="D127">
        <v>0</v>
      </c>
      <c r="E127" t="s">
        <v>12</v>
      </c>
      <c r="F127" t="s">
        <v>15</v>
      </c>
      <c r="G127">
        <v>3385.4</v>
      </c>
      <c r="H127" s="11" t="str" cm="1">
        <f t="array" ref="H127">_xlfn.IFS(Table1[[#This Row],[age]]&lt;=30,"Young Adults",Table1[[#This Row],[age]]&lt;=45,"Adults",Table1[[#This Row],[age]]&lt;=60,"Seniors",Table1[[#This Row],[age]]&gt;=61,"Elderly")</f>
        <v>Young Adults</v>
      </c>
    </row>
    <row r="128" spans="1:8">
      <c r="A128">
        <v>19</v>
      </c>
      <c r="B128" t="s">
        <v>8</v>
      </c>
      <c r="C128">
        <v>28.3</v>
      </c>
      <c r="D128">
        <v>0</v>
      </c>
      <c r="E128" t="s">
        <v>9</v>
      </c>
      <c r="F128" t="s">
        <v>10</v>
      </c>
      <c r="G128">
        <v>17081.08</v>
      </c>
      <c r="H128" s="11" t="str" cm="1">
        <f t="array" ref="H128">_xlfn.IFS(Table1[[#This Row],[age]]&lt;=30,"Young Adults",Table1[[#This Row],[age]]&lt;=45,"Adults",Table1[[#This Row],[age]]&lt;=60,"Seniors",Table1[[#This Row],[age]]&gt;=61,"Elderly")</f>
        <v>Young Adults</v>
      </c>
    </row>
    <row r="129" spans="1:8">
      <c r="A129">
        <v>52</v>
      </c>
      <c r="B129" t="s">
        <v>8</v>
      </c>
      <c r="C129">
        <v>37.4</v>
      </c>
      <c r="D129">
        <v>0</v>
      </c>
      <c r="E129" t="s">
        <v>12</v>
      </c>
      <c r="F129" t="s">
        <v>10</v>
      </c>
      <c r="G129">
        <v>9634.54</v>
      </c>
      <c r="H129" s="11" t="str" cm="1">
        <f t="array" ref="H129">_xlfn.IFS(Table1[[#This Row],[age]]&lt;=30,"Young Adults",Table1[[#This Row],[age]]&lt;=45,"Adults",Table1[[#This Row],[age]]&lt;=60,"Seniors",Table1[[#This Row],[age]]&gt;=61,"Elderly")</f>
        <v>Seniors</v>
      </c>
    </row>
    <row r="130" spans="1:8">
      <c r="A130">
        <v>32</v>
      </c>
      <c r="B130" t="s">
        <v>8</v>
      </c>
      <c r="C130">
        <v>17.765</v>
      </c>
      <c r="D130">
        <v>2</v>
      </c>
      <c r="E130" t="s">
        <v>9</v>
      </c>
      <c r="F130" t="s">
        <v>14</v>
      </c>
      <c r="G130">
        <v>32734.19</v>
      </c>
      <c r="H130" s="11" t="str" cm="1">
        <f t="array" ref="H130">_xlfn.IFS(Table1[[#This Row],[age]]&lt;=30,"Young Adults",Table1[[#This Row],[age]]&lt;=45,"Adults",Table1[[#This Row],[age]]&lt;=60,"Seniors",Table1[[#This Row],[age]]&gt;=61,"Elderly")</f>
        <v>Adults</v>
      </c>
    </row>
    <row r="131" spans="1:8">
      <c r="A131">
        <v>38</v>
      </c>
      <c r="B131" t="s">
        <v>11</v>
      </c>
      <c r="C131">
        <v>34.7</v>
      </c>
      <c r="D131">
        <v>2</v>
      </c>
      <c r="E131" t="s">
        <v>12</v>
      </c>
      <c r="F131" t="s">
        <v>10</v>
      </c>
      <c r="G131">
        <v>6082.41</v>
      </c>
      <c r="H131" s="11" t="str" cm="1">
        <f t="array" ref="H131">_xlfn.IFS(Table1[[#This Row],[age]]&lt;=30,"Young Adults",Table1[[#This Row],[age]]&lt;=45,"Adults",Table1[[#This Row],[age]]&lt;=60,"Seniors",Table1[[#This Row],[age]]&gt;=61,"Elderly")</f>
        <v>Adults</v>
      </c>
    </row>
    <row r="132" spans="1:8">
      <c r="A132">
        <v>59</v>
      </c>
      <c r="B132" t="s">
        <v>8</v>
      </c>
      <c r="C132">
        <v>26.505</v>
      </c>
      <c r="D132">
        <v>0</v>
      </c>
      <c r="E132" t="s">
        <v>12</v>
      </c>
      <c r="F132" t="s">
        <v>15</v>
      </c>
      <c r="G132">
        <v>12815.44</v>
      </c>
      <c r="H132" s="11" t="str" cm="1">
        <f t="array" ref="H132">_xlfn.IFS(Table1[[#This Row],[age]]&lt;=30,"Young Adults",Table1[[#This Row],[age]]&lt;=45,"Adults",Table1[[#This Row],[age]]&lt;=60,"Seniors",Table1[[#This Row],[age]]&gt;=61,"Elderly")</f>
        <v>Seniors</v>
      </c>
    </row>
    <row r="133" spans="1:8">
      <c r="A133">
        <v>61</v>
      </c>
      <c r="B133" t="s">
        <v>8</v>
      </c>
      <c r="C133">
        <v>22.04</v>
      </c>
      <c r="D133">
        <v>0</v>
      </c>
      <c r="E133" t="s">
        <v>12</v>
      </c>
      <c r="F133" t="s">
        <v>15</v>
      </c>
      <c r="G133">
        <v>13616.36</v>
      </c>
      <c r="H133" s="11" t="str" cm="1">
        <f t="array" ref="H133">_xlfn.IFS(Table1[[#This Row],[age]]&lt;=30,"Young Adults",Table1[[#This Row],[age]]&lt;=45,"Adults",Table1[[#This Row],[age]]&lt;=60,"Seniors",Table1[[#This Row],[age]]&gt;=61,"Elderly")</f>
        <v>Elderly</v>
      </c>
    </row>
    <row r="134" spans="1:8">
      <c r="A134">
        <v>53</v>
      </c>
      <c r="B134" t="s">
        <v>8</v>
      </c>
      <c r="C134">
        <v>35.9</v>
      </c>
      <c r="D134">
        <v>2</v>
      </c>
      <c r="E134" t="s">
        <v>12</v>
      </c>
      <c r="F134" t="s">
        <v>10</v>
      </c>
      <c r="G134">
        <v>11163.57</v>
      </c>
      <c r="H134" s="11" t="str" cm="1">
        <f t="array" ref="H134">_xlfn.IFS(Table1[[#This Row],[age]]&lt;=30,"Young Adults",Table1[[#This Row],[age]]&lt;=45,"Adults",Table1[[#This Row],[age]]&lt;=60,"Seniors",Table1[[#This Row],[age]]&gt;=61,"Elderly")</f>
        <v>Seniors</v>
      </c>
    </row>
    <row r="135" spans="1:8">
      <c r="A135">
        <v>19</v>
      </c>
      <c r="B135" t="s">
        <v>11</v>
      </c>
      <c r="C135">
        <v>25.555</v>
      </c>
      <c r="D135">
        <v>0</v>
      </c>
      <c r="E135" t="s">
        <v>12</v>
      </c>
      <c r="F135" t="s">
        <v>14</v>
      </c>
      <c r="G135">
        <v>1632.56</v>
      </c>
      <c r="H135" s="11" t="str" cm="1">
        <f t="array" ref="H135">_xlfn.IFS(Table1[[#This Row],[age]]&lt;=30,"Young Adults",Table1[[#This Row],[age]]&lt;=45,"Adults",Table1[[#This Row],[age]]&lt;=60,"Seniors",Table1[[#This Row],[age]]&gt;=61,"Elderly")</f>
        <v>Young Adults</v>
      </c>
    </row>
    <row r="136" spans="1:8">
      <c r="A136">
        <v>20</v>
      </c>
      <c r="B136" t="s">
        <v>8</v>
      </c>
      <c r="C136">
        <v>28.785</v>
      </c>
      <c r="D136">
        <v>0</v>
      </c>
      <c r="E136" t="s">
        <v>12</v>
      </c>
      <c r="F136" t="s">
        <v>15</v>
      </c>
      <c r="G136">
        <v>2457.21</v>
      </c>
      <c r="H136" s="11" t="str" cm="1">
        <f t="array" ref="H136">_xlfn.IFS(Table1[[#This Row],[age]]&lt;=30,"Young Adults",Table1[[#This Row],[age]]&lt;=45,"Adults",Table1[[#This Row],[age]]&lt;=60,"Seniors",Table1[[#This Row],[age]]&gt;=61,"Elderly")</f>
        <v>Young Adults</v>
      </c>
    </row>
    <row r="137" spans="1:8">
      <c r="A137">
        <v>22</v>
      </c>
      <c r="B137" t="s">
        <v>8</v>
      </c>
      <c r="C137">
        <v>28.05</v>
      </c>
      <c r="D137">
        <v>0</v>
      </c>
      <c r="E137" t="s">
        <v>12</v>
      </c>
      <c r="F137" t="s">
        <v>13</v>
      </c>
      <c r="G137">
        <v>2155.68</v>
      </c>
      <c r="H137" s="11" t="str" cm="1">
        <f t="array" ref="H137">_xlfn.IFS(Table1[[#This Row],[age]]&lt;=30,"Young Adults",Table1[[#This Row],[age]]&lt;=45,"Adults",Table1[[#This Row],[age]]&lt;=60,"Seniors",Table1[[#This Row],[age]]&gt;=61,"Elderly")</f>
        <v>Young Adults</v>
      </c>
    </row>
    <row r="138" spans="1:8">
      <c r="A138">
        <v>19</v>
      </c>
      <c r="B138" t="s">
        <v>11</v>
      </c>
      <c r="C138">
        <v>34.1</v>
      </c>
      <c r="D138">
        <v>0</v>
      </c>
      <c r="E138" t="s">
        <v>12</v>
      </c>
      <c r="F138" t="s">
        <v>10</v>
      </c>
      <c r="G138">
        <v>1261.44</v>
      </c>
      <c r="H138" s="11" t="str" cm="1">
        <f t="array" ref="H138">_xlfn.IFS(Table1[[#This Row],[age]]&lt;=30,"Young Adults",Table1[[#This Row],[age]]&lt;=45,"Adults",Table1[[#This Row],[age]]&lt;=60,"Seniors",Table1[[#This Row],[age]]&gt;=61,"Elderly")</f>
        <v>Young Adults</v>
      </c>
    </row>
    <row r="139" spans="1:8">
      <c r="A139">
        <v>22</v>
      </c>
      <c r="B139" t="s">
        <v>11</v>
      </c>
      <c r="C139">
        <v>25.175</v>
      </c>
      <c r="D139">
        <v>0</v>
      </c>
      <c r="E139" t="s">
        <v>12</v>
      </c>
      <c r="F139" t="s">
        <v>14</v>
      </c>
      <c r="G139">
        <v>2045.69</v>
      </c>
      <c r="H139" s="11" t="str" cm="1">
        <f t="array" ref="H139">_xlfn.IFS(Table1[[#This Row],[age]]&lt;=30,"Young Adults",Table1[[#This Row],[age]]&lt;=45,"Adults",Table1[[#This Row],[age]]&lt;=60,"Seniors",Table1[[#This Row],[age]]&gt;=61,"Elderly")</f>
        <v>Young Adults</v>
      </c>
    </row>
    <row r="140" spans="1:8">
      <c r="A140">
        <v>54</v>
      </c>
      <c r="B140" t="s">
        <v>8</v>
      </c>
      <c r="C140">
        <v>31.9</v>
      </c>
      <c r="D140">
        <v>3</v>
      </c>
      <c r="E140" t="s">
        <v>12</v>
      </c>
      <c r="F140" t="s">
        <v>13</v>
      </c>
      <c r="G140">
        <v>27322.73</v>
      </c>
      <c r="H140" s="11" t="str" cm="1">
        <f t="array" ref="H140">_xlfn.IFS(Table1[[#This Row],[age]]&lt;=30,"Young Adults",Table1[[#This Row],[age]]&lt;=45,"Adults",Table1[[#This Row],[age]]&lt;=60,"Seniors",Table1[[#This Row],[age]]&gt;=61,"Elderly")</f>
        <v>Seniors</v>
      </c>
    </row>
    <row r="141" spans="1:8">
      <c r="A141">
        <v>22</v>
      </c>
      <c r="B141" t="s">
        <v>8</v>
      </c>
      <c r="C141">
        <v>36</v>
      </c>
      <c r="D141">
        <v>0</v>
      </c>
      <c r="E141" t="s">
        <v>12</v>
      </c>
      <c r="F141" t="s">
        <v>10</v>
      </c>
      <c r="G141">
        <v>2166.73</v>
      </c>
      <c r="H141" s="11" t="str" cm="1">
        <f t="array" ref="H141">_xlfn.IFS(Table1[[#This Row],[age]]&lt;=30,"Young Adults",Table1[[#This Row],[age]]&lt;=45,"Adults",Table1[[#This Row],[age]]&lt;=60,"Seniors",Table1[[#This Row],[age]]&gt;=61,"Elderly")</f>
        <v>Young Adults</v>
      </c>
    </row>
    <row r="142" spans="1:8">
      <c r="A142">
        <v>34</v>
      </c>
      <c r="B142" t="s">
        <v>11</v>
      </c>
      <c r="C142">
        <v>22.42</v>
      </c>
      <c r="D142">
        <v>2</v>
      </c>
      <c r="E142" t="s">
        <v>12</v>
      </c>
      <c r="F142" t="s">
        <v>15</v>
      </c>
      <c r="G142">
        <v>27375.9</v>
      </c>
      <c r="H142" s="11" t="str" cm="1">
        <f t="array" ref="H142">_xlfn.IFS(Table1[[#This Row],[age]]&lt;=30,"Young Adults",Table1[[#This Row],[age]]&lt;=45,"Adults",Table1[[#This Row],[age]]&lt;=60,"Seniors",Table1[[#This Row],[age]]&gt;=61,"Elderly")</f>
        <v>Adults</v>
      </c>
    </row>
    <row r="143" spans="1:8">
      <c r="A143">
        <v>26</v>
      </c>
      <c r="B143" t="s">
        <v>11</v>
      </c>
      <c r="C143">
        <v>32.49</v>
      </c>
      <c r="D143">
        <v>1</v>
      </c>
      <c r="E143" t="s">
        <v>12</v>
      </c>
      <c r="F143" t="s">
        <v>15</v>
      </c>
      <c r="G143">
        <v>3490.55</v>
      </c>
      <c r="H143" s="11" t="str" cm="1">
        <f t="array" ref="H143">_xlfn.IFS(Table1[[#This Row],[age]]&lt;=30,"Young Adults",Table1[[#This Row],[age]]&lt;=45,"Adults",Table1[[#This Row],[age]]&lt;=60,"Seniors",Table1[[#This Row],[age]]&gt;=61,"Elderly")</f>
        <v>Young Adults</v>
      </c>
    </row>
    <row r="144" spans="1:8">
      <c r="A144">
        <v>34</v>
      </c>
      <c r="B144" t="s">
        <v>11</v>
      </c>
      <c r="C144">
        <v>25.3</v>
      </c>
      <c r="D144">
        <v>2</v>
      </c>
      <c r="E144" t="s">
        <v>9</v>
      </c>
      <c r="F144" t="s">
        <v>13</v>
      </c>
      <c r="G144">
        <v>18972.5</v>
      </c>
      <c r="H144" s="11" t="str" cm="1">
        <f t="array" ref="H144">_xlfn.IFS(Table1[[#This Row],[age]]&lt;=30,"Young Adults",Table1[[#This Row],[age]]&lt;=45,"Adults",Table1[[#This Row],[age]]&lt;=60,"Seniors",Table1[[#This Row],[age]]&gt;=61,"Elderly")</f>
        <v>Adults</v>
      </c>
    </row>
    <row r="145" spans="1:8">
      <c r="A145">
        <v>29</v>
      </c>
      <c r="B145" t="s">
        <v>11</v>
      </c>
      <c r="C145">
        <v>29.735</v>
      </c>
      <c r="D145">
        <v>2</v>
      </c>
      <c r="E145" t="s">
        <v>12</v>
      </c>
      <c r="F145" t="s">
        <v>14</v>
      </c>
      <c r="G145">
        <v>18157.88</v>
      </c>
      <c r="H145" s="11" t="str" cm="1">
        <f t="array" ref="H145">_xlfn.IFS(Table1[[#This Row],[age]]&lt;=30,"Young Adults",Table1[[#This Row],[age]]&lt;=45,"Adults",Table1[[#This Row],[age]]&lt;=60,"Seniors",Table1[[#This Row],[age]]&gt;=61,"Elderly")</f>
        <v>Young Adults</v>
      </c>
    </row>
    <row r="146" spans="1:8">
      <c r="A146">
        <v>30</v>
      </c>
      <c r="B146" t="s">
        <v>11</v>
      </c>
      <c r="C146">
        <v>28.69</v>
      </c>
      <c r="D146">
        <v>3</v>
      </c>
      <c r="E146" t="s">
        <v>9</v>
      </c>
      <c r="F146" t="s">
        <v>14</v>
      </c>
      <c r="G146">
        <v>20745.99</v>
      </c>
      <c r="H146" s="11" t="str" cm="1">
        <f t="array" ref="H146">_xlfn.IFS(Table1[[#This Row],[age]]&lt;=30,"Young Adults",Table1[[#This Row],[age]]&lt;=45,"Adults",Table1[[#This Row],[age]]&lt;=60,"Seniors",Table1[[#This Row],[age]]&gt;=61,"Elderly")</f>
        <v>Young Adults</v>
      </c>
    </row>
    <row r="147" spans="1:8">
      <c r="A147">
        <v>29</v>
      </c>
      <c r="B147" t="s">
        <v>8</v>
      </c>
      <c r="C147">
        <v>38.83</v>
      </c>
      <c r="D147">
        <v>3</v>
      </c>
      <c r="E147" t="s">
        <v>12</v>
      </c>
      <c r="F147" t="s">
        <v>13</v>
      </c>
      <c r="G147">
        <v>5138.26</v>
      </c>
      <c r="H147" s="11" t="str" cm="1">
        <f t="array" ref="H147">_xlfn.IFS(Table1[[#This Row],[age]]&lt;=30,"Young Adults",Table1[[#This Row],[age]]&lt;=45,"Adults",Table1[[#This Row],[age]]&lt;=60,"Seniors",Table1[[#This Row],[age]]&gt;=61,"Elderly")</f>
        <v>Young Adults</v>
      </c>
    </row>
    <row r="148" spans="1:8">
      <c r="A148">
        <v>46</v>
      </c>
      <c r="B148" t="s">
        <v>11</v>
      </c>
      <c r="C148">
        <v>30.495</v>
      </c>
      <c r="D148">
        <v>3</v>
      </c>
      <c r="E148" t="s">
        <v>9</v>
      </c>
      <c r="F148" t="s">
        <v>14</v>
      </c>
      <c r="G148">
        <v>40720.55</v>
      </c>
      <c r="H148" s="11" t="str" cm="1">
        <f t="array" ref="H148">_xlfn.IFS(Table1[[#This Row],[age]]&lt;=30,"Young Adults",Table1[[#This Row],[age]]&lt;=45,"Adults",Table1[[#This Row],[age]]&lt;=60,"Seniors",Table1[[#This Row],[age]]&gt;=61,"Elderly")</f>
        <v>Seniors</v>
      </c>
    </row>
    <row r="149" spans="1:8">
      <c r="A149">
        <v>51</v>
      </c>
      <c r="B149" t="s">
        <v>8</v>
      </c>
      <c r="C149">
        <v>37.73</v>
      </c>
      <c r="D149">
        <v>1</v>
      </c>
      <c r="E149" t="s">
        <v>12</v>
      </c>
      <c r="F149" t="s">
        <v>13</v>
      </c>
      <c r="G149">
        <v>9877.61</v>
      </c>
      <c r="H149" s="11" t="str" cm="1">
        <f t="array" ref="H149">_xlfn.IFS(Table1[[#This Row],[age]]&lt;=30,"Young Adults",Table1[[#This Row],[age]]&lt;=45,"Adults",Table1[[#This Row],[age]]&lt;=60,"Seniors",Table1[[#This Row],[age]]&gt;=61,"Elderly")</f>
        <v>Seniors</v>
      </c>
    </row>
    <row r="150" spans="1:8">
      <c r="A150">
        <v>53</v>
      </c>
      <c r="B150" t="s">
        <v>8</v>
      </c>
      <c r="C150">
        <v>37.43</v>
      </c>
      <c r="D150">
        <v>1</v>
      </c>
      <c r="E150" t="s">
        <v>12</v>
      </c>
      <c r="F150" t="s">
        <v>14</v>
      </c>
      <c r="G150">
        <v>10959.69</v>
      </c>
      <c r="H150" s="11" t="str" cm="1">
        <f t="array" ref="H150">_xlfn.IFS(Table1[[#This Row],[age]]&lt;=30,"Young Adults",Table1[[#This Row],[age]]&lt;=45,"Adults",Table1[[#This Row],[age]]&lt;=60,"Seniors",Table1[[#This Row],[age]]&gt;=61,"Elderly")</f>
        <v>Seniors</v>
      </c>
    </row>
    <row r="151" spans="1:8">
      <c r="A151">
        <v>19</v>
      </c>
      <c r="B151" t="s">
        <v>11</v>
      </c>
      <c r="C151">
        <v>28.4</v>
      </c>
      <c r="D151">
        <v>1</v>
      </c>
      <c r="E151" t="s">
        <v>12</v>
      </c>
      <c r="F151" t="s">
        <v>10</v>
      </c>
      <c r="G151">
        <v>1842.52</v>
      </c>
      <c r="H151" s="11" t="str" cm="1">
        <f t="array" ref="H151">_xlfn.IFS(Table1[[#This Row],[age]]&lt;=30,"Young Adults",Table1[[#This Row],[age]]&lt;=45,"Adults",Table1[[#This Row],[age]]&lt;=60,"Seniors",Table1[[#This Row],[age]]&gt;=61,"Elderly")</f>
        <v>Young Adults</v>
      </c>
    </row>
    <row r="152" spans="1:8">
      <c r="A152">
        <v>35</v>
      </c>
      <c r="B152" t="s">
        <v>11</v>
      </c>
      <c r="C152">
        <v>24.13</v>
      </c>
      <c r="D152">
        <v>1</v>
      </c>
      <c r="E152" t="s">
        <v>12</v>
      </c>
      <c r="F152" t="s">
        <v>14</v>
      </c>
      <c r="G152">
        <v>5125.22</v>
      </c>
      <c r="H152" s="11" t="str" cm="1">
        <f t="array" ref="H152">_xlfn.IFS(Table1[[#This Row],[age]]&lt;=30,"Young Adults",Table1[[#This Row],[age]]&lt;=45,"Adults",Table1[[#This Row],[age]]&lt;=60,"Seniors",Table1[[#This Row],[age]]&gt;=61,"Elderly")</f>
        <v>Adults</v>
      </c>
    </row>
    <row r="153" spans="1:8">
      <c r="A153">
        <v>48</v>
      </c>
      <c r="B153" t="s">
        <v>11</v>
      </c>
      <c r="C153">
        <v>29.7</v>
      </c>
      <c r="D153">
        <v>0</v>
      </c>
      <c r="E153" t="s">
        <v>12</v>
      </c>
      <c r="F153" t="s">
        <v>13</v>
      </c>
      <c r="G153">
        <v>7789.64</v>
      </c>
      <c r="H153" s="11" t="str" cm="1">
        <f t="array" ref="H153">_xlfn.IFS(Table1[[#This Row],[age]]&lt;=30,"Young Adults",Table1[[#This Row],[age]]&lt;=45,"Adults",Table1[[#This Row],[age]]&lt;=60,"Seniors",Table1[[#This Row],[age]]&gt;=61,"Elderly")</f>
        <v>Seniors</v>
      </c>
    </row>
    <row r="154" spans="1:8">
      <c r="A154">
        <v>32</v>
      </c>
      <c r="B154" t="s">
        <v>8</v>
      </c>
      <c r="C154">
        <v>37.145</v>
      </c>
      <c r="D154">
        <v>3</v>
      </c>
      <c r="E154" t="s">
        <v>12</v>
      </c>
      <c r="F154" t="s">
        <v>15</v>
      </c>
      <c r="G154">
        <v>6334.34</v>
      </c>
      <c r="H154" s="11" t="str" cm="1">
        <f t="array" ref="H154">_xlfn.IFS(Table1[[#This Row],[age]]&lt;=30,"Young Adults",Table1[[#This Row],[age]]&lt;=45,"Adults",Table1[[#This Row],[age]]&lt;=60,"Seniors",Table1[[#This Row],[age]]&gt;=61,"Elderly")</f>
        <v>Adults</v>
      </c>
    </row>
    <row r="155" spans="1:8">
      <c r="A155">
        <v>42</v>
      </c>
      <c r="B155" t="s">
        <v>8</v>
      </c>
      <c r="C155">
        <v>23.37</v>
      </c>
      <c r="D155">
        <v>0</v>
      </c>
      <c r="E155" t="s">
        <v>9</v>
      </c>
      <c r="F155" t="s">
        <v>15</v>
      </c>
      <c r="G155">
        <v>19964.75</v>
      </c>
      <c r="H155" s="11" t="str" cm="1">
        <f t="array" ref="H155">_xlfn.IFS(Table1[[#This Row],[age]]&lt;=30,"Young Adults",Table1[[#This Row],[age]]&lt;=45,"Adults",Table1[[#This Row],[age]]&lt;=60,"Seniors",Table1[[#This Row],[age]]&gt;=61,"Elderly")</f>
        <v>Adults</v>
      </c>
    </row>
    <row r="156" spans="1:8">
      <c r="A156">
        <v>40</v>
      </c>
      <c r="B156" t="s">
        <v>8</v>
      </c>
      <c r="C156">
        <v>25.46</v>
      </c>
      <c r="D156">
        <v>1</v>
      </c>
      <c r="E156" t="s">
        <v>12</v>
      </c>
      <c r="F156" t="s">
        <v>15</v>
      </c>
      <c r="G156">
        <v>7077.19</v>
      </c>
      <c r="H156" s="11" t="str" cm="1">
        <f t="array" ref="H156">_xlfn.IFS(Table1[[#This Row],[age]]&lt;=30,"Young Adults",Table1[[#This Row],[age]]&lt;=45,"Adults",Table1[[#This Row],[age]]&lt;=60,"Seniors",Table1[[#This Row],[age]]&gt;=61,"Elderly")</f>
        <v>Adults</v>
      </c>
    </row>
    <row r="157" spans="1:8">
      <c r="A157">
        <v>44</v>
      </c>
      <c r="B157" t="s">
        <v>11</v>
      </c>
      <c r="C157">
        <v>39.52</v>
      </c>
      <c r="D157">
        <v>0</v>
      </c>
      <c r="E157" t="s">
        <v>12</v>
      </c>
      <c r="F157" t="s">
        <v>14</v>
      </c>
      <c r="G157">
        <v>6948.7</v>
      </c>
      <c r="H157" s="11" t="str" cm="1">
        <f t="array" ref="H157">_xlfn.IFS(Table1[[#This Row],[age]]&lt;=30,"Young Adults",Table1[[#This Row],[age]]&lt;=45,"Adults",Table1[[#This Row],[age]]&lt;=60,"Seniors",Table1[[#This Row],[age]]&gt;=61,"Elderly")</f>
        <v>Adults</v>
      </c>
    </row>
    <row r="158" spans="1:8">
      <c r="A158">
        <v>48</v>
      </c>
      <c r="B158" t="s">
        <v>11</v>
      </c>
      <c r="C158">
        <v>24.42</v>
      </c>
      <c r="D158">
        <v>0</v>
      </c>
      <c r="E158" t="s">
        <v>9</v>
      </c>
      <c r="F158" t="s">
        <v>13</v>
      </c>
      <c r="G158">
        <v>21223.68</v>
      </c>
      <c r="H158" s="11" t="str" cm="1">
        <f t="array" ref="H158">_xlfn.IFS(Table1[[#This Row],[age]]&lt;=30,"Young Adults",Table1[[#This Row],[age]]&lt;=45,"Adults",Table1[[#This Row],[age]]&lt;=60,"Seniors",Table1[[#This Row],[age]]&gt;=61,"Elderly")</f>
        <v>Seniors</v>
      </c>
    </row>
    <row r="159" spans="1:8">
      <c r="A159">
        <v>18</v>
      </c>
      <c r="B159" t="s">
        <v>11</v>
      </c>
      <c r="C159">
        <v>25.175</v>
      </c>
      <c r="D159">
        <v>0</v>
      </c>
      <c r="E159" t="s">
        <v>9</v>
      </c>
      <c r="F159" t="s">
        <v>15</v>
      </c>
      <c r="G159">
        <v>15518.18</v>
      </c>
      <c r="H159" s="11" t="str" cm="1">
        <f t="array" ref="H159">_xlfn.IFS(Table1[[#This Row],[age]]&lt;=30,"Young Adults",Table1[[#This Row],[age]]&lt;=45,"Adults",Table1[[#This Row],[age]]&lt;=60,"Seniors",Table1[[#This Row],[age]]&gt;=61,"Elderly")</f>
        <v>Young Adults</v>
      </c>
    </row>
    <row r="160" spans="1:8">
      <c r="A160">
        <v>30</v>
      </c>
      <c r="B160" t="s">
        <v>11</v>
      </c>
      <c r="C160">
        <v>35.53</v>
      </c>
      <c r="D160">
        <v>0</v>
      </c>
      <c r="E160" t="s">
        <v>9</v>
      </c>
      <c r="F160" t="s">
        <v>13</v>
      </c>
      <c r="G160">
        <v>36950.26</v>
      </c>
      <c r="H160" s="11" t="str" cm="1">
        <f t="array" ref="H160">_xlfn.IFS(Table1[[#This Row],[age]]&lt;=30,"Young Adults",Table1[[#This Row],[age]]&lt;=45,"Adults",Table1[[#This Row],[age]]&lt;=60,"Seniors",Table1[[#This Row],[age]]&gt;=61,"Elderly")</f>
        <v>Young Adults</v>
      </c>
    </row>
    <row r="161" spans="1:8">
      <c r="A161">
        <v>50</v>
      </c>
      <c r="B161" t="s">
        <v>8</v>
      </c>
      <c r="C161">
        <v>27.83</v>
      </c>
      <c r="D161">
        <v>3</v>
      </c>
      <c r="E161" t="s">
        <v>12</v>
      </c>
      <c r="F161" t="s">
        <v>13</v>
      </c>
      <c r="G161">
        <v>19749.38</v>
      </c>
      <c r="H161" s="11" t="str" cm="1">
        <f t="array" ref="H161">_xlfn.IFS(Table1[[#This Row],[age]]&lt;=30,"Young Adults",Table1[[#This Row],[age]]&lt;=45,"Adults",Table1[[#This Row],[age]]&lt;=60,"Seniors",Table1[[#This Row],[age]]&gt;=61,"Elderly")</f>
        <v>Seniors</v>
      </c>
    </row>
    <row r="162" spans="1:8">
      <c r="A162">
        <v>42</v>
      </c>
      <c r="B162" t="s">
        <v>8</v>
      </c>
      <c r="C162">
        <v>26.6</v>
      </c>
      <c r="D162">
        <v>0</v>
      </c>
      <c r="E162" t="s">
        <v>9</v>
      </c>
      <c r="F162" t="s">
        <v>14</v>
      </c>
      <c r="G162">
        <v>21348.71</v>
      </c>
      <c r="H162" s="11" t="str" cm="1">
        <f t="array" ref="H162">_xlfn.IFS(Table1[[#This Row],[age]]&lt;=30,"Young Adults",Table1[[#This Row],[age]]&lt;=45,"Adults",Table1[[#This Row],[age]]&lt;=60,"Seniors",Table1[[#This Row],[age]]&gt;=61,"Elderly")</f>
        <v>Adults</v>
      </c>
    </row>
    <row r="163" spans="1:8">
      <c r="A163">
        <v>18</v>
      </c>
      <c r="B163" t="s">
        <v>8</v>
      </c>
      <c r="C163">
        <v>36.85</v>
      </c>
      <c r="D163">
        <v>0</v>
      </c>
      <c r="E163" t="s">
        <v>9</v>
      </c>
      <c r="F163" t="s">
        <v>13</v>
      </c>
      <c r="G163">
        <v>36149.48</v>
      </c>
      <c r="H163" s="11" t="str" cm="1">
        <f t="array" ref="H163">_xlfn.IFS(Table1[[#This Row],[age]]&lt;=30,"Young Adults",Table1[[#This Row],[age]]&lt;=45,"Adults",Table1[[#This Row],[age]]&lt;=60,"Seniors",Table1[[#This Row],[age]]&gt;=61,"Elderly")</f>
        <v>Young Adults</v>
      </c>
    </row>
    <row r="164" spans="1:8">
      <c r="A164">
        <v>54</v>
      </c>
      <c r="B164" t="s">
        <v>11</v>
      </c>
      <c r="C164">
        <v>39.6</v>
      </c>
      <c r="D164">
        <v>1</v>
      </c>
      <c r="E164" t="s">
        <v>12</v>
      </c>
      <c r="F164" t="s">
        <v>10</v>
      </c>
      <c r="G164">
        <v>10450.55</v>
      </c>
      <c r="H164" s="11" t="str" cm="1">
        <f t="array" ref="H164">_xlfn.IFS(Table1[[#This Row],[age]]&lt;=30,"Young Adults",Table1[[#This Row],[age]]&lt;=45,"Adults",Table1[[#This Row],[age]]&lt;=60,"Seniors",Table1[[#This Row],[age]]&gt;=61,"Elderly")</f>
        <v>Seniors</v>
      </c>
    </row>
    <row r="165" spans="1:8">
      <c r="A165">
        <v>32</v>
      </c>
      <c r="B165" t="s">
        <v>8</v>
      </c>
      <c r="C165">
        <v>29.8</v>
      </c>
      <c r="D165">
        <v>2</v>
      </c>
      <c r="E165" t="s">
        <v>12</v>
      </c>
      <c r="F165" t="s">
        <v>10</v>
      </c>
      <c r="G165">
        <v>5152.13</v>
      </c>
      <c r="H165" s="11" t="str" cm="1">
        <f t="array" ref="H165">_xlfn.IFS(Table1[[#This Row],[age]]&lt;=30,"Young Adults",Table1[[#This Row],[age]]&lt;=45,"Adults",Table1[[#This Row],[age]]&lt;=60,"Seniors",Table1[[#This Row],[age]]&gt;=61,"Elderly")</f>
        <v>Adults</v>
      </c>
    </row>
    <row r="166" spans="1:8">
      <c r="A166">
        <v>37</v>
      </c>
      <c r="B166" t="s">
        <v>11</v>
      </c>
      <c r="C166">
        <v>29.64</v>
      </c>
      <c r="D166">
        <v>0</v>
      </c>
      <c r="E166" t="s">
        <v>12</v>
      </c>
      <c r="F166" t="s">
        <v>14</v>
      </c>
      <c r="G166">
        <v>5028.15</v>
      </c>
      <c r="H166" s="11" t="str" cm="1">
        <f t="array" ref="H166">_xlfn.IFS(Table1[[#This Row],[age]]&lt;=30,"Young Adults",Table1[[#This Row],[age]]&lt;=45,"Adults",Table1[[#This Row],[age]]&lt;=60,"Seniors",Table1[[#This Row],[age]]&gt;=61,"Elderly")</f>
        <v>Adults</v>
      </c>
    </row>
    <row r="167" spans="1:8">
      <c r="A167">
        <v>47</v>
      </c>
      <c r="B167" t="s">
        <v>11</v>
      </c>
      <c r="C167">
        <v>28.215</v>
      </c>
      <c r="D167">
        <v>4</v>
      </c>
      <c r="E167" t="s">
        <v>12</v>
      </c>
      <c r="F167" t="s">
        <v>15</v>
      </c>
      <c r="G167">
        <v>10407.09</v>
      </c>
      <c r="H167" s="11" t="str" cm="1">
        <f t="array" ref="H167">_xlfn.IFS(Table1[[#This Row],[age]]&lt;=30,"Young Adults",Table1[[#This Row],[age]]&lt;=45,"Adults",Table1[[#This Row],[age]]&lt;=60,"Seniors",Table1[[#This Row],[age]]&gt;=61,"Elderly")</f>
        <v>Seniors</v>
      </c>
    </row>
    <row r="168" spans="1:8">
      <c r="A168">
        <v>20</v>
      </c>
      <c r="B168" t="s">
        <v>8</v>
      </c>
      <c r="C168">
        <v>37</v>
      </c>
      <c r="D168">
        <v>5</v>
      </c>
      <c r="E168" t="s">
        <v>12</v>
      </c>
      <c r="F168" t="s">
        <v>10</v>
      </c>
      <c r="G168">
        <v>4830.63</v>
      </c>
      <c r="H168" s="11" t="str" cm="1">
        <f t="array" ref="H168">_xlfn.IFS(Table1[[#This Row],[age]]&lt;=30,"Young Adults",Table1[[#This Row],[age]]&lt;=45,"Adults",Table1[[#This Row],[age]]&lt;=60,"Seniors",Table1[[#This Row],[age]]&gt;=61,"Elderly")</f>
        <v>Young Adults</v>
      </c>
    </row>
    <row r="169" spans="1:8">
      <c r="A169">
        <v>32</v>
      </c>
      <c r="B169" t="s">
        <v>8</v>
      </c>
      <c r="C169">
        <v>33.155</v>
      </c>
      <c r="D169">
        <v>3</v>
      </c>
      <c r="E169" t="s">
        <v>12</v>
      </c>
      <c r="F169" t="s">
        <v>14</v>
      </c>
      <c r="G169">
        <v>6128.8</v>
      </c>
      <c r="H169" s="11" t="str" cm="1">
        <f t="array" ref="H169">_xlfn.IFS(Table1[[#This Row],[age]]&lt;=30,"Young Adults",Table1[[#This Row],[age]]&lt;=45,"Adults",Table1[[#This Row],[age]]&lt;=60,"Seniors",Table1[[#This Row],[age]]&gt;=61,"Elderly")</f>
        <v>Adults</v>
      </c>
    </row>
    <row r="170" spans="1:8">
      <c r="A170">
        <v>19</v>
      </c>
      <c r="B170" t="s">
        <v>8</v>
      </c>
      <c r="C170">
        <v>31.825</v>
      </c>
      <c r="D170">
        <v>1</v>
      </c>
      <c r="E170" t="s">
        <v>12</v>
      </c>
      <c r="F170" t="s">
        <v>14</v>
      </c>
      <c r="G170">
        <v>2719.28</v>
      </c>
      <c r="H170" s="11" t="str" cm="1">
        <f t="array" ref="H170">_xlfn.IFS(Table1[[#This Row],[age]]&lt;=30,"Young Adults",Table1[[#This Row],[age]]&lt;=45,"Adults",Table1[[#This Row],[age]]&lt;=60,"Seniors",Table1[[#This Row],[age]]&gt;=61,"Elderly")</f>
        <v>Young Adults</v>
      </c>
    </row>
    <row r="171" spans="1:8">
      <c r="A171">
        <v>27</v>
      </c>
      <c r="B171" t="s">
        <v>11</v>
      </c>
      <c r="C171">
        <v>18.905</v>
      </c>
      <c r="D171">
        <v>3</v>
      </c>
      <c r="E171" t="s">
        <v>12</v>
      </c>
      <c r="F171" t="s">
        <v>15</v>
      </c>
      <c r="G171">
        <v>4827.9</v>
      </c>
      <c r="H171" s="11" t="str" cm="1">
        <f t="array" ref="H171">_xlfn.IFS(Table1[[#This Row],[age]]&lt;=30,"Young Adults",Table1[[#This Row],[age]]&lt;=45,"Adults",Table1[[#This Row],[age]]&lt;=60,"Seniors",Table1[[#This Row],[age]]&gt;=61,"Elderly")</f>
        <v>Young Adults</v>
      </c>
    </row>
    <row r="172" spans="1:8">
      <c r="A172">
        <v>63</v>
      </c>
      <c r="B172" t="s">
        <v>11</v>
      </c>
      <c r="C172">
        <v>41.47</v>
      </c>
      <c r="D172">
        <v>0</v>
      </c>
      <c r="E172" t="s">
        <v>12</v>
      </c>
      <c r="F172" t="s">
        <v>13</v>
      </c>
      <c r="G172">
        <v>13405.39</v>
      </c>
      <c r="H172" s="11" t="str" cm="1">
        <f t="array" ref="H172">_xlfn.IFS(Table1[[#This Row],[age]]&lt;=30,"Young Adults",Table1[[#This Row],[age]]&lt;=45,"Adults",Table1[[#This Row],[age]]&lt;=60,"Seniors",Table1[[#This Row],[age]]&gt;=61,"Elderly")</f>
        <v>Elderly</v>
      </c>
    </row>
    <row r="173" spans="1:8">
      <c r="A173">
        <v>49</v>
      </c>
      <c r="B173" t="s">
        <v>11</v>
      </c>
      <c r="C173">
        <v>30.3</v>
      </c>
      <c r="D173">
        <v>0</v>
      </c>
      <c r="E173" t="s">
        <v>12</v>
      </c>
      <c r="F173" t="s">
        <v>10</v>
      </c>
      <c r="G173">
        <v>8116.68</v>
      </c>
      <c r="H173" s="11" t="str" cm="1">
        <f t="array" ref="H173">_xlfn.IFS(Table1[[#This Row],[age]]&lt;=30,"Young Adults",Table1[[#This Row],[age]]&lt;=45,"Adults",Table1[[#This Row],[age]]&lt;=60,"Seniors",Table1[[#This Row],[age]]&gt;=61,"Elderly")</f>
        <v>Seniors</v>
      </c>
    </row>
    <row r="174" spans="1:8">
      <c r="A174">
        <v>18</v>
      </c>
      <c r="B174" t="s">
        <v>11</v>
      </c>
      <c r="C174">
        <v>15.96</v>
      </c>
      <c r="D174">
        <v>0</v>
      </c>
      <c r="E174" t="s">
        <v>12</v>
      </c>
      <c r="F174" t="s">
        <v>15</v>
      </c>
      <c r="G174">
        <v>1694.8</v>
      </c>
      <c r="H174" s="11" t="str" cm="1">
        <f t="array" ref="H174">_xlfn.IFS(Table1[[#This Row],[age]]&lt;=30,"Young Adults",Table1[[#This Row],[age]]&lt;=45,"Adults",Table1[[#This Row],[age]]&lt;=60,"Seniors",Table1[[#This Row],[age]]&gt;=61,"Elderly")</f>
        <v>Young Adults</v>
      </c>
    </row>
    <row r="175" spans="1:8">
      <c r="A175">
        <v>35</v>
      </c>
      <c r="B175" t="s">
        <v>8</v>
      </c>
      <c r="C175">
        <v>34.8</v>
      </c>
      <c r="D175">
        <v>1</v>
      </c>
      <c r="E175" t="s">
        <v>12</v>
      </c>
      <c r="F175" t="s">
        <v>10</v>
      </c>
      <c r="G175">
        <v>5246.05</v>
      </c>
      <c r="H175" s="11" t="str" cm="1">
        <f t="array" ref="H175">_xlfn.IFS(Table1[[#This Row],[age]]&lt;=30,"Young Adults",Table1[[#This Row],[age]]&lt;=45,"Adults",Table1[[#This Row],[age]]&lt;=60,"Seniors",Table1[[#This Row],[age]]&gt;=61,"Elderly")</f>
        <v>Adults</v>
      </c>
    </row>
    <row r="176" spans="1:8">
      <c r="A176">
        <v>24</v>
      </c>
      <c r="B176" t="s">
        <v>8</v>
      </c>
      <c r="C176">
        <v>33.345</v>
      </c>
      <c r="D176">
        <v>0</v>
      </c>
      <c r="E176" t="s">
        <v>12</v>
      </c>
      <c r="F176" t="s">
        <v>14</v>
      </c>
      <c r="G176">
        <v>2855.44</v>
      </c>
      <c r="H176" s="11" t="str" cm="1">
        <f t="array" ref="H176">_xlfn.IFS(Table1[[#This Row],[age]]&lt;=30,"Young Adults",Table1[[#This Row],[age]]&lt;=45,"Adults",Table1[[#This Row],[age]]&lt;=60,"Seniors",Table1[[#This Row],[age]]&gt;=61,"Elderly")</f>
        <v>Young Adults</v>
      </c>
    </row>
    <row r="177" spans="1:8">
      <c r="A177">
        <v>63</v>
      </c>
      <c r="B177" t="s">
        <v>8</v>
      </c>
      <c r="C177">
        <v>37.7</v>
      </c>
      <c r="D177">
        <v>0</v>
      </c>
      <c r="E177" t="s">
        <v>9</v>
      </c>
      <c r="F177" t="s">
        <v>10</v>
      </c>
      <c r="G177">
        <v>48824.45</v>
      </c>
      <c r="H177" s="11" t="str" cm="1">
        <f t="array" ref="H177">_xlfn.IFS(Table1[[#This Row],[age]]&lt;=30,"Young Adults",Table1[[#This Row],[age]]&lt;=45,"Adults",Table1[[#This Row],[age]]&lt;=60,"Seniors",Table1[[#This Row],[age]]&gt;=61,"Elderly")</f>
        <v>Elderly</v>
      </c>
    </row>
    <row r="178" spans="1:8">
      <c r="A178">
        <v>38</v>
      </c>
      <c r="B178" t="s">
        <v>11</v>
      </c>
      <c r="C178">
        <v>27.835</v>
      </c>
      <c r="D178">
        <v>2</v>
      </c>
      <c r="E178" t="s">
        <v>12</v>
      </c>
      <c r="F178" t="s">
        <v>14</v>
      </c>
      <c r="G178">
        <v>6455.86</v>
      </c>
      <c r="H178" s="11" t="str" cm="1">
        <f t="array" ref="H178">_xlfn.IFS(Table1[[#This Row],[age]]&lt;=30,"Young Adults",Table1[[#This Row],[age]]&lt;=45,"Adults",Table1[[#This Row],[age]]&lt;=60,"Seniors",Table1[[#This Row],[age]]&gt;=61,"Elderly")</f>
        <v>Adults</v>
      </c>
    </row>
    <row r="179" spans="1:8">
      <c r="A179">
        <v>54</v>
      </c>
      <c r="B179" t="s">
        <v>11</v>
      </c>
      <c r="C179">
        <v>29.2</v>
      </c>
      <c r="D179">
        <v>1</v>
      </c>
      <c r="E179" t="s">
        <v>12</v>
      </c>
      <c r="F179" t="s">
        <v>10</v>
      </c>
      <c r="G179">
        <v>10436.1</v>
      </c>
      <c r="H179" s="11" t="str" cm="1">
        <f t="array" ref="H179">_xlfn.IFS(Table1[[#This Row],[age]]&lt;=30,"Young Adults",Table1[[#This Row],[age]]&lt;=45,"Adults",Table1[[#This Row],[age]]&lt;=60,"Seniors",Table1[[#This Row],[age]]&gt;=61,"Elderly")</f>
        <v>Seniors</v>
      </c>
    </row>
    <row r="180" spans="1:8">
      <c r="A180">
        <v>46</v>
      </c>
      <c r="B180" t="s">
        <v>8</v>
      </c>
      <c r="C180">
        <v>28.9</v>
      </c>
      <c r="D180">
        <v>2</v>
      </c>
      <c r="E180" t="s">
        <v>12</v>
      </c>
      <c r="F180" t="s">
        <v>10</v>
      </c>
      <c r="G180">
        <v>8823.28</v>
      </c>
      <c r="H180" s="11" t="str" cm="1">
        <f t="array" ref="H180">_xlfn.IFS(Table1[[#This Row],[age]]&lt;=30,"Young Adults",Table1[[#This Row],[age]]&lt;=45,"Adults",Table1[[#This Row],[age]]&lt;=60,"Seniors",Table1[[#This Row],[age]]&gt;=61,"Elderly")</f>
        <v>Seniors</v>
      </c>
    </row>
    <row r="181" spans="1:8">
      <c r="A181">
        <v>41</v>
      </c>
      <c r="B181" t="s">
        <v>8</v>
      </c>
      <c r="C181">
        <v>33.155</v>
      </c>
      <c r="D181">
        <v>3</v>
      </c>
      <c r="E181" t="s">
        <v>12</v>
      </c>
      <c r="F181" t="s">
        <v>15</v>
      </c>
      <c r="G181">
        <v>8538.29</v>
      </c>
      <c r="H181" s="11" t="str" cm="1">
        <f t="array" ref="H181">_xlfn.IFS(Table1[[#This Row],[age]]&lt;=30,"Young Adults",Table1[[#This Row],[age]]&lt;=45,"Adults",Table1[[#This Row],[age]]&lt;=60,"Seniors",Table1[[#This Row],[age]]&gt;=61,"Elderly")</f>
        <v>Adults</v>
      </c>
    </row>
    <row r="182" spans="1:8">
      <c r="A182">
        <v>58</v>
      </c>
      <c r="B182" t="s">
        <v>11</v>
      </c>
      <c r="C182">
        <v>28.595</v>
      </c>
      <c r="D182">
        <v>0</v>
      </c>
      <c r="E182" t="s">
        <v>12</v>
      </c>
      <c r="F182" t="s">
        <v>14</v>
      </c>
      <c r="G182">
        <v>11735.88</v>
      </c>
      <c r="H182" s="11" t="str" cm="1">
        <f t="array" ref="H182">_xlfn.IFS(Table1[[#This Row],[age]]&lt;=30,"Young Adults",Table1[[#This Row],[age]]&lt;=45,"Adults",Table1[[#This Row],[age]]&lt;=60,"Seniors",Table1[[#This Row],[age]]&gt;=61,"Elderly")</f>
        <v>Seniors</v>
      </c>
    </row>
    <row r="183" spans="1:8">
      <c r="A183">
        <v>18</v>
      </c>
      <c r="B183" t="s">
        <v>8</v>
      </c>
      <c r="C183">
        <v>38.28</v>
      </c>
      <c r="D183">
        <v>0</v>
      </c>
      <c r="E183" t="s">
        <v>12</v>
      </c>
      <c r="F183" t="s">
        <v>13</v>
      </c>
      <c r="G183">
        <v>1631.82</v>
      </c>
      <c r="H183" s="11" t="str" cm="1">
        <f t="array" ref="H183">_xlfn.IFS(Table1[[#This Row],[age]]&lt;=30,"Young Adults",Table1[[#This Row],[age]]&lt;=45,"Adults",Table1[[#This Row],[age]]&lt;=60,"Seniors",Table1[[#This Row],[age]]&gt;=61,"Elderly")</f>
        <v>Young Adults</v>
      </c>
    </row>
    <row r="184" spans="1:8">
      <c r="A184">
        <v>22</v>
      </c>
      <c r="B184" t="s">
        <v>11</v>
      </c>
      <c r="C184">
        <v>19.95</v>
      </c>
      <c r="D184">
        <v>3</v>
      </c>
      <c r="E184" t="s">
        <v>12</v>
      </c>
      <c r="F184" t="s">
        <v>15</v>
      </c>
      <c r="G184">
        <v>4005.42</v>
      </c>
      <c r="H184" s="11" t="str" cm="1">
        <f t="array" ref="H184">_xlfn.IFS(Table1[[#This Row],[age]]&lt;=30,"Young Adults",Table1[[#This Row],[age]]&lt;=45,"Adults",Table1[[#This Row],[age]]&lt;=60,"Seniors",Table1[[#This Row],[age]]&gt;=61,"Elderly")</f>
        <v>Young Adults</v>
      </c>
    </row>
    <row r="185" spans="1:8">
      <c r="A185">
        <v>44</v>
      </c>
      <c r="B185" t="s">
        <v>8</v>
      </c>
      <c r="C185">
        <v>26.41</v>
      </c>
      <c r="D185">
        <v>0</v>
      </c>
      <c r="E185" t="s">
        <v>12</v>
      </c>
      <c r="F185" t="s">
        <v>14</v>
      </c>
      <c r="G185">
        <v>7419.48</v>
      </c>
      <c r="H185" s="11" t="str" cm="1">
        <f t="array" ref="H185">_xlfn.IFS(Table1[[#This Row],[age]]&lt;=30,"Young Adults",Table1[[#This Row],[age]]&lt;=45,"Adults",Table1[[#This Row],[age]]&lt;=60,"Seniors",Table1[[#This Row],[age]]&gt;=61,"Elderly")</f>
        <v>Adults</v>
      </c>
    </row>
    <row r="186" spans="1:8">
      <c r="A186">
        <v>44</v>
      </c>
      <c r="B186" t="s">
        <v>11</v>
      </c>
      <c r="C186">
        <v>30.69</v>
      </c>
      <c r="D186">
        <v>2</v>
      </c>
      <c r="E186" t="s">
        <v>12</v>
      </c>
      <c r="F186" t="s">
        <v>13</v>
      </c>
      <c r="G186">
        <v>7731.43</v>
      </c>
      <c r="H186" s="11" t="str" cm="1">
        <f t="array" ref="H186">_xlfn.IFS(Table1[[#This Row],[age]]&lt;=30,"Young Adults",Table1[[#This Row],[age]]&lt;=45,"Adults",Table1[[#This Row],[age]]&lt;=60,"Seniors",Table1[[#This Row],[age]]&gt;=61,"Elderly")</f>
        <v>Adults</v>
      </c>
    </row>
    <row r="187" spans="1:8">
      <c r="A187">
        <v>36</v>
      </c>
      <c r="B187" t="s">
        <v>11</v>
      </c>
      <c r="C187">
        <v>41.895</v>
      </c>
      <c r="D187">
        <v>3</v>
      </c>
      <c r="E187" t="s">
        <v>9</v>
      </c>
      <c r="F187" t="s">
        <v>15</v>
      </c>
      <c r="G187">
        <v>43753.34</v>
      </c>
      <c r="H187" s="11" t="str" cm="1">
        <f t="array" ref="H187">_xlfn.IFS(Table1[[#This Row],[age]]&lt;=30,"Young Adults",Table1[[#This Row],[age]]&lt;=45,"Adults",Table1[[#This Row],[age]]&lt;=60,"Seniors",Table1[[#This Row],[age]]&gt;=61,"Elderly")</f>
        <v>Adults</v>
      </c>
    </row>
    <row r="188" spans="1:8">
      <c r="A188">
        <v>26</v>
      </c>
      <c r="B188" t="s">
        <v>8</v>
      </c>
      <c r="C188">
        <v>29.92</v>
      </c>
      <c r="D188">
        <v>2</v>
      </c>
      <c r="E188" t="s">
        <v>12</v>
      </c>
      <c r="F188" t="s">
        <v>13</v>
      </c>
      <c r="G188">
        <v>3981.98</v>
      </c>
      <c r="H188" s="11" t="str" cm="1">
        <f t="array" ref="H188">_xlfn.IFS(Table1[[#This Row],[age]]&lt;=30,"Young Adults",Table1[[#This Row],[age]]&lt;=45,"Adults",Table1[[#This Row],[age]]&lt;=60,"Seniors",Table1[[#This Row],[age]]&gt;=61,"Elderly")</f>
        <v>Young Adults</v>
      </c>
    </row>
    <row r="189" spans="1:8">
      <c r="A189">
        <v>30</v>
      </c>
      <c r="B189" t="s">
        <v>8</v>
      </c>
      <c r="C189">
        <v>30.9</v>
      </c>
      <c r="D189">
        <v>3</v>
      </c>
      <c r="E189" t="s">
        <v>12</v>
      </c>
      <c r="F189" t="s">
        <v>10</v>
      </c>
      <c r="G189">
        <v>5325.65</v>
      </c>
      <c r="H189" s="11" t="str" cm="1">
        <f t="array" ref="H189">_xlfn.IFS(Table1[[#This Row],[age]]&lt;=30,"Young Adults",Table1[[#This Row],[age]]&lt;=45,"Adults",Table1[[#This Row],[age]]&lt;=60,"Seniors",Table1[[#This Row],[age]]&gt;=61,"Elderly")</f>
        <v>Young Adults</v>
      </c>
    </row>
    <row r="190" spans="1:8">
      <c r="A190">
        <v>41</v>
      </c>
      <c r="B190" t="s">
        <v>8</v>
      </c>
      <c r="C190">
        <v>32.2</v>
      </c>
      <c r="D190">
        <v>1</v>
      </c>
      <c r="E190" t="s">
        <v>12</v>
      </c>
      <c r="F190" t="s">
        <v>10</v>
      </c>
      <c r="G190">
        <v>6775.96</v>
      </c>
      <c r="H190" s="11" t="str" cm="1">
        <f t="array" ref="H190">_xlfn.IFS(Table1[[#This Row],[age]]&lt;=30,"Young Adults",Table1[[#This Row],[age]]&lt;=45,"Adults",Table1[[#This Row],[age]]&lt;=60,"Seniors",Table1[[#This Row],[age]]&gt;=61,"Elderly")</f>
        <v>Adults</v>
      </c>
    </row>
    <row r="191" spans="1:8">
      <c r="A191">
        <v>29</v>
      </c>
      <c r="B191" t="s">
        <v>8</v>
      </c>
      <c r="C191">
        <v>32.11</v>
      </c>
      <c r="D191">
        <v>2</v>
      </c>
      <c r="E191" t="s">
        <v>12</v>
      </c>
      <c r="F191" t="s">
        <v>14</v>
      </c>
      <c r="G191">
        <v>4922.92</v>
      </c>
      <c r="H191" s="11" t="str" cm="1">
        <f t="array" ref="H191">_xlfn.IFS(Table1[[#This Row],[age]]&lt;=30,"Young Adults",Table1[[#This Row],[age]]&lt;=45,"Adults",Table1[[#This Row],[age]]&lt;=60,"Seniors",Table1[[#This Row],[age]]&gt;=61,"Elderly")</f>
        <v>Young Adults</v>
      </c>
    </row>
    <row r="192" spans="1:8">
      <c r="A192">
        <v>61</v>
      </c>
      <c r="B192" t="s">
        <v>11</v>
      </c>
      <c r="C192">
        <v>31.57</v>
      </c>
      <c r="D192">
        <v>0</v>
      </c>
      <c r="E192" t="s">
        <v>12</v>
      </c>
      <c r="F192" t="s">
        <v>13</v>
      </c>
      <c r="G192">
        <v>12557.61</v>
      </c>
      <c r="H192" s="11" t="str" cm="1">
        <f t="array" ref="H192">_xlfn.IFS(Table1[[#This Row],[age]]&lt;=30,"Young Adults",Table1[[#This Row],[age]]&lt;=45,"Adults",Table1[[#This Row],[age]]&lt;=60,"Seniors",Table1[[#This Row],[age]]&gt;=61,"Elderly")</f>
        <v>Elderly</v>
      </c>
    </row>
    <row r="193" spans="1:8">
      <c r="A193">
        <v>36</v>
      </c>
      <c r="B193" t="s">
        <v>8</v>
      </c>
      <c r="C193">
        <v>26.2</v>
      </c>
      <c r="D193">
        <v>0</v>
      </c>
      <c r="E193" t="s">
        <v>12</v>
      </c>
      <c r="F193" t="s">
        <v>10</v>
      </c>
      <c r="G193">
        <v>4883.87</v>
      </c>
      <c r="H193" s="11" t="str" cm="1">
        <f t="array" ref="H193">_xlfn.IFS(Table1[[#This Row],[age]]&lt;=30,"Young Adults",Table1[[#This Row],[age]]&lt;=45,"Adults",Table1[[#This Row],[age]]&lt;=60,"Seniors",Table1[[#This Row],[age]]&gt;=61,"Elderly")</f>
        <v>Adults</v>
      </c>
    </row>
    <row r="194" spans="1:8">
      <c r="A194">
        <v>25</v>
      </c>
      <c r="B194" t="s">
        <v>11</v>
      </c>
      <c r="C194">
        <v>25.74</v>
      </c>
      <c r="D194">
        <v>0</v>
      </c>
      <c r="E194" t="s">
        <v>12</v>
      </c>
      <c r="F194" t="s">
        <v>13</v>
      </c>
      <c r="G194">
        <v>2137.65</v>
      </c>
      <c r="H194" s="11" t="str" cm="1">
        <f t="array" ref="H194">_xlfn.IFS(Table1[[#This Row],[age]]&lt;=30,"Young Adults",Table1[[#This Row],[age]]&lt;=45,"Adults",Table1[[#This Row],[age]]&lt;=60,"Seniors",Table1[[#This Row],[age]]&gt;=61,"Elderly")</f>
        <v>Young Adults</v>
      </c>
    </row>
    <row r="195" spans="1:8">
      <c r="A195">
        <v>56</v>
      </c>
      <c r="B195" t="s">
        <v>8</v>
      </c>
      <c r="C195">
        <v>26.6</v>
      </c>
      <c r="D195">
        <v>1</v>
      </c>
      <c r="E195" t="s">
        <v>12</v>
      </c>
      <c r="F195" t="s">
        <v>14</v>
      </c>
      <c r="G195">
        <v>12044.34</v>
      </c>
      <c r="H195" s="11" t="str" cm="1">
        <f t="array" ref="H195">_xlfn.IFS(Table1[[#This Row],[age]]&lt;=30,"Young Adults",Table1[[#This Row],[age]]&lt;=45,"Adults",Table1[[#This Row],[age]]&lt;=60,"Seniors",Table1[[#This Row],[age]]&gt;=61,"Elderly")</f>
        <v>Seniors</v>
      </c>
    </row>
    <row r="196" spans="1:8">
      <c r="A196">
        <v>18</v>
      </c>
      <c r="B196" t="s">
        <v>11</v>
      </c>
      <c r="C196">
        <v>34.43</v>
      </c>
      <c r="D196">
        <v>0</v>
      </c>
      <c r="E196" t="s">
        <v>12</v>
      </c>
      <c r="F196" t="s">
        <v>13</v>
      </c>
      <c r="G196">
        <v>1137.47</v>
      </c>
      <c r="H196" s="11" t="str" cm="1">
        <f t="array" ref="H196">_xlfn.IFS(Table1[[#This Row],[age]]&lt;=30,"Young Adults",Table1[[#This Row],[age]]&lt;=45,"Adults",Table1[[#This Row],[age]]&lt;=60,"Seniors",Table1[[#This Row],[age]]&gt;=61,"Elderly")</f>
        <v>Young Adults</v>
      </c>
    </row>
    <row r="197" spans="1:8">
      <c r="A197">
        <v>19</v>
      </c>
      <c r="B197" t="s">
        <v>11</v>
      </c>
      <c r="C197">
        <v>30.59</v>
      </c>
      <c r="D197">
        <v>0</v>
      </c>
      <c r="E197" t="s">
        <v>12</v>
      </c>
      <c r="F197" t="s">
        <v>14</v>
      </c>
      <c r="G197">
        <v>1639.56</v>
      </c>
      <c r="H197" s="11" t="str" cm="1">
        <f t="array" ref="H197">_xlfn.IFS(Table1[[#This Row],[age]]&lt;=30,"Young Adults",Table1[[#This Row],[age]]&lt;=45,"Adults",Table1[[#This Row],[age]]&lt;=60,"Seniors",Table1[[#This Row],[age]]&gt;=61,"Elderly")</f>
        <v>Young Adults</v>
      </c>
    </row>
    <row r="198" spans="1:8">
      <c r="A198">
        <v>39</v>
      </c>
      <c r="B198" t="s">
        <v>8</v>
      </c>
      <c r="C198">
        <v>32.8</v>
      </c>
      <c r="D198">
        <v>0</v>
      </c>
      <c r="E198" t="s">
        <v>12</v>
      </c>
      <c r="F198" t="s">
        <v>10</v>
      </c>
      <c r="G198">
        <v>5649.72</v>
      </c>
      <c r="H198" s="11" t="str" cm="1">
        <f t="array" ref="H198">_xlfn.IFS(Table1[[#This Row],[age]]&lt;=30,"Young Adults",Table1[[#This Row],[age]]&lt;=45,"Adults",Table1[[#This Row],[age]]&lt;=60,"Seniors",Table1[[#This Row],[age]]&gt;=61,"Elderly")</f>
        <v>Adults</v>
      </c>
    </row>
    <row r="199" spans="1:8">
      <c r="A199">
        <v>45</v>
      </c>
      <c r="B199" t="s">
        <v>8</v>
      </c>
      <c r="C199">
        <v>28.6</v>
      </c>
      <c r="D199">
        <v>2</v>
      </c>
      <c r="E199" t="s">
        <v>12</v>
      </c>
      <c r="F199" t="s">
        <v>13</v>
      </c>
      <c r="G199">
        <v>8516.83</v>
      </c>
      <c r="H199" s="11" t="str" cm="1">
        <f t="array" ref="H199">_xlfn.IFS(Table1[[#This Row],[age]]&lt;=30,"Young Adults",Table1[[#This Row],[age]]&lt;=45,"Adults",Table1[[#This Row],[age]]&lt;=60,"Seniors",Table1[[#This Row],[age]]&gt;=61,"Elderly")</f>
        <v>Adults</v>
      </c>
    </row>
    <row r="200" spans="1:8">
      <c r="A200">
        <v>51</v>
      </c>
      <c r="B200" t="s">
        <v>8</v>
      </c>
      <c r="C200">
        <v>18.05</v>
      </c>
      <c r="D200">
        <v>0</v>
      </c>
      <c r="E200" t="s">
        <v>12</v>
      </c>
      <c r="F200" t="s">
        <v>14</v>
      </c>
      <c r="G200">
        <v>9644.25</v>
      </c>
      <c r="H200" s="11" t="str" cm="1">
        <f t="array" ref="H200">_xlfn.IFS(Table1[[#This Row],[age]]&lt;=30,"Young Adults",Table1[[#This Row],[age]]&lt;=45,"Adults",Table1[[#This Row],[age]]&lt;=60,"Seniors",Table1[[#This Row],[age]]&gt;=61,"Elderly")</f>
        <v>Seniors</v>
      </c>
    </row>
    <row r="201" spans="1:8">
      <c r="A201">
        <v>64</v>
      </c>
      <c r="B201" t="s">
        <v>8</v>
      </c>
      <c r="C201">
        <v>39.33</v>
      </c>
      <c r="D201">
        <v>0</v>
      </c>
      <c r="E201" t="s">
        <v>12</v>
      </c>
      <c r="F201" t="s">
        <v>15</v>
      </c>
      <c r="G201">
        <v>14901.52</v>
      </c>
      <c r="H201" s="11" t="str" cm="1">
        <f t="array" ref="H201">_xlfn.IFS(Table1[[#This Row],[age]]&lt;=30,"Young Adults",Table1[[#This Row],[age]]&lt;=45,"Adults",Table1[[#This Row],[age]]&lt;=60,"Seniors",Table1[[#This Row],[age]]&gt;=61,"Elderly")</f>
        <v>Elderly</v>
      </c>
    </row>
    <row r="202" spans="1:8">
      <c r="A202">
        <v>19</v>
      </c>
      <c r="B202" t="s">
        <v>8</v>
      </c>
      <c r="C202">
        <v>32.11</v>
      </c>
      <c r="D202">
        <v>0</v>
      </c>
      <c r="E202" t="s">
        <v>12</v>
      </c>
      <c r="F202" t="s">
        <v>14</v>
      </c>
      <c r="G202">
        <v>2130.68</v>
      </c>
      <c r="H202" s="11" t="str" cm="1">
        <f t="array" ref="H202">_xlfn.IFS(Table1[[#This Row],[age]]&lt;=30,"Young Adults",Table1[[#This Row],[age]]&lt;=45,"Adults",Table1[[#This Row],[age]]&lt;=60,"Seniors",Table1[[#This Row],[age]]&gt;=61,"Elderly")</f>
        <v>Young Adults</v>
      </c>
    </row>
    <row r="203" spans="1:8">
      <c r="A203">
        <v>48</v>
      </c>
      <c r="B203" t="s">
        <v>8</v>
      </c>
      <c r="C203">
        <v>32.23</v>
      </c>
      <c r="D203">
        <v>1</v>
      </c>
      <c r="E203" t="s">
        <v>12</v>
      </c>
      <c r="F203" t="s">
        <v>13</v>
      </c>
      <c r="G203">
        <v>8871.15</v>
      </c>
      <c r="H203" s="11" t="str" cm="1">
        <f t="array" ref="H203">_xlfn.IFS(Table1[[#This Row],[age]]&lt;=30,"Young Adults",Table1[[#This Row],[age]]&lt;=45,"Adults",Table1[[#This Row],[age]]&lt;=60,"Seniors",Table1[[#This Row],[age]]&gt;=61,"Elderly")</f>
        <v>Seniors</v>
      </c>
    </row>
    <row r="204" spans="1:8">
      <c r="A204">
        <v>60</v>
      </c>
      <c r="B204" t="s">
        <v>8</v>
      </c>
      <c r="C204">
        <v>24.035</v>
      </c>
      <c r="D204">
        <v>0</v>
      </c>
      <c r="E204" t="s">
        <v>12</v>
      </c>
      <c r="F204" t="s">
        <v>14</v>
      </c>
      <c r="G204">
        <v>13012.21</v>
      </c>
      <c r="H204" s="11" t="str" cm="1">
        <f t="array" ref="H204">_xlfn.IFS(Table1[[#This Row],[age]]&lt;=30,"Young Adults",Table1[[#This Row],[age]]&lt;=45,"Adults",Table1[[#This Row],[age]]&lt;=60,"Seniors",Table1[[#This Row],[age]]&gt;=61,"Elderly")</f>
        <v>Seniors</v>
      </c>
    </row>
    <row r="205" spans="1:8">
      <c r="A205">
        <v>27</v>
      </c>
      <c r="B205" t="s">
        <v>8</v>
      </c>
      <c r="C205">
        <v>36.08</v>
      </c>
      <c r="D205">
        <v>0</v>
      </c>
      <c r="E205" t="s">
        <v>9</v>
      </c>
      <c r="F205" t="s">
        <v>13</v>
      </c>
      <c r="G205">
        <v>37133.9</v>
      </c>
      <c r="H205" s="11" t="str" cm="1">
        <f t="array" ref="H205">_xlfn.IFS(Table1[[#This Row],[age]]&lt;=30,"Young Adults",Table1[[#This Row],[age]]&lt;=45,"Adults",Table1[[#This Row],[age]]&lt;=60,"Seniors",Table1[[#This Row],[age]]&gt;=61,"Elderly")</f>
        <v>Young Adults</v>
      </c>
    </row>
    <row r="206" spans="1:8">
      <c r="A206">
        <v>46</v>
      </c>
      <c r="B206" t="s">
        <v>11</v>
      </c>
      <c r="C206">
        <v>22.3</v>
      </c>
      <c r="D206">
        <v>0</v>
      </c>
      <c r="E206" t="s">
        <v>12</v>
      </c>
      <c r="F206" t="s">
        <v>10</v>
      </c>
      <c r="G206">
        <v>7147.11</v>
      </c>
      <c r="H206" s="11" t="str" cm="1">
        <f t="array" ref="H206">_xlfn.IFS(Table1[[#This Row],[age]]&lt;=30,"Young Adults",Table1[[#This Row],[age]]&lt;=45,"Adults",Table1[[#This Row],[age]]&lt;=60,"Seniors",Table1[[#This Row],[age]]&gt;=61,"Elderly")</f>
        <v>Seniors</v>
      </c>
    </row>
    <row r="207" spans="1:8">
      <c r="A207">
        <v>28</v>
      </c>
      <c r="B207" t="s">
        <v>8</v>
      </c>
      <c r="C207">
        <v>28.88</v>
      </c>
      <c r="D207">
        <v>1</v>
      </c>
      <c r="E207" t="s">
        <v>12</v>
      </c>
      <c r="F207" t="s">
        <v>15</v>
      </c>
      <c r="G207">
        <v>4337.74</v>
      </c>
      <c r="H207" s="11" t="str" cm="1">
        <f t="array" ref="H207">_xlfn.IFS(Table1[[#This Row],[age]]&lt;=30,"Young Adults",Table1[[#This Row],[age]]&lt;=45,"Adults",Table1[[#This Row],[age]]&lt;=60,"Seniors",Table1[[#This Row],[age]]&gt;=61,"Elderly")</f>
        <v>Young Adults</v>
      </c>
    </row>
    <row r="208" spans="1:8">
      <c r="A208">
        <v>59</v>
      </c>
      <c r="B208" t="s">
        <v>11</v>
      </c>
      <c r="C208">
        <v>26.4</v>
      </c>
      <c r="D208">
        <v>0</v>
      </c>
      <c r="E208" t="s">
        <v>12</v>
      </c>
      <c r="F208" t="s">
        <v>13</v>
      </c>
      <c r="G208">
        <v>11743.3</v>
      </c>
      <c r="H208" s="11" t="str" cm="1">
        <f t="array" ref="H208">_xlfn.IFS(Table1[[#This Row],[age]]&lt;=30,"Young Adults",Table1[[#This Row],[age]]&lt;=45,"Adults",Table1[[#This Row],[age]]&lt;=60,"Seniors",Table1[[#This Row],[age]]&gt;=61,"Elderly")</f>
        <v>Seniors</v>
      </c>
    </row>
    <row r="209" spans="1:8">
      <c r="A209">
        <v>35</v>
      </c>
      <c r="B209" t="s">
        <v>11</v>
      </c>
      <c r="C209">
        <v>27.74</v>
      </c>
      <c r="D209">
        <v>2</v>
      </c>
      <c r="E209" t="s">
        <v>9</v>
      </c>
      <c r="F209" t="s">
        <v>15</v>
      </c>
      <c r="G209">
        <v>20984.09</v>
      </c>
      <c r="H209" s="11" t="str" cm="1">
        <f t="array" ref="H209">_xlfn.IFS(Table1[[#This Row],[age]]&lt;=30,"Young Adults",Table1[[#This Row],[age]]&lt;=45,"Adults",Table1[[#This Row],[age]]&lt;=60,"Seniors",Table1[[#This Row],[age]]&gt;=61,"Elderly")</f>
        <v>Adults</v>
      </c>
    </row>
    <row r="210" spans="1:8">
      <c r="A210">
        <v>63</v>
      </c>
      <c r="B210" t="s">
        <v>8</v>
      </c>
      <c r="C210">
        <v>31.8</v>
      </c>
      <c r="D210">
        <v>0</v>
      </c>
      <c r="E210" t="s">
        <v>12</v>
      </c>
      <c r="F210" t="s">
        <v>10</v>
      </c>
      <c r="G210">
        <v>13880.95</v>
      </c>
      <c r="H210" s="11" t="str" cm="1">
        <f t="array" ref="H210">_xlfn.IFS(Table1[[#This Row],[age]]&lt;=30,"Young Adults",Table1[[#This Row],[age]]&lt;=45,"Adults",Table1[[#This Row],[age]]&lt;=60,"Seniors",Table1[[#This Row],[age]]&gt;=61,"Elderly")</f>
        <v>Elderly</v>
      </c>
    </row>
    <row r="211" spans="1:8">
      <c r="A211">
        <v>40</v>
      </c>
      <c r="B211" t="s">
        <v>11</v>
      </c>
      <c r="C211">
        <v>41.23</v>
      </c>
      <c r="D211">
        <v>1</v>
      </c>
      <c r="E211" t="s">
        <v>12</v>
      </c>
      <c r="F211" t="s">
        <v>15</v>
      </c>
      <c r="G211">
        <v>6610.11</v>
      </c>
      <c r="H211" s="11" t="str" cm="1">
        <f t="array" ref="H211">_xlfn.IFS(Table1[[#This Row],[age]]&lt;=30,"Young Adults",Table1[[#This Row],[age]]&lt;=45,"Adults",Table1[[#This Row],[age]]&lt;=60,"Seniors",Table1[[#This Row],[age]]&gt;=61,"Elderly")</f>
        <v>Adults</v>
      </c>
    </row>
    <row r="212" spans="1:8">
      <c r="A212">
        <v>20</v>
      </c>
      <c r="B212" t="s">
        <v>11</v>
      </c>
      <c r="C212">
        <v>33</v>
      </c>
      <c r="D212">
        <v>1</v>
      </c>
      <c r="E212" t="s">
        <v>12</v>
      </c>
      <c r="F212" t="s">
        <v>10</v>
      </c>
      <c r="G212">
        <v>1980.07</v>
      </c>
      <c r="H212" s="11" t="str" cm="1">
        <f t="array" ref="H212">_xlfn.IFS(Table1[[#This Row],[age]]&lt;=30,"Young Adults",Table1[[#This Row],[age]]&lt;=45,"Adults",Table1[[#This Row],[age]]&lt;=60,"Seniors",Table1[[#This Row],[age]]&gt;=61,"Elderly")</f>
        <v>Young Adults</v>
      </c>
    </row>
    <row r="213" spans="1:8">
      <c r="A213">
        <v>40</v>
      </c>
      <c r="B213" t="s">
        <v>11</v>
      </c>
      <c r="C213">
        <v>30.875</v>
      </c>
      <c r="D213">
        <v>4</v>
      </c>
      <c r="E213" t="s">
        <v>12</v>
      </c>
      <c r="F213" t="s">
        <v>14</v>
      </c>
      <c r="G213">
        <v>8162.72</v>
      </c>
      <c r="H213" s="11" t="str" cm="1">
        <f t="array" ref="H213">_xlfn.IFS(Table1[[#This Row],[age]]&lt;=30,"Young Adults",Table1[[#This Row],[age]]&lt;=45,"Adults",Table1[[#This Row],[age]]&lt;=60,"Seniors",Table1[[#This Row],[age]]&gt;=61,"Elderly")</f>
        <v>Adults</v>
      </c>
    </row>
    <row r="214" spans="1:8">
      <c r="A214">
        <v>24</v>
      </c>
      <c r="B214" t="s">
        <v>11</v>
      </c>
      <c r="C214">
        <v>28.5</v>
      </c>
      <c r="D214">
        <v>2</v>
      </c>
      <c r="E214" t="s">
        <v>12</v>
      </c>
      <c r="F214" t="s">
        <v>14</v>
      </c>
      <c r="G214">
        <v>3537.7</v>
      </c>
      <c r="H214" s="11" t="str" cm="1">
        <f t="array" ref="H214">_xlfn.IFS(Table1[[#This Row],[age]]&lt;=30,"Young Adults",Table1[[#This Row],[age]]&lt;=45,"Adults",Table1[[#This Row],[age]]&lt;=60,"Seniors",Table1[[#This Row],[age]]&gt;=61,"Elderly")</f>
        <v>Young Adults</v>
      </c>
    </row>
    <row r="215" spans="1:8">
      <c r="A215">
        <v>34</v>
      </c>
      <c r="B215" t="s">
        <v>8</v>
      </c>
      <c r="C215">
        <v>26.73</v>
      </c>
      <c r="D215">
        <v>1</v>
      </c>
      <c r="E215" t="s">
        <v>12</v>
      </c>
      <c r="F215" t="s">
        <v>13</v>
      </c>
      <c r="G215">
        <v>5002.78</v>
      </c>
      <c r="H215" s="11" t="str" cm="1">
        <f t="array" ref="H215">_xlfn.IFS(Table1[[#This Row],[age]]&lt;=30,"Young Adults",Table1[[#This Row],[age]]&lt;=45,"Adults",Table1[[#This Row],[age]]&lt;=60,"Seniors",Table1[[#This Row],[age]]&gt;=61,"Elderly")</f>
        <v>Adults</v>
      </c>
    </row>
    <row r="216" spans="1:8">
      <c r="A216">
        <v>45</v>
      </c>
      <c r="B216" t="s">
        <v>8</v>
      </c>
      <c r="C216">
        <v>30.9</v>
      </c>
      <c r="D216">
        <v>2</v>
      </c>
      <c r="E216" t="s">
        <v>12</v>
      </c>
      <c r="F216" t="s">
        <v>10</v>
      </c>
      <c r="G216">
        <v>8520.03</v>
      </c>
      <c r="H216" s="11" t="str" cm="1">
        <f t="array" ref="H216">_xlfn.IFS(Table1[[#This Row],[age]]&lt;=30,"Young Adults",Table1[[#This Row],[age]]&lt;=45,"Adults",Table1[[#This Row],[age]]&lt;=60,"Seniors",Table1[[#This Row],[age]]&gt;=61,"Elderly")</f>
        <v>Adults</v>
      </c>
    </row>
    <row r="217" spans="1:8">
      <c r="A217">
        <v>41</v>
      </c>
      <c r="B217" t="s">
        <v>8</v>
      </c>
      <c r="C217">
        <v>37.1</v>
      </c>
      <c r="D217">
        <v>2</v>
      </c>
      <c r="E217" t="s">
        <v>12</v>
      </c>
      <c r="F217" t="s">
        <v>10</v>
      </c>
      <c r="G217">
        <v>7371.77</v>
      </c>
      <c r="H217" s="11" t="str" cm="1">
        <f t="array" ref="H217">_xlfn.IFS(Table1[[#This Row],[age]]&lt;=30,"Young Adults",Table1[[#This Row],[age]]&lt;=45,"Adults",Table1[[#This Row],[age]]&lt;=60,"Seniors",Table1[[#This Row],[age]]&gt;=61,"Elderly")</f>
        <v>Adults</v>
      </c>
    </row>
    <row r="218" spans="1:8">
      <c r="A218">
        <v>53</v>
      </c>
      <c r="B218" t="s">
        <v>8</v>
      </c>
      <c r="C218">
        <v>26.6</v>
      </c>
      <c r="D218">
        <v>0</v>
      </c>
      <c r="E218" t="s">
        <v>12</v>
      </c>
      <c r="F218" t="s">
        <v>14</v>
      </c>
      <c r="G218">
        <v>10355.64</v>
      </c>
      <c r="H218" s="11" t="str" cm="1">
        <f t="array" ref="H218">_xlfn.IFS(Table1[[#This Row],[age]]&lt;=30,"Young Adults",Table1[[#This Row],[age]]&lt;=45,"Adults",Table1[[#This Row],[age]]&lt;=60,"Seniors",Table1[[#This Row],[age]]&gt;=61,"Elderly")</f>
        <v>Seniors</v>
      </c>
    </row>
    <row r="219" spans="1:8">
      <c r="A219">
        <v>27</v>
      </c>
      <c r="B219" t="s">
        <v>11</v>
      </c>
      <c r="C219">
        <v>23.1</v>
      </c>
      <c r="D219">
        <v>0</v>
      </c>
      <c r="E219" t="s">
        <v>12</v>
      </c>
      <c r="F219" t="s">
        <v>13</v>
      </c>
      <c r="G219">
        <v>2483.74</v>
      </c>
      <c r="H219" s="11" t="str" cm="1">
        <f t="array" ref="H219">_xlfn.IFS(Table1[[#This Row],[age]]&lt;=30,"Young Adults",Table1[[#This Row],[age]]&lt;=45,"Adults",Table1[[#This Row],[age]]&lt;=60,"Seniors",Table1[[#This Row],[age]]&gt;=61,"Elderly")</f>
        <v>Young Adults</v>
      </c>
    </row>
    <row r="220" spans="1:8">
      <c r="A220">
        <v>26</v>
      </c>
      <c r="B220" t="s">
        <v>8</v>
      </c>
      <c r="C220">
        <v>29.92</v>
      </c>
      <c r="D220">
        <v>1</v>
      </c>
      <c r="E220" t="s">
        <v>12</v>
      </c>
      <c r="F220" t="s">
        <v>13</v>
      </c>
      <c r="G220">
        <v>3392.98</v>
      </c>
      <c r="H220" s="11" t="str" cm="1">
        <f t="array" ref="H220">_xlfn.IFS(Table1[[#This Row],[age]]&lt;=30,"Young Adults",Table1[[#This Row],[age]]&lt;=45,"Adults",Table1[[#This Row],[age]]&lt;=60,"Seniors",Table1[[#This Row],[age]]&gt;=61,"Elderly")</f>
        <v>Young Adults</v>
      </c>
    </row>
    <row r="221" spans="1:8">
      <c r="A221">
        <v>24</v>
      </c>
      <c r="B221" t="s">
        <v>8</v>
      </c>
      <c r="C221">
        <v>23.21</v>
      </c>
      <c r="D221">
        <v>0</v>
      </c>
      <c r="E221" t="s">
        <v>12</v>
      </c>
      <c r="F221" t="s">
        <v>13</v>
      </c>
      <c r="G221">
        <v>25081.77</v>
      </c>
      <c r="H221" s="11" t="str" cm="1">
        <f t="array" ref="H221">_xlfn.IFS(Table1[[#This Row],[age]]&lt;=30,"Young Adults",Table1[[#This Row],[age]]&lt;=45,"Adults",Table1[[#This Row],[age]]&lt;=60,"Seniors",Table1[[#This Row],[age]]&gt;=61,"Elderly")</f>
        <v>Young Adults</v>
      </c>
    </row>
    <row r="222" spans="1:8">
      <c r="A222">
        <v>34</v>
      </c>
      <c r="B222" t="s">
        <v>8</v>
      </c>
      <c r="C222">
        <v>33.7</v>
      </c>
      <c r="D222">
        <v>1</v>
      </c>
      <c r="E222" t="s">
        <v>12</v>
      </c>
      <c r="F222" t="s">
        <v>10</v>
      </c>
      <c r="G222">
        <v>5012.47</v>
      </c>
      <c r="H222" s="11" t="str" cm="1">
        <f t="array" ref="H222">_xlfn.IFS(Table1[[#This Row],[age]]&lt;=30,"Young Adults",Table1[[#This Row],[age]]&lt;=45,"Adults",Table1[[#This Row],[age]]&lt;=60,"Seniors",Table1[[#This Row],[age]]&gt;=61,"Elderly")</f>
        <v>Adults</v>
      </c>
    </row>
    <row r="223" spans="1:8">
      <c r="A223">
        <v>53</v>
      </c>
      <c r="B223" t="s">
        <v>8</v>
      </c>
      <c r="C223">
        <v>33.25</v>
      </c>
      <c r="D223">
        <v>0</v>
      </c>
      <c r="E223" t="s">
        <v>12</v>
      </c>
      <c r="F223" t="s">
        <v>15</v>
      </c>
      <c r="G223">
        <v>10564.88</v>
      </c>
      <c r="H223" s="11" t="str" cm="1">
        <f t="array" ref="H223">_xlfn.IFS(Table1[[#This Row],[age]]&lt;=30,"Young Adults",Table1[[#This Row],[age]]&lt;=45,"Adults",Table1[[#This Row],[age]]&lt;=60,"Seniors",Table1[[#This Row],[age]]&gt;=61,"Elderly")</f>
        <v>Seniors</v>
      </c>
    </row>
    <row r="224" spans="1:8">
      <c r="A224">
        <v>32</v>
      </c>
      <c r="B224" t="s">
        <v>11</v>
      </c>
      <c r="C224">
        <v>30.8</v>
      </c>
      <c r="D224">
        <v>3</v>
      </c>
      <c r="E224" t="s">
        <v>12</v>
      </c>
      <c r="F224" t="s">
        <v>10</v>
      </c>
      <c r="G224">
        <v>5253.52</v>
      </c>
      <c r="H224" s="11" t="str" cm="1">
        <f t="array" ref="H224">_xlfn.IFS(Table1[[#This Row],[age]]&lt;=30,"Young Adults",Table1[[#This Row],[age]]&lt;=45,"Adults",Table1[[#This Row],[age]]&lt;=60,"Seniors",Table1[[#This Row],[age]]&gt;=61,"Elderly")</f>
        <v>Adults</v>
      </c>
    </row>
    <row r="225" spans="1:8">
      <c r="A225">
        <v>19</v>
      </c>
      <c r="B225" t="s">
        <v>11</v>
      </c>
      <c r="C225">
        <v>34.8</v>
      </c>
      <c r="D225">
        <v>0</v>
      </c>
      <c r="E225" t="s">
        <v>9</v>
      </c>
      <c r="F225" t="s">
        <v>10</v>
      </c>
      <c r="G225">
        <v>34779.62</v>
      </c>
      <c r="H225" s="11" t="str" cm="1">
        <f t="array" ref="H225">_xlfn.IFS(Table1[[#This Row],[age]]&lt;=30,"Young Adults",Table1[[#This Row],[age]]&lt;=45,"Adults",Table1[[#This Row],[age]]&lt;=60,"Seniors",Table1[[#This Row],[age]]&gt;=61,"Elderly")</f>
        <v>Young Adults</v>
      </c>
    </row>
    <row r="226" spans="1:8">
      <c r="A226">
        <v>42</v>
      </c>
      <c r="B226" t="s">
        <v>11</v>
      </c>
      <c r="C226">
        <v>24.64</v>
      </c>
      <c r="D226">
        <v>0</v>
      </c>
      <c r="E226" t="s">
        <v>9</v>
      </c>
      <c r="F226" t="s">
        <v>13</v>
      </c>
      <c r="G226">
        <v>19515.54</v>
      </c>
      <c r="H226" s="11" t="str" cm="1">
        <f t="array" ref="H226">_xlfn.IFS(Table1[[#This Row],[age]]&lt;=30,"Young Adults",Table1[[#This Row],[age]]&lt;=45,"Adults",Table1[[#This Row],[age]]&lt;=60,"Seniors",Table1[[#This Row],[age]]&gt;=61,"Elderly")</f>
        <v>Adults</v>
      </c>
    </row>
    <row r="227" spans="1:8">
      <c r="A227">
        <v>55</v>
      </c>
      <c r="B227" t="s">
        <v>11</v>
      </c>
      <c r="C227">
        <v>33.88</v>
      </c>
      <c r="D227">
        <v>3</v>
      </c>
      <c r="E227" t="s">
        <v>12</v>
      </c>
      <c r="F227" t="s">
        <v>13</v>
      </c>
      <c r="G227">
        <v>11987.17</v>
      </c>
      <c r="H227" s="11" t="str" cm="1">
        <f t="array" ref="H227">_xlfn.IFS(Table1[[#This Row],[age]]&lt;=30,"Young Adults",Table1[[#This Row],[age]]&lt;=45,"Adults",Table1[[#This Row],[age]]&lt;=60,"Seniors",Table1[[#This Row],[age]]&gt;=61,"Elderly")</f>
        <v>Seniors</v>
      </c>
    </row>
    <row r="228" spans="1:8">
      <c r="A228">
        <v>28</v>
      </c>
      <c r="B228" t="s">
        <v>11</v>
      </c>
      <c r="C228">
        <v>38.06</v>
      </c>
      <c r="D228">
        <v>0</v>
      </c>
      <c r="E228" t="s">
        <v>12</v>
      </c>
      <c r="F228" t="s">
        <v>13</v>
      </c>
      <c r="G228">
        <v>2689.5</v>
      </c>
      <c r="H228" s="11" t="str" cm="1">
        <f t="array" ref="H228">_xlfn.IFS(Table1[[#This Row],[age]]&lt;=30,"Young Adults",Table1[[#This Row],[age]]&lt;=45,"Adults",Table1[[#This Row],[age]]&lt;=60,"Seniors",Table1[[#This Row],[age]]&gt;=61,"Elderly")</f>
        <v>Young Adults</v>
      </c>
    </row>
    <row r="229" spans="1:8">
      <c r="A229">
        <v>58</v>
      </c>
      <c r="B229" t="s">
        <v>8</v>
      </c>
      <c r="C229">
        <v>41.91</v>
      </c>
      <c r="D229">
        <v>0</v>
      </c>
      <c r="E229" t="s">
        <v>12</v>
      </c>
      <c r="F229" t="s">
        <v>13</v>
      </c>
      <c r="G229">
        <v>24227.34</v>
      </c>
      <c r="H229" s="11" t="str" cm="1">
        <f t="array" ref="H229">_xlfn.IFS(Table1[[#This Row],[age]]&lt;=30,"Young Adults",Table1[[#This Row],[age]]&lt;=45,"Adults",Table1[[#This Row],[age]]&lt;=60,"Seniors",Table1[[#This Row],[age]]&gt;=61,"Elderly")</f>
        <v>Seniors</v>
      </c>
    </row>
    <row r="230" spans="1:8">
      <c r="A230">
        <v>41</v>
      </c>
      <c r="B230" t="s">
        <v>8</v>
      </c>
      <c r="C230">
        <v>31.635</v>
      </c>
      <c r="D230">
        <v>1</v>
      </c>
      <c r="E230" t="s">
        <v>12</v>
      </c>
      <c r="F230" t="s">
        <v>15</v>
      </c>
      <c r="G230">
        <v>7358.18</v>
      </c>
      <c r="H230" s="11" t="str" cm="1">
        <f t="array" ref="H230">_xlfn.IFS(Table1[[#This Row],[age]]&lt;=30,"Young Adults",Table1[[#This Row],[age]]&lt;=45,"Adults",Table1[[#This Row],[age]]&lt;=60,"Seniors",Table1[[#This Row],[age]]&gt;=61,"Elderly")</f>
        <v>Adults</v>
      </c>
    </row>
    <row r="231" spans="1:8">
      <c r="A231">
        <v>47</v>
      </c>
      <c r="B231" t="s">
        <v>11</v>
      </c>
      <c r="C231">
        <v>25.46</v>
      </c>
      <c r="D231">
        <v>2</v>
      </c>
      <c r="E231" t="s">
        <v>12</v>
      </c>
      <c r="F231" t="s">
        <v>15</v>
      </c>
      <c r="G231">
        <v>9225.26</v>
      </c>
      <c r="H231" s="11" t="str" cm="1">
        <f t="array" ref="H231">_xlfn.IFS(Table1[[#This Row],[age]]&lt;=30,"Young Adults",Table1[[#This Row],[age]]&lt;=45,"Adults",Table1[[#This Row],[age]]&lt;=60,"Seniors",Table1[[#This Row],[age]]&gt;=61,"Elderly")</f>
        <v>Seniors</v>
      </c>
    </row>
    <row r="232" spans="1:8">
      <c r="A232">
        <v>42</v>
      </c>
      <c r="B232" t="s">
        <v>8</v>
      </c>
      <c r="C232">
        <v>36.195</v>
      </c>
      <c r="D232">
        <v>1</v>
      </c>
      <c r="E232" t="s">
        <v>12</v>
      </c>
      <c r="F232" t="s">
        <v>14</v>
      </c>
      <c r="G232">
        <v>7443.64</v>
      </c>
      <c r="H232" s="11" t="str" cm="1">
        <f t="array" ref="H232">_xlfn.IFS(Table1[[#This Row],[age]]&lt;=30,"Young Adults",Table1[[#This Row],[age]]&lt;=45,"Adults",Table1[[#This Row],[age]]&lt;=60,"Seniors",Table1[[#This Row],[age]]&gt;=61,"Elderly")</f>
        <v>Adults</v>
      </c>
    </row>
    <row r="233" spans="1:8">
      <c r="A233">
        <v>59</v>
      </c>
      <c r="B233" t="s">
        <v>8</v>
      </c>
      <c r="C233">
        <v>27.83</v>
      </c>
      <c r="D233">
        <v>3</v>
      </c>
      <c r="E233" t="s">
        <v>12</v>
      </c>
      <c r="F233" t="s">
        <v>13</v>
      </c>
      <c r="G233">
        <v>14001.29</v>
      </c>
      <c r="H233" s="11" t="str" cm="1">
        <f t="array" ref="H233">_xlfn.IFS(Table1[[#This Row],[age]]&lt;=30,"Young Adults",Table1[[#This Row],[age]]&lt;=45,"Adults",Table1[[#This Row],[age]]&lt;=60,"Seniors",Table1[[#This Row],[age]]&gt;=61,"Elderly")</f>
        <v>Seniors</v>
      </c>
    </row>
    <row r="234" spans="1:8">
      <c r="A234">
        <v>19</v>
      </c>
      <c r="B234" t="s">
        <v>8</v>
      </c>
      <c r="C234">
        <v>17.8</v>
      </c>
      <c r="D234">
        <v>0</v>
      </c>
      <c r="E234" t="s">
        <v>12</v>
      </c>
      <c r="F234" t="s">
        <v>10</v>
      </c>
      <c r="G234">
        <v>1727.79</v>
      </c>
      <c r="H234" s="11" t="str" cm="1">
        <f t="array" ref="H234">_xlfn.IFS(Table1[[#This Row],[age]]&lt;=30,"Young Adults",Table1[[#This Row],[age]]&lt;=45,"Adults",Table1[[#This Row],[age]]&lt;=60,"Seniors",Table1[[#This Row],[age]]&gt;=61,"Elderly")</f>
        <v>Young Adults</v>
      </c>
    </row>
    <row r="235" spans="1:8">
      <c r="A235">
        <v>59</v>
      </c>
      <c r="B235" t="s">
        <v>11</v>
      </c>
      <c r="C235">
        <v>27.5</v>
      </c>
      <c r="D235">
        <v>1</v>
      </c>
      <c r="E235" t="s">
        <v>12</v>
      </c>
      <c r="F235" t="s">
        <v>10</v>
      </c>
      <c r="G235">
        <v>12333.83</v>
      </c>
      <c r="H235" s="11" t="str" cm="1">
        <f t="array" ref="H235">_xlfn.IFS(Table1[[#This Row],[age]]&lt;=30,"Young Adults",Table1[[#This Row],[age]]&lt;=45,"Adults",Table1[[#This Row],[age]]&lt;=60,"Seniors",Table1[[#This Row],[age]]&gt;=61,"Elderly")</f>
        <v>Seniors</v>
      </c>
    </row>
    <row r="236" spans="1:8">
      <c r="A236">
        <v>39</v>
      </c>
      <c r="B236" t="s">
        <v>11</v>
      </c>
      <c r="C236">
        <v>24.51</v>
      </c>
      <c r="D236">
        <v>2</v>
      </c>
      <c r="E236" t="s">
        <v>12</v>
      </c>
      <c r="F236" t="s">
        <v>14</v>
      </c>
      <c r="G236">
        <v>6710.19</v>
      </c>
      <c r="H236" s="11" t="str" cm="1">
        <f t="array" ref="H236">_xlfn.IFS(Table1[[#This Row],[age]]&lt;=30,"Young Adults",Table1[[#This Row],[age]]&lt;=45,"Adults",Table1[[#This Row],[age]]&lt;=60,"Seniors",Table1[[#This Row],[age]]&gt;=61,"Elderly")</f>
        <v>Adults</v>
      </c>
    </row>
    <row r="237" spans="1:8">
      <c r="A237">
        <v>40</v>
      </c>
      <c r="B237" t="s">
        <v>8</v>
      </c>
      <c r="C237">
        <v>22.22</v>
      </c>
      <c r="D237">
        <v>2</v>
      </c>
      <c r="E237" t="s">
        <v>9</v>
      </c>
      <c r="F237" t="s">
        <v>13</v>
      </c>
      <c r="G237">
        <v>19444.27</v>
      </c>
      <c r="H237" s="11" t="str" cm="1">
        <f t="array" ref="H237">_xlfn.IFS(Table1[[#This Row],[age]]&lt;=30,"Young Adults",Table1[[#This Row],[age]]&lt;=45,"Adults",Table1[[#This Row],[age]]&lt;=60,"Seniors",Table1[[#This Row],[age]]&gt;=61,"Elderly")</f>
        <v>Adults</v>
      </c>
    </row>
    <row r="238" spans="1:8">
      <c r="A238">
        <v>18</v>
      </c>
      <c r="B238" t="s">
        <v>8</v>
      </c>
      <c r="C238">
        <v>26.73</v>
      </c>
      <c r="D238">
        <v>0</v>
      </c>
      <c r="E238" t="s">
        <v>12</v>
      </c>
      <c r="F238" t="s">
        <v>13</v>
      </c>
      <c r="G238">
        <v>1615.77</v>
      </c>
      <c r="H238" s="11" t="str" cm="1">
        <f t="array" ref="H238">_xlfn.IFS(Table1[[#This Row],[age]]&lt;=30,"Young Adults",Table1[[#This Row],[age]]&lt;=45,"Adults",Table1[[#This Row],[age]]&lt;=60,"Seniors",Table1[[#This Row],[age]]&gt;=61,"Elderly")</f>
        <v>Young Adults</v>
      </c>
    </row>
    <row r="239" spans="1:8">
      <c r="A239">
        <v>31</v>
      </c>
      <c r="B239" t="s">
        <v>11</v>
      </c>
      <c r="C239">
        <v>38.39</v>
      </c>
      <c r="D239">
        <v>2</v>
      </c>
      <c r="E239" t="s">
        <v>12</v>
      </c>
      <c r="F239" t="s">
        <v>13</v>
      </c>
      <c r="G239">
        <v>4463.21</v>
      </c>
      <c r="H239" s="11" t="str" cm="1">
        <f t="array" ref="H239">_xlfn.IFS(Table1[[#This Row],[age]]&lt;=30,"Young Adults",Table1[[#This Row],[age]]&lt;=45,"Adults",Table1[[#This Row],[age]]&lt;=60,"Seniors",Table1[[#This Row],[age]]&gt;=61,"Elderly")</f>
        <v>Adults</v>
      </c>
    </row>
    <row r="240" spans="1:8">
      <c r="A240">
        <v>19</v>
      </c>
      <c r="B240" t="s">
        <v>11</v>
      </c>
      <c r="C240">
        <v>29.07</v>
      </c>
      <c r="D240">
        <v>0</v>
      </c>
      <c r="E240" t="s">
        <v>9</v>
      </c>
      <c r="F240" t="s">
        <v>14</v>
      </c>
      <c r="G240">
        <v>17352.68</v>
      </c>
      <c r="H240" s="11" t="str" cm="1">
        <f t="array" ref="H240">_xlfn.IFS(Table1[[#This Row],[age]]&lt;=30,"Young Adults",Table1[[#This Row],[age]]&lt;=45,"Adults",Table1[[#This Row],[age]]&lt;=60,"Seniors",Table1[[#This Row],[age]]&gt;=61,"Elderly")</f>
        <v>Young Adults</v>
      </c>
    </row>
    <row r="241" spans="1:8">
      <c r="A241">
        <v>44</v>
      </c>
      <c r="B241" t="s">
        <v>11</v>
      </c>
      <c r="C241">
        <v>38.06</v>
      </c>
      <c r="D241">
        <v>1</v>
      </c>
      <c r="E241" t="s">
        <v>12</v>
      </c>
      <c r="F241" t="s">
        <v>13</v>
      </c>
      <c r="G241">
        <v>7152.67</v>
      </c>
      <c r="H241" s="11" t="str" cm="1">
        <f t="array" ref="H241">_xlfn.IFS(Table1[[#This Row],[age]]&lt;=30,"Young Adults",Table1[[#This Row],[age]]&lt;=45,"Adults",Table1[[#This Row],[age]]&lt;=60,"Seniors",Table1[[#This Row],[age]]&gt;=61,"Elderly")</f>
        <v>Adults</v>
      </c>
    </row>
    <row r="242" spans="1:8">
      <c r="A242">
        <v>23</v>
      </c>
      <c r="B242" t="s">
        <v>8</v>
      </c>
      <c r="C242">
        <v>36.67</v>
      </c>
      <c r="D242">
        <v>2</v>
      </c>
      <c r="E242" t="s">
        <v>9</v>
      </c>
      <c r="F242" t="s">
        <v>15</v>
      </c>
      <c r="G242">
        <v>38511.63</v>
      </c>
      <c r="H242" s="11" t="str" cm="1">
        <f t="array" ref="H242">_xlfn.IFS(Table1[[#This Row],[age]]&lt;=30,"Young Adults",Table1[[#This Row],[age]]&lt;=45,"Adults",Table1[[#This Row],[age]]&lt;=60,"Seniors",Table1[[#This Row],[age]]&gt;=61,"Elderly")</f>
        <v>Young Adults</v>
      </c>
    </row>
    <row r="243" spans="1:8">
      <c r="A243">
        <v>33</v>
      </c>
      <c r="B243" t="s">
        <v>8</v>
      </c>
      <c r="C243">
        <v>22.135</v>
      </c>
      <c r="D243">
        <v>1</v>
      </c>
      <c r="E243" t="s">
        <v>12</v>
      </c>
      <c r="F243" t="s">
        <v>15</v>
      </c>
      <c r="G243">
        <v>5354.07</v>
      </c>
      <c r="H243" s="11" t="str" cm="1">
        <f t="array" ref="H243">_xlfn.IFS(Table1[[#This Row],[age]]&lt;=30,"Young Adults",Table1[[#This Row],[age]]&lt;=45,"Adults",Table1[[#This Row],[age]]&lt;=60,"Seniors",Table1[[#This Row],[age]]&gt;=61,"Elderly")</f>
        <v>Adults</v>
      </c>
    </row>
    <row r="244" spans="1:8">
      <c r="A244">
        <v>55</v>
      </c>
      <c r="B244" t="s">
        <v>8</v>
      </c>
      <c r="C244">
        <v>26.8</v>
      </c>
      <c r="D244">
        <v>1</v>
      </c>
      <c r="E244" t="s">
        <v>12</v>
      </c>
      <c r="F244" t="s">
        <v>10</v>
      </c>
      <c r="G244">
        <v>35160.13</v>
      </c>
      <c r="H244" s="11" t="str" cm="1">
        <f t="array" ref="H244">_xlfn.IFS(Table1[[#This Row],[age]]&lt;=30,"Young Adults",Table1[[#This Row],[age]]&lt;=45,"Adults",Table1[[#This Row],[age]]&lt;=60,"Seniors",Table1[[#This Row],[age]]&gt;=61,"Elderly")</f>
        <v>Seniors</v>
      </c>
    </row>
    <row r="245" spans="1:8">
      <c r="A245">
        <v>40</v>
      </c>
      <c r="B245" t="s">
        <v>11</v>
      </c>
      <c r="C245">
        <v>35.3</v>
      </c>
      <c r="D245">
        <v>3</v>
      </c>
      <c r="E245" t="s">
        <v>12</v>
      </c>
      <c r="F245" t="s">
        <v>10</v>
      </c>
      <c r="G245">
        <v>7196.87</v>
      </c>
      <c r="H245" s="11" t="str" cm="1">
        <f t="array" ref="H245">_xlfn.IFS(Table1[[#This Row],[age]]&lt;=30,"Young Adults",Table1[[#This Row],[age]]&lt;=45,"Adults",Table1[[#This Row],[age]]&lt;=60,"Seniors",Table1[[#This Row],[age]]&gt;=61,"Elderly")</f>
        <v>Adults</v>
      </c>
    </row>
    <row r="246" spans="1:8">
      <c r="A246">
        <v>63</v>
      </c>
      <c r="B246" t="s">
        <v>8</v>
      </c>
      <c r="C246">
        <v>27.74</v>
      </c>
      <c r="D246">
        <v>0</v>
      </c>
      <c r="E246" t="s">
        <v>9</v>
      </c>
      <c r="F246" t="s">
        <v>15</v>
      </c>
      <c r="G246">
        <v>29523.17</v>
      </c>
      <c r="H246" s="11" t="str" cm="1">
        <f t="array" ref="H246">_xlfn.IFS(Table1[[#This Row],[age]]&lt;=30,"Young Adults",Table1[[#This Row],[age]]&lt;=45,"Adults",Table1[[#This Row],[age]]&lt;=60,"Seniors",Table1[[#This Row],[age]]&gt;=61,"Elderly")</f>
        <v>Elderly</v>
      </c>
    </row>
    <row r="247" spans="1:8">
      <c r="A247">
        <v>54</v>
      </c>
      <c r="B247" t="s">
        <v>11</v>
      </c>
      <c r="C247">
        <v>30.02</v>
      </c>
      <c r="D247">
        <v>0</v>
      </c>
      <c r="E247" t="s">
        <v>12</v>
      </c>
      <c r="F247" t="s">
        <v>14</v>
      </c>
      <c r="G247">
        <v>24476.48</v>
      </c>
      <c r="H247" s="11" t="str" cm="1">
        <f t="array" ref="H247">_xlfn.IFS(Table1[[#This Row],[age]]&lt;=30,"Young Adults",Table1[[#This Row],[age]]&lt;=45,"Adults",Table1[[#This Row],[age]]&lt;=60,"Seniors",Table1[[#This Row],[age]]&gt;=61,"Elderly")</f>
        <v>Seniors</v>
      </c>
    </row>
    <row r="248" spans="1:8">
      <c r="A248">
        <v>60</v>
      </c>
      <c r="B248" t="s">
        <v>8</v>
      </c>
      <c r="C248">
        <v>38.06</v>
      </c>
      <c r="D248">
        <v>0</v>
      </c>
      <c r="E248" t="s">
        <v>12</v>
      </c>
      <c r="F248" t="s">
        <v>13</v>
      </c>
      <c r="G248">
        <v>12648.7</v>
      </c>
      <c r="H248" s="11" t="str" cm="1">
        <f t="array" ref="H248">_xlfn.IFS(Table1[[#This Row],[age]]&lt;=30,"Young Adults",Table1[[#This Row],[age]]&lt;=45,"Adults",Table1[[#This Row],[age]]&lt;=60,"Seniors",Table1[[#This Row],[age]]&gt;=61,"Elderly")</f>
        <v>Seniors</v>
      </c>
    </row>
    <row r="249" spans="1:8">
      <c r="A249">
        <v>24</v>
      </c>
      <c r="B249" t="s">
        <v>11</v>
      </c>
      <c r="C249">
        <v>35.86</v>
      </c>
      <c r="D249">
        <v>0</v>
      </c>
      <c r="E249" t="s">
        <v>12</v>
      </c>
      <c r="F249" t="s">
        <v>13</v>
      </c>
      <c r="G249">
        <v>1986.93</v>
      </c>
      <c r="H249" s="11" t="str" cm="1">
        <f t="array" ref="H249">_xlfn.IFS(Table1[[#This Row],[age]]&lt;=30,"Young Adults",Table1[[#This Row],[age]]&lt;=45,"Adults",Table1[[#This Row],[age]]&lt;=60,"Seniors",Table1[[#This Row],[age]]&gt;=61,"Elderly")</f>
        <v>Young Adults</v>
      </c>
    </row>
    <row r="250" spans="1:8">
      <c r="A250">
        <v>19</v>
      </c>
      <c r="B250" t="s">
        <v>11</v>
      </c>
      <c r="C250">
        <v>20.9</v>
      </c>
      <c r="D250">
        <v>1</v>
      </c>
      <c r="E250" t="s">
        <v>12</v>
      </c>
      <c r="F250" t="s">
        <v>10</v>
      </c>
      <c r="G250">
        <v>1832.09</v>
      </c>
      <c r="H250" s="11" t="str" cm="1">
        <f t="array" ref="H250">_xlfn.IFS(Table1[[#This Row],[age]]&lt;=30,"Young Adults",Table1[[#This Row],[age]]&lt;=45,"Adults",Table1[[#This Row],[age]]&lt;=60,"Seniors",Table1[[#This Row],[age]]&gt;=61,"Elderly")</f>
        <v>Young Adults</v>
      </c>
    </row>
    <row r="251" spans="1:8">
      <c r="A251">
        <v>29</v>
      </c>
      <c r="B251" t="s">
        <v>11</v>
      </c>
      <c r="C251">
        <v>28.975</v>
      </c>
      <c r="D251">
        <v>1</v>
      </c>
      <c r="E251" t="s">
        <v>12</v>
      </c>
      <c r="F251" t="s">
        <v>15</v>
      </c>
      <c r="G251">
        <v>4040.56</v>
      </c>
      <c r="H251" s="11" t="str" cm="1">
        <f t="array" ref="H251">_xlfn.IFS(Table1[[#This Row],[age]]&lt;=30,"Young Adults",Table1[[#This Row],[age]]&lt;=45,"Adults",Table1[[#This Row],[age]]&lt;=60,"Seniors",Table1[[#This Row],[age]]&gt;=61,"Elderly")</f>
        <v>Young Adults</v>
      </c>
    </row>
    <row r="252" spans="1:8">
      <c r="A252">
        <v>18</v>
      </c>
      <c r="B252" t="s">
        <v>11</v>
      </c>
      <c r="C252">
        <v>17.29</v>
      </c>
      <c r="D252">
        <v>2</v>
      </c>
      <c r="E252" t="s">
        <v>9</v>
      </c>
      <c r="F252" t="s">
        <v>15</v>
      </c>
      <c r="G252">
        <v>12829.46</v>
      </c>
      <c r="H252" s="11" t="str" cm="1">
        <f t="array" ref="H252">_xlfn.IFS(Table1[[#This Row],[age]]&lt;=30,"Young Adults",Table1[[#This Row],[age]]&lt;=45,"Adults",Table1[[#This Row],[age]]&lt;=60,"Seniors",Table1[[#This Row],[age]]&gt;=61,"Elderly")</f>
        <v>Young Adults</v>
      </c>
    </row>
    <row r="253" spans="1:8">
      <c r="A253">
        <v>63</v>
      </c>
      <c r="B253" t="s">
        <v>8</v>
      </c>
      <c r="C253">
        <v>32.2</v>
      </c>
      <c r="D253">
        <v>2</v>
      </c>
      <c r="E253" t="s">
        <v>9</v>
      </c>
      <c r="F253" t="s">
        <v>10</v>
      </c>
      <c r="G253">
        <v>47305.31</v>
      </c>
      <c r="H253" s="11" t="str" cm="1">
        <f t="array" ref="H253">_xlfn.IFS(Table1[[#This Row],[age]]&lt;=30,"Young Adults",Table1[[#This Row],[age]]&lt;=45,"Adults",Table1[[#This Row],[age]]&lt;=60,"Seniors",Table1[[#This Row],[age]]&gt;=61,"Elderly")</f>
        <v>Elderly</v>
      </c>
    </row>
    <row r="254" spans="1:8">
      <c r="A254">
        <v>54</v>
      </c>
      <c r="B254" t="s">
        <v>11</v>
      </c>
      <c r="C254">
        <v>34.21</v>
      </c>
      <c r="D254">
        <v>2</v>
      </c>
      <c r="E254" t="s">
        <v>9</v>
      </c>
      <c r="F254" t="s">
        <v>13</v>
      </c>
      <c r="G254">
        <v>44260.75</v>
      </c>
      <c r="H254" s="11" t="str" cm="1">
        <f t="array" ref="H254">_xlfn.IFS(Table1[[#This Row],[age]]&lt;=30,"Young Adults",Table1[[#This Row],[age]]&lt;=45,"Adults",Table1[[#This Row],[age]]&lt;=60,"Seniors",Table1[[#This Row],[age]]&gt;=61,"Elderly")</f>
        <v>Seniors</v>
      </c>
    </row>
    <row r="255" spans="1:8">
      <c r="A255">
        <v>27</v>
      </c>
      <c r="B255" t="s">
        <v>11</v>
      </c>
      <c r="C255">
        <v>30.3</v>
      </c>
      <c r="D255">
        <v>3</v>
      </c>
      <c r="E255" t="s">
        <v>12</v>
      </c>
      <c r="F255" t="s">
        <v>10</v>
      </c>
      <c r="G255">
        <v>4260.74</v>
      </c>
      <c r="H255" s="11" t="str" cm="1">
        <f t="array" ref="H255">_xlfn.IFS(Table1[[#This Row],[age]]&lt;=30,"Young Adults",Table1[[#This Row],[age]]&lt;=45,"Adults",Table1[[#This Row],[age]]&lt;=60,"Seniors",Table1[[#This Row],[age]]&gt;=61,"Elderly")</f>
        <v>Young Adults</v>
      </c>
    </row>
    <row r="256" spans="1:8">
      <c r="A256">
        <v>50</v>
      </c>
      <c r="B256" t="s">
        <v>11</v>
      </c>
      <c r="C256">
        <v>31.825</v>
      </c>
      <c r="D256">
        <v>0</v>
      </c>
      <c r="E256" t="s">
        <v>9</v>
      </c>
      <c r="F256" t="s">
        <v>15</v>
      </c>
      <c r="G256">
        <v>41097.16</v>
      </c>
      <c r="H256" s="11" t="str" cm="1">
        <f t="array" ref="H256">_xlfn.IFS(Table1[[#This Row],[age]]&lt;=30,"Young Adults",Table1[[#This Row],[age]]&lt;=45,"Adults",Table1[[#This Row],[age]]&lt;=60,"Seniors",Table1[[#This Row],[age]]&gt;=61,"Elderly")</f>
        <v>Seniors</v>
      </c>
    </row>
    <row r="257" spans="1:8">
      <c r="A257">
        <v>55</v>
      </c>
      <c r="B257" t="s">
        <v>8</v>
      </c>
      <c r="C257">
        <v>25.365</v>
      </c>
      <c r="D257">
        <v>3</v>
      </c>
      <c r="E257" t="s">
        <v>12</v>
      </c>
      <c r="F257" t="s">
        <v>15</v>
      </c>
      <c r="G257">
        <v>13047.33</v>
      </c>
      <c r="H257" s="11" t="str" cm="1">
        <f t="array" ref="H257">_xlfn.IFS(Table1[[#This Row],[age]]&lt;=30,"Young Adults",Table1[[#This Row],[age]]&lt;=45,"Adults",Table1[[#This Row],[age]]&lt;=60,"Seniors",Table1[[#This Row],[age]]&gt;=61,"Elderly")</f>
        <v>Seniors</v>
      </c>
    </row>
    <row r="258" spans="1:8">
      <c r="A258">
        <v>56</v>
      </c>
      <c r="B258" t="s">
        <v>11</v>
      </c>
      <c r="C258">
        <v>33.63</v>
      </c>
      <c r="D258">
        <v>0</v>
      </c>
      <c r="E258" t="s">
        <v>9</v>
      </c>
      <c r="F258" t="s">
        <v>14</v>
      </c>
      <c r="G258">
        <v>43921.18</v>
      </c>
      <c r="H258" s="11" t="str" cm="1">
        <f t="array" ref="H258">_xlfn.IFS(Table1[[#This Row],[age]]&lt;=30,"Young Adults",Table1[[#This Row],[age]]&lt;=45,"Adults",Table1[[#This Row],[age]]&lt;=60,"Seniors",Table1[[#This Row],[age]]&gt;=61,"Elderly")</f>
        <v>Seniors</v>
      </c>
    </row>
    <row r="259" spans="1:8">
      <c r="A259">
        <v>38</v>
      </c>
      <c r="B259" t="s">
        <v>8</v>
      </c>
      <c r="C259">
        <v>40.15</v>
      </c>
      <c r="D259">
        <v>0</v>
      </c>
      <c r="E259" t="s">
        <v>12</v>
      </c>
      <c r="F259" t="s">
        <v>13</v>
      </c>
      <c r="G259">
        <v>5400.98</v>
      </c>
      <c r="H259" s="11" t="str" cm="1">
        <f t="array" ref="H259">_xlfn.IFS(Table1[[#This Row],[age]]&lt;=30,"Young Adults",Table1[[#This Row],[age]]&lt;=45,"Adults",Table1[[#This Row],[age]]&lt;=60,"Seniors",Table1[[#This Row],[age]]&gt;=61,"Elderly")</f>
        <v>Adults</v>
      </c>
    </row>
    <row r="260" spans="1:8">
      <c r="A260">
        <v>51</v>
      </c>
      <c r="B260" t="s">
        <v>11</v>
      </c>
      <c r="C260">
        <v>24.415</v>
      </c>
      <c r="D260">
        <v>4</v>
      </c>
      <c r="E260" t="s">
        <v>12</v>
      </c>
      <c r="F260" t="s">
        <v>14</v>
      </c>
      <c r="G260">
        <v>11520.1</v>
      </c>
      <c r="H260" s="11" t="str" cm="1">
        <f t="array" ref="H260">_xlfn.IFS(Table1[[#This Row],[age]]&lt;=30,"Young Adults",Table1[[#This Row],[age]]&lt;=45,"Adults",Table1[[#This Row],[age]]&lt;=60,"Seniors",Table1[[#This Row],[age]]&gt;=61,"Elderly")</f>
        <v>Seniors</v>
      </c>
    </row>
    <row r="261" spans="1:8">
      <c r="A261">
        <v>19</v>
      </c>
      <c r="B261" t="s">
        <v>11</v>
      </c>
      <c r="C261">
        <v>31.92</v>
      </c>
      <c r="D261">
        <v>0</v>
      </c>
      <c r="E261" t="s">
        <v>9</v>
      </c>
      <c r="F261" t="s">
        <v>14</v>
      </c>
      <c r="G261">
        <v>33750.29</v>
      </c>
      <c r="H261" s="11" t="str" cm="1">
        <f t="array" ref="H261">_xlfn.IFS(Table1[[#This Row],[age]]&lt;=30,"Young Adults",Table1[[#This Row],[age]]&lt;=45,"Adults",Table1[[#This Row],[age]]&lt;=60,"Seniors",Table1[[#This Row],[age]]&gt;=61,"Elderly")</f>
        <v>Young Adults</v>
      </c>
    </row>
    <row r="262" spans="1:8">
      <c r="A262">
        <v>58</v>
      </c>
      <c r="B262" t="s">
        <v>8</v>
      </c>
      <c r="C262">
        <v>25.2</v>
      </c>
      <c r="D262">
        <v>0</v>
      </c>
      <c r="E262" t="s">
        <v>12</v>
      </c>
      <c r="F262" t="s">
        <v>10</v>
      </c>
      <c r="G262">
        <v>11837.16</v>
      </c>
      <c r="H262" s="11" t="str" cm="1">
        <f t="array" ref="H262">_xlfn.IFS(Table1[[#This Row],[age]]&lt;=30,"Young Adults",Table1[[#This Row],[age]]&lt;=45,"Adults",Table1[[#This Row],[age]]&lt;=60,"Seniors",Table1[[#This Row],[age]]&gt;=61,"Elderly")</f>
        <v>Seniors</v>
      </c>
    </row>
    <row r="263" spans="1:8">
      <c r="A263">
        <v>20</v>
      </c>
      <c r="B263" t="s">
        <v>8</v>
      </c>
      <c r="C263">
        <v>26.84</v>
      </c>
      <c r="D263">
        <v>1</v>
      </c>
      <c r="E263" t="s">
        <v>9</v>
      </c>
      <c r="F263" t="s">
        <v>13</v>
      </c>
      <c r="G263">
        <v>17085.27</v>
      </c>
      <c r="H263" s="11" t="str" cm="1">
        <f t="array" ref="H263">_xlfn.IFS(Table1[[#This Row],[age]]&lt;=30,"Young Adults",Table1[[#This Row],[age]]&lt;=45,"Adults",Table1[[#This Row],[age]]&lt;=60,"Seniors",Table1[[#This Row],[age]]&gt;=61,"Elderly")</f>
        <v>Young Adults</v>
      </c>
    </row>
    <row r="264" spans="1:8">
      <c r="A264">
        <v>52</v>
      </c>
      <c r="B264" t="s">
        <v>11</v>
      </c>
      <c r="C264">
        <v>24.32</v>
      </c>
      <c r="D264">
        <v>3</v>
      </c>
      <c r="E264" t="s">
        <v>9</v>
      </c>
      <c r="F264" t="s">
        <v>15</v>
      </c>
      <c r="G264">
        <v>24869.84</v>
      </c>
      <c r="H264" s="11" t="str" cm="1">
        <f t="array" ref="H264">_xlfn.IFS(Table1[[#This Row],[age]]&lt;=30,"Young Adults",Table1[[#This Row],[age]]&lt;=45,"Adults",Table1[[#This Row],[age]]&lt;=60,"Seniors",Table1[[#This Row],[age]]&gt;=61,"Elderly")</f>
        <v>Seniors</v>
      </c>
    </row>
    <row r="265" spans="1:8">
      <c r="A265">
        <v>19</v>
      </c>
      <c r="B265" t="s">
        <v>11</v>
      </c>
      <c r="C265">
        <v>36.955</v>
      </c>
      <c r="D265">
        <v>0</v>
      </c>
      <c r="E265" t="s">
        <v>9</v>
      </c>
      <c r="F265" t="s">
        <v>14</v>
      </c>
      <c r="G265">
        <v>36219.41</v>
      </c>
      <c r="H265" s="11" t="str" cm="1">
        <f t="array" ref="H265">_xlfn.IFS(Table1[[#This Row],[age]]&lt;=30,"Young Adults",Table1[[#This Row],[age]]&lt;=45,"Adults",Table1[[#This Row],[age]]&lt;=60,"Seniors",Table1[[#This Row],[age]]&gt;=61,"Elderly")</f>
        <v>Young Adults</v>
      </c>
    </row>
    <row r="266" spans="1:8">
      <c r="A266">
        <v>53</v>
      </c>
      <c r="B266" t="s">
        <v>8</v>
      </c>
      <c r="C266">
        <v>38.06</v>
      </c>
      <c r="D266">
        <v>3</v>
      </c>
      <c r="E266" t="s">
        <v>12</v>
      </c>
      <c r="F266" t="s">
        <v>13</v>
      </c>
      <c r="G266">
        <v>20463</v>
      </c>
      <c r="H266" s="11" t="str" cm="1">
        <f t="array" ref="H266">_xlfn.IFS(Table1[[#This Row],[age]]&lt;=30,"Young Adults",Table1[[#This Row],[age]]&lt;=45,"Adults",Table1[[#This Row],[age]]&lt;=60,"Seniors",Table1[[#This Row],[age]]&gt;=61,"Elderly")</f>
        <v>Seniors</v>
      </c>
    </row>
    <row r="267" spans="1:8">
      <c r="A267">
        <v>46</v>
      </c>
      <c r="B267" t="s">
        <v>11</v>
      </c>
      <c r="C267">
        <v>42.35</v>
      </c>
      <c r="D267">
        <v>3</v>
      </c>
      <c r="E267" t="s">
        <v>9</v>
      </c>
      <c r="F267" t="s">
        <v>13</v>
      </c>
      <c r="G267">
        <v>46151.12</v>
      </c>
      <c r="H267" s="11" t="str" cm="1">
        <f t="array" ref="H267">_xlfn.IFS(Table1[[#This Row],[age]]&lt;=30,"Young Adults",Table1[[#This Row],[age]]&lt;=45,"Adults",Table1[[#This Row],[age]]&lt;=60,"Seniors",Table1[[#This Row],[age]]&gt;=61,"Elderly")</f>
        <v>Seniors</v>
      </c>
    </row>
    <row r="268" spans="1:8">
      <c r="A268">
        <v>40</v>
      </c>
      <c r="B268" t="s">
        <v>11</v>
      </c>
      <c r="C268">
        <v>19.8</v>
      </c>
      <c r="D268">
        <v>1</v>
      </c>
      <c r="E268" t="s">
        <v>9</v>
      </c>
      <c r="F268" t="s">
        <v>13</v>
      </c>
      <c r="G268">
        <v>17179.52</v>
      </c>
      <c r="H268" s="11" t="str" cm="1">
        <f t="array" ref="H268">_xlfn.IFS(Table1[[#This Row],[age]]&lt;=30,"Young Adults",Table1[[#This Row],[age]]&lt;=45,"Adults",Table1[[#This Row],[age]]&lt;=60,"Seniors",Table1[[#This Row],[age]]&gt;=61,"Elderly")</f>
        <v>Adults</v>
      </c>
    </row>
    <row r="269" spans="1:8">
      <c r="A269">
        <v>59</v>
      </c>
      <c r="B269" t="s">
        <v>8</v>
      </c>
      <c r="C269">
        <v>32.395</v>
      </c>
      <c r="D269">
        <v>3</v>
      </c>
      <c r="E269" t="s">
        <v>12</v>
      </c>
      <c r="F269" t="s">
        <v>15</v>
      </c>
      <c r="G269">
        <v>14590.63</v>
      </c>
      <c r="H269" s="11" t="str" cm="1">
        <f t="array" ref="H269">_xlfn.IFS(Table1[[#This Row],[age]]&lt;=30,"Young Adults",Table1[[#This Row],[age]]&lt;=45,"Adults",Table1[[#This Row],[age]]&lt;=60,"Seniors",Table1[[#This Row],[age]]&gt;=61,"Elderly")</f>
        <v>Seniors</v>
      </c>
    </row>
    <row r="270" spans="1:8">
      <c r="A270">
        <v>45</v>
      </c>
      <c r="B270" t="s">
        <v>11</v>
      </c>
      <c r="C270">
        <v>30.2</v>
      </c>
      <c r="D270">
        <v>1</v>
      </c>
      <c r="E270" t="s">
        <v>12</v>
      </c>
      <c r="F270" t="s">
        <v>10</v>
      </c>
      <c r="G270">
        <v>7441.05</v>
      </c>
      <c r="H270" s="11" t="str" cm="1">
        <f t="array" ref="H270">_xlfn.IFS(Table1[[#This Row],[age]]&lt;=30,"Young Adults",Table1[[#This Row],[age]]&lt;=45,"Adults",Table1[[#This Row],[age]]&lt;=60,"Seniors",Table1[[#This Row],[age]]&gt;=61,"Elderly")</f>
        <v>Adults</v>
      </c>
    </row>
    <row r="271" spans="1:8">
      <c r="A271">
        <v>49</v>
      </c>
      <c r="B271" t="s">
        <v>11</v>
      </c>
      <c r="C271">
        <v>25.84</v>
      </c>
      <c r="D271">
        <v>1</v>
      </c>
      <c r="E271" t="s">
        <v>12</v>
      </c>
      <c r="F271" t="s">
        <v>15</v>
      </c>
      <c r="G271">
        <v>9282.48</v>
      </c>
      <c r="H271" s="11" t="str" cm="1">
        <f t="array" ref="H271">_xlfn.IFS(Table1[[#This Row],[age]]&lt;=30,"Young Adults",Table1[[#This Row],[age]]&lt;=45,"Adults",Table1[[#This Row],[age]]&lt;=60,"Seniors",Table1[[#This Row],[age]]&gt;=61,"Elderly")</f>
        <v>Seniors</v>
      </c>
    </row>
    <row r="272" spans="1:8">
      <c r="A272">
        <v>18</v>
      </c>
      <c r="B272" t="s">
        <v>11</v>
      </c>
      <c r="C272">
        <v>29.37</v>
      </c>
      <c r="D272">
        <v>1</v>
      </c>
      <c r="E272" t="s">
        <v>12</v>
      </c>
      <c r="F272" t="s">
        <v>13</v>
      </c>
      <c r="G272">
        <v>1719.44</v>
      </c>
      <c r="H272" s="11" t="str" cm="1">
        <f t="array" ref="H272">_xlfn.IFS(Table1[[#This Row],[age]]&lt;=30,"Young Adults",Table1[[#This Row],[age]]&lt;=45,"Adults",Table1[[#This Row],[age]]&lt;=60,"Seniors",Table1[[#This Row],[age]]&gt;=61,"Elderly")</f>
        <v>Young Adults</v>
      </c>
    </row>
    <row r="273" spans="1:8">
      <c r="A273">
        <v>50</v>
      </c>
      <c r="B273" t="s">
        <v>11</v>
      </c>
      <c r="C273">
        <v>34.2</v>
      </c>
      <c r="D273">
        <v>2</v>
      </c>
      <c r="E273" t="s">
        <v>9</v>
      </c>
      <c r="F273" t="s">
        <v>10</v>
      </c>
      <c r="G273">
        <v>42856.84</v>
      </c>
      <c r="H273" s="11" t="str" cm="1">
        <f t="array" ref="H273">_xlfn.IFS(Table1[[#This Row],[age]]&lt;=30,"Young Adults",Table1[[#This Row],[age]]&lt;=45,"Adults",Table1[[#This Row],[age]]&lt;=60,"Seniors",Table1[[#This Row],[age]]&gt;=61,"Elderly")</f>
        <v>Seniors</v>
      </c>
    </row>
    <row r="274" spans="1:8">
      <c r="A274">
        <v>41</v>
      </c>
      <c r="B274" t="s">
        <v>11</v>
      </c>
      <c r="C274">
        <v>37.05</v>
      </c>
      <c r="D274">
        <v>2</v>
      </c>
      <c r="E274" t="s">
        <v>12</v>
      </c>
      <c r="F274" t="s">
        <v>14</v>
      </c>
      <c r="G274">
        <v>7265.7</v>
      </c>
      <c r="H274" s="11" t="str" cm="1">
        <f t="array" ref="H274">_xlfn.IFS(Table1[[#This Row],[age]]&lt;=30,"Young Adults",Table1[[#This Row],[age]]&lt;=45,"Adults",Table1[[#This Row],[age]]&lt;=60,"Seniors",Table1[[#This Row],[age]]&gt;=61,"Elderly")</f>
        <v>Adults</v>
      </c>
    </row>
    <row r="275" spans="1:8">
      <c r="A275">
        <v>50</v>
      </c>
      <c r="B275" t="s">
        <v>11</v>
      </c>
      <c r="C275">
        <v>27.455</v>
      </c>
      <c r="D275">
        <v>1</v>
      </c>
      <c r="E275" t="s">
        <v>12</v>
      </c>
      <c r="F275" t="s">
        <v>15</v>
      </c>
      <c r="G275">
        <v>9617.66</v>
      </c>
      <c r="H275" s="11" t="str" cm="1">
        <f t="array" ref="H275">_xlfn.IFS(Table1[[#This Row],[age]]&lt;=30,"Young Adults",Table1[[#This Row],[age]]&lt;=45,"Adults",Table1[[#This Row],[age]]&lt;=60,"Seniors",Table1[[#This Row],[age]]&gt;=61,"Elderly")</f>
        <v>Seniors</v>
      </c>
    </row>
    <row r="276" spans="1:8">
      <c r="A276">
        <v>25</v>
      </c>
      <c r="B276" t="s">
        <v>11</v>
      </c>
      <c r="C276">
        <v>27.55</v>
      </c>
      <c r="D276">
        <v>0</v>
      </c>
      <c r="E276" t="s">
        <v>12</v>
      </c>
      <c r="F276" t="s">
        <v>14</v>
      </c>
      <c r="G276">
        <v>2523.17</v>
      </c>
      <c r="H276" s="11" t="str" cm="1">
        <f t="array" ref="H276">_xlfn.IFS(Table1[[#This Row],[age]]&lt;=30,"Young Adults",Table1[[#This Row],[age]]&lt;=45,"Adults",Table1[[#This Row],[age]]&lt;=60,"Seniors",Table1[[#This Row],[age]]&gt;=61,"Elderly")</f>
        <v>Young Adults</v>
      </c>
    </row>
    <row r="277" spans="1:8">
      <c r="A277">
        <v>47</v>
      </c>
      <c r="B277" t="s">
        <v>8</v>
      </c>
      <c r="C277">
        <v>26.6</v>
      </c>
      <c r="D277">
        <v>2</v>
      </c>
      <c r="E277" t="s">
        <v>12</v>
      </c>
      <c r="F277" t="s">
        <v>15</v>
      </c>
      <c r="G277">
        <v>9715.84</v>
      </c>
      <c r="H277" s="11" t="str" cm="1">
        <f t="array" ref="H277">_xlfn.IFS(Table1[[#This Row],[age]]&lt;=30,"Young Adults",Table1[[#This Row],[age]]&lt;=45,"Adults",Table1[[#This Row],[age]]&lt;=60,"Seniors",Table1[[#This Row],[age]]&gt;=61,"Elderly")</f>
        <v>Seniors</v>
      </c>
    </row>
    <row r="278" spans="1:8">
      <c r="A278">
        <v>19</v>
      </c>
      <c r="B278" t="s">
        <v>11</v>
      </c>
      <c r="C278">
        <v>20.615</v>
      </c>
      <c r="D278">
        <v>2</v>
      </c>
      <c r="E278" t="s">
        <v>12</v>
      </c>
      <c r="F278" t="s">
        <v>14</v>
      </c>
      <c r="G278">
        <v>2803.7</v>
      </c>
      <c r="H278" s="11" t="str" cm="1">
        <f t="array" ref="H278">_xlfn.IFS(Table1[[#This Row],[age]]&lt;=30,"Young Adults",Table1[[#This Row],[age]]&lt;=45,"Adults",Table1[[#This Row],[age]]&lt;=60,"Seniors",Table1[[#This Row],[age]]&gt;=61,"Elderly")</f>
        <v>Young Adults</v>
      </c>
    </row>
    <row r="279" spans="1:8">
      <c r="A279">
        <v>22</v>
      </c>
      <c r="B279" t="s">
        <v>8</v>
      </c>
      <c r="C279">
        <v>24.3</v>
      </c>
      <c r="D279">
        <v>0</v>
      </c>
      <c r="E279" t="s">
        <v>12</v>
      </c>
      <c r="F279" t="s">
        <v>10</v>
      </c>
      <c r="G279">
        <v>2150.47</v>
      </c>
      <c r="H279" s="11" t="str" cm="1">
        <f t="array" ref="H279">_xlfn.IFS(Table1[[#This Row],[age]]&lt;=30,"Young Adults",Table1[[#This Row],[age]]&lt;=45,"Adults",Table1[[#This Row],[age]]&lt;=60,"Seniors",Table1[[#This Row],[age]]&gt;=61,"Elderly")</f>
        <v>Young Adults</v>
      </c>
    </row>
    <row r="280" spans="1:8">
      <c r="A280">
        <v>59</v>
      </c>
      <c r="B280" t="s">
        <v>11</v>
      </c>
      <c r="C280">
        <v>31.79</v>
      </c>
      <c r="D280">
        <v>2</v>
      </c>
      <c r="E280" t="s">
        <v>12</v>
      </c>
      <c r="F280" t="s">
        <v>13</v>
      </c>
      <c r="G280">
        <v>12928.79</v>
      </c>
      <c r="H280" s="11" t="str" cm="1">
        <f t="array" ref="H280">_xlfn.IFS(Table1[[#This Row],[age]]&lt;=30,"Young Adults",Table1[[#This Row],[age]]&lt;=45,"Adults",Table1[[#This Row],[age]]&lt;=60,"Seniors",Table1[[#This Row],[age]]&gt;=61,"Elderly")</f>
        <v>Seniors</v>
      </c>
    </row>
    <row r="281" spans="1:8">
      <c r="A281">
        <v>51</v>
      </c>
      <c r="B281" t="s">
        <v>8</v>
      </c>
      <c r="C281">
        <v>21.56</v>
      </c>
      <c r="D281">
        <v>1</v>
      </c>
      <c r="E281" t="s">
        <v>12</v>
      </c>
      <c r="F281" t="s">
        <v>13</v>
      </c>
      <c r="G281">
        <v>9855.13</v>
      </c>
      <c r="H281" s="11" t="str" cm="1">
        <f t="array" ref="H281">_xlfn.IFS(Table1[[#This Row],[age]]&lt;=30,"Young Adults",Table1[[#This Row],[age]]&lt;=45,"Adults",Table1[[#This Row],[age]]&lt;=60,"Seniors",Table1[[#This Row],[age]]&gt;=61,"Elderly")</f>
        <v>Seniors</v>
      </c>
    </row>
    <row r="282" spans="1:8">
      <c r="A282">
        <v>40</v>
      </c>
      <c r="B282" t="s">
        <v>8</v>
      </c>
      <c r="C282">
        <v>28.12</v>
      </c>
      <c r="D282">
        <v>1</v>
      </c>
      <c r="E282" t="s">
        <v>9</v>
      </c>
      <c r="F282" t="s">
        <v>15</v>
      </c>
      <c r="G282">
        <v>22331.57</v>
      </c>
      <c r="H282" s="11" t="str" cm="1">
        <f t="array" ref="H282">_xlfn.IFS(Table1[[#This Row],[age]]&lt;=30,"Young Adults",Table1[[#This Row],[age]]&lt;=45,"Adults",Table1[[#This Row],[age]]&lt;=60,"Seniors",Table1[[#This Row],[age]]&gt;=61,"Elderly")</f>
        <v>Adults</v>
      </c>
    </row>
    <row r="283" spans="1:8">
      <c r="A283">
        <v>54</v>
      </c>
      <c r="B283" t="s">
        <v>11</v>
      </c>
      <c r="C283">
        <v>40.565</v>
      </c>
      <c r="D283">
        <v>3</v>
      </c>
      <c r="E283" t="s">
        <v>9</v>
      </c>
      <c r="F283" t="s">
        <v>15</v>
      </c>
      <c r="G283">
        <v>48549.18</v>
      </c>
      <c r="H283" s="11" t="str" cm="1">
        <f t="array" ref="H283">_xlfn.IFS(Table1[[#This Row],[age]]&lt;=30,"Young Adults",Table1[[#This Row],[age]]&lt;=45,"Adults",Table1[[#This Row],[age]]&lt;=60,"Seniors",Table1[[#This Row],[age]]&gt;=61,"Elderly")</f>
        <v>Seniors</v>
      </c>
    </row>
    <row r="284" spans="1:8">
      <c r="A284">
        <v>30</v>
      </c>
      <c r="B284" t="s">
        <v>11</v>
      </c>
      <c r="C284">
        <v>27.645</v>
      </c>
      <c r="D284">
        <v>1</v>
      </c>
      <c r="E284" t="s">
        <v>12</v>
      </c>
      <c r="F284" t="s">
        <v>15</v>
      </c>
      <c r="G284">
        <v>4237.13</v>
      </c>
      <c r="H284" s="11" t="str" cm="1">
        <f t="array" ref="H284">_xlfn.IFS(Table1[[#This Row],[age]]&lt;=30,"Young Adults",Table1[[#This Row],[age]]&lt;=45,"Adults",Table1[[#This Row],[age]]&lt;=60,"Seniors",Table1[[#This Row],[age]]&gt;=61,"Elderly")</f>
        <v>Young Adults</v>
      </c>
    </row>
    <row r="285" spans="1:8">
      <c r="A285">
        <v>55</v>
      </c>
      <c r="B285" t="s">
        <v>8</v>
      </c>
      <c r="C285">
        <v>32.395</v>
      </c>
      <c r="D285">
        <v>1</v>
      </c>
      <c r="E285" t="s">
        <v>12</v>
      </c>
      <c r="F285" t="s">
        <v>15</v>
      </c>
      <c r="G285">
        <v>11879.1</v>
      </c>
      <c r="H285" s="11" t="str" cm="1">
        <f t="array" ref="H285">_xlfn.IFS(Table1[[#This Row],[age]]&lt;=30,"Young Adults",Table1[[#This Row],[age]]&lt;=45,"Adults",Table1[[#This Row],[age]]&lt;=60,"Seniors",Table1[[#This Row],[age]]&gt;=61,"Elderly")</f>
        <v>Seniors</v>
      </c>
    </row>
    <row r="286" spans="1:8">
      <c r="A286">
        <v>52</v>
      </c>
      <c r="B286" t="s">
        <v>8</v>
      </c>
      <c r="C286">
        <v>31.2</v>
      </c>
      <c r="D286">
        <v>0</v>
      </c>
      <c r="E286" t="s">
        <v>12</v>
      </c>
      <c r="F286" t="s">
        <v>10</v>
      </c>
      <c r="G286">
        <v>9625.92</v>
      </c>
      <c r="H286" s="11" t="str" cm="1">
        <f t="array" ref="H286">_xlfn.IFS(Table1[[#This Row],[age]]&lt;=30,"Young Adults",Table1[[#This Row],[age]]&lt;=45,"Adults",Table1[[#This Row],[age]]&lt;=60,"Seniors",Table1[[#This Row],[age]]&gt;=61,"Elderly")</f>
        <v>Seniors</v>
      </c>
    </row>
    <row r="287" spans="1:8">
      <c r="A287">
        <v>46</v>
      </c>
      <c r="B287" t="s">
        <v>11</v>
      </c>
      <c r="C287">
        <v>26.62</v>
      </c>
      <c r="D287">
        <v>1</v>
      </c>
      <c r="E287" t="s">
        <v>12</v>
      </c>
      <c r="F287" t="s">
        <v>13</v>
      </c>
      <c r="G287">
        <v>7742.11</v>
      </c>
      <c r="H287" s="11" t="str" cm="1">
        <f t="array" ref="H287">_xlfn.IFS(Table1[[#This Row],[age]]&lt;=30,"Young Adults",Table1[[#This Row],[age]]&lt;=45,"Adults",Table1[[#This Row],[age]]&lt;=60,"Seniors",Table1[[#This Row],[age]]&gt;=61,"Elderly")</f>
        <v>Seniors</v>
      </c>
    </row>
    <row r="288" spans="1:8">
      <c r="A288">
        <v>46</v>
      </c>
      <c r="B288" t="s">
        <v>8</v>
      </c>
      <c r="C288">
        <v>48.07</v>
      </c>
      <c r="D288">
        <v>2</v>
      </c>
      <c r="E288" t="s">
        <v>12</v>
      </c>
      <c r="F288" t="s">
        <v>15</v>
      </c>
      <c r="G288">
        <v>9432.93</v>
      </c>
      <c r="H288" s="11" t="str" cm="1">
        <f t="array" ref="H288">_xlfn.IFS(Table1[[#This Row],[age]]&lt;=30,"Young Adults",Table1[[#This Row],[age]]&lt;=45,"Adults",Table1[[#This Row],[age]]&lt;=60,"Seniors",Table1[[#This Row],[age]]&gt;=61,"Elderly")</f>
        <v>Seniors</v>
      </c>
    </row>
    <row r="289" spans="1:8">
      <c r="A289">
        <v>63</v>
      </c>
      <c r="B289" t="s">
        <v>8</v>
      </c>
      <c r="C289">
        <v>26.22</v>
      </c>
      <c r="D289">
        <v>0</v>
      </c>
      <c r="E289" t="s">
        <v>12</v>
      </c>
      <c r="F289" t="s">
        <v>14</v>
      </c>
      <c r="G289">
        <v>14256.19</v>
      </c>
      <c r="H289" s="11" t="str" cm="1">
        <f t="array" ref="H289">_xlfn.IFS(Table1[[#This Row],[age]]&lt;=30,"Young Adults",Table1[[#This Row],[age]]&lt;=45,"Adults",Table1[[#This Row],[age]]&lt;=60,"Seniors",Table1[[#This Row],[age]]&gt;=61,"Elderly")</f>
        <v>Elderly</v>
      </c>
    </row>
    <row r="290" spans="1:8">
      <c r="A290">
        <v>59</v>
      </c>
      <c r="B290" t="s">
        <v>8</v>
      </c>
      <c r="C290">
        <v>36.765</v>
      </c>
      <c r="D290">
        <v>1</v>
      </c>
      <c r="E290" t="s">
        <v>9</v>
      </c>
      <c r="F290" t="s">
        <v>15</v>
      </c>
      <c r="G290">
        <v>47896.79</v>
      </c>
      <c r="H290" s="11" t="str" cm="1">
        <f t="array" ref="H290">_xlfn.IFS(Table1[[#This Row],[age]]&lt;=30,"Young Adults",Table1[[#This Row],[age]]&lt;=45,"Adults",Table1[[#This Row],[age]]&lt;=60,"Seniors",Table1[[#This Row],[age]]&gt;=61,"Elderly")</f>
        <v>Seniors</v>
      </c>
    </row>
    <row r="291" spans="1:8">
      <c r="A291">
        <v>52</v>
      </c>
      <c r="B291" t="s">
        <v>11</v>
      </c>
      <c r="C291">
        <v>26.4</v>
      </c>
      <c r="D291">
        <v>3</v>
      </c>
      <c r="E291" t="s">
        <v>12</v>
      </c>
      <c r="F291" t="s">
        <v>13</v>
      </c>
      <c r="G291">
        <v>25992.82</v>
      </c>
      <c r="H291" s="11" t="str" cm="1">
        <f t="array" ref="H291">_xlfn.IFS(Table1[[#This Row],[age]]&lt;=30,"Young Adults",Table1[[#This Row],[age]]&lt;=45,"Adults",Table1[[#This Row],[age]]&lt;=60,"Seniors",Table1[[#This Row],[age]]&gt;=61,"Elderly")</f>
        <v>Seniors</v>
      </c>
    </row>
    <row r="292" spans="1:8">
      <c r="A292">
        <v>28</v>
      </c>
      <c r="B292" t="s">
        <v>8</v>
      </c>
      <c r="C292">
        <v>33.4</v>
      </c>
      <c r="D292">
        <v>0</v>
      </c>
      <c r="E292" t="s">
        <v>12</v>
      </c>
      <c r="F292" t="s">
        <v>10</v>
      </c>
      <c r="G292">
        <v>3172.02</v>
      </c>
      <c r="H292" s="11" t="str" cm="1">
        <f t="array" ref="H292">_xlfn.IFS(Table1[[#This Row],[age]]&lt;=30,"Young Adults",Table1[[#This Row],[age]]&lt;=45,"Adults",Table1[[#This Row],[age]]&lt;=60,"Seniors",Table1[[#This Row],[age]]&gt;=61,"Elderly")</f>
        <v>Young Adults</v>
      </c>
    </row>
    <row r="293" spans="1:8">
      <c r="A293">
        <v>29</v>
      </c>
      <c r="B293" t="s">
        <v>11</v>
      </c>
      <c r="C293">
        <v>29.64</v>
      </c>
      <c r="D293">
        <v>1</v>
      </c>
      <c r="E293" t="s">
        <v>12</v>
      </c>
      <c r="F293" t="s">
        <v>15</v>
      </c>
      <c r="G293">
        <v>20277.81</v>
      </c>
      <c r="H293" s="11" t="str" cm="1">
        <f t="array" ref="H293">_xlfn.IFS(Table1[[#This Row],[age]]&lt;=30,"Young Adults",Table1[[#This Row],[age]]&lt;=45,"Adults",Table1[[#This Row],[age]]&lt;=60,"Seniors",Table1[[#This Row],[age]]&gt;=61,"Elderly")</f>
        <v>Young Adults</v>
      </c>
    </row>
    <row r="294" spans="1:8">
      <c r="A294">
        <v>25</v>
      </c>
      <c r="B294" t="s">
        <v>11</v>
      </c>
      <c r="C294">
        <v>45.54</v>
      </c>
      <c r="D294">
        <v>2</v>
      </c>
      <c r="E294" t="s">
        <v>9</v>
      </c>
      <c r="F294" t="s">
        <v>13</v>
      </c>
      <c r="G294">
        <v>42112.24</v>
      </c>
      <c r="H294" s="11" t="str" cm="1">
        <f t="array" ref="H294">_xlfn.IFS(Table1[[#This Row],[age]]&lt;=30,"Young Adults",Table1[[#This Row],[age]]&lt;=45,"Adults",Table1[[#This Row],[age]]&lt;=60,"Seniors",Table1[[#This Row],[age]]&gt;=61,"Elderly")</f>
        <v>Young Adults</v>
      </c>
    </row>
    <row r="295" spans="1:8">
      <c r="A295">
        <v>22</v>
      </c>
      <c r="B295" t="s">
        <v>8</v>
      </c>
      <c r="C295">
        <v>28.82</v>
      </c>
      <c r="D295">
        <v>0</v>
      </c>
      <c r="E295" t="s">
        <v>12</v>
      </c>
      <c r="F295" t="s">
        <v>13</v>
      </c>
      <c r="G295">
        <v>2156.75</v>
      </c>
      <c r="H295" s="11" t="str" cm="1">
        <f t="array" ref="H295">_xlfn.IFS(Table1[[#This Row],[age]]&lt;=30,"Young Adults",Table1[[#This Row],[age]]&lt;=45,"Adults",Table1[[#This Row],[age]]&lt;=60,"Seniors",Table1[[#This Row],[age]]&gt;=61,"Elderly")</f>
        <v>Young Adults</v>
      </c>
    </row>
    <row r="296" spans="1:8">
      <c r="A296">
        <v>25</v>
      </c>
      <c r="B296" t="s">
        <v>11</v>
      </c>
      <c r="C296">
        <v>26.8</v>
      </c>
      <c r="D296">
        <v>3</v>
      </c>
      <c r="E296" t="s">
        <v>12</v>
      </c>
      <c r="F296" t="s">
        <v>10</v>
      </c>
      <c r="G296">
        <v>3906.13</v>
      </c>
      <c r="H296" s="11" t="str" cm="1">
        <f t="array" ref="H296">_xlfn.IFS(Table1[[#This Row],[age]]&lt;=30,"Young Adults",Table1[[#This Row],[age]]&lt;=45,"Adults",Table1[[#This Row],[age]]&lt;=60,"Seniors",Table1[[#This Row],[age]]&gt;=61,"Elderly")</f>
        <v>Young Adults</v>
      </c>
    </row>
    <row r="297" spans="1:8">
      <c r="A297">
        <v>18</v>
      </c>
      <c r="B297" t="s">
        <v>11</v>
      </c>
      <c r="C297">
        <v>22.99</v>
      </c>
      <c r="D297">
        <v>0</v>
      </c>
      <c r="E297" t="s">
        <v>12</v>
      </c>
      <c r="F297" t="s">
        <v>15</v>
      </c>
      <c r="G297">
        <v>1704.57</v>
      </c>
      <c r="H297" s="11" t="str" cm="1">
        <f t="array" ref="H297">_xlfn.IFS(Table1[[#This Row],[age]]&lt;=30,"Young Adults",Table1[[#This Row],[age]]&lt;=45,"Adults",Table1[[#This Row],[age]]&lt;=60,"Seniors",Table1[[#This Row],[age]]&gt;=61,"Elderly")</f>
        <v>Young Adults</v>
      </c>
    </row>
    <row r="298" spans="1:8">
      <c r="A298">
        <v>19</v>
      </c>
      <c r="B298" t="s">
        <v>11</v>
      </c>
      <c r="C298">
        <v>27.7</v>
      </c>
      <c r="D298">
        <v>0</v>
      </c>
      <c r="E298" t="s">
        <v>9</v>
      </c>
      <c r="F298" t="s">
        <v>10</v>
      </c>
      <c r="G298">
        <v>16297.85</v>
      </c>
      <c r="H298" s="11" t="str" cm="1">
        <f t="array" ref="H298">_xlfn.IFS(Table1[[#This Row],[age]]&lt;=30,"Young Adults",Table1[[#This Row],[age]]&lt;=45,"Adults",Table1[[#This Row],[age]]&lt;=60,"Seniors",Table1[[#This Row],[age]]&gt;=61,"Elderly")</f>
        <v>Young Adults</v>
      </c>
    </row>
    <row r="299" spans="1:8">
      <c r="A299">
        <v>47</v>
      </c>
      <c r="B299" t="s">
        <v>11</v>
      </c>
      <c r="C299">
        <v>25.41</v>
      </c>
      <c r="D299">
        <v>1</v>
      </c>
      <c r="E299" t="s">
        <v>9</v>
      </c>
      <c r="F299" t="s">
        <v>13</v>
      </c>
      <c r="G299">
        <v>21978.68</v>
      </c>
      <c r="H299" s="11" t="str" cm="1">
        <f t="array" ref="H299">_xlfn.IFS(Table1[[#This Row],[age]]&lt;=30,"Young Adults",Table1[[#This Row],[age]]&lt;=45,"Adults",Table1[[#This Row],[age]]&lt;=60,"Seniors",Table1[[#This Row],[age]]&gt;=61,"Elderly")</f>
        <v>Seniors</v>
      </c>
    </row>
    <row r="300" spans="1:8">
      <c r="A300">
        <v>31</v>
      </c>
      <c r="B300" t="s">
        <v>11</v>
      </c>
      <c r="C300">
        <v>34.39</v>
      </c>
      <c r="D300">
        <v>3</v>
      </c>
      <c r="E300" t="s">
        <v>9</v>
      </c>
      <c r="F300" t="s">
        <v>14</v>
      </c>
      <c r="G300">
        <v>38746.36</v>
      </c>
      <c r="H300" s="11" t="str" cm="1">
        <f t="array" ref="H300">_xlfn.IFS(Table1[[#This Row],[age]]&lt;=30,"Young Adults",Table1[[#This Row],[age]]&lt;=45,"Adults",Table1[[#This Row],[age]]&lt;=60,"Seniors",Table1[[#This Row],[age]]&gt;=61,"Elderly")</f>
        <v>Adults</v>
      </c>
    </row>
    <row r="301" spans="1:8">
      <c r="A301">
        <v>48</v>
      </c>
      <c r="B301" t="s">
        <v>8</v>
      </c>
      <c r="C301">
        <v>28.88</v>
      </c>
      <c r="D301">
        <v>1</v>
      </c>
      <c r="E301" t="s">
        <v>12</v>
      </c>
      <c r="F301" t="s">
        <v>14</v>
      </c>
      <c r="G301">
        <v>9249.5</v>
      </c>
      <c r="H301" s="11" t="str" cm="1">
        <f t="array" ref="H301">_xlfn.IFS(Table1[[#This Row],[age]]&lt;=30,"Young Adults",Table1[[#This Row],[age]]&lt;=45,"Adults",Table1[[#This Row],[age]]&lt;=60,"Seniors",Table1[[#This Row],[age]]&gt;=61,"Elderly")</f>
        <v>Seniors</v>
      </c>
    </row>
    <row r="302" spans="1:8">
      <c r="A302">
        <v>36</v>
      </c>
      <c r="B302" t="s">
        <v>11</v>
      </c>
      <c r="C302">
        <v>27.55</v>
      </c>
      <c r="D302">
        <v>3</v>
      </c>
      <c r="E302" t="s">
        <v>12</v>
      </c>
      <c r="F302" t="s">
        <v>15</v>
      </c>
      <c r="G302">
        <v>6746.74</v>
      </c>
      <c r="H302" s="11" t="str" cm="1">
        <f t="array" ref="H302">_xlfn.IFS(Table1[[#This Row],[age]]&lt;=30,"Young Adults",Table1[[#This Row],[age]]&lt;=45,"Adults",Table1[[#This Row],[age]]&lt;=60,"Seniors",Table1[[#This Row],[age]]&gt;=61,"Elderly")</f>
        <v>Adults</v>
      </c>
    </row>
    <row r="303" spans="1:8">
      <c r="A303">
        <v>53</v>
      </c>
      <c r="B303" t="s">
        <v>8</v>
      </c>
      <c r="C303">
        <v>22.61</v>
      </c>
      <c r="D303">
        <v>3</v>
      </c>
      <c r="E303" t="s">
        <v>9</v>
      </c>
      <c r="F303" t="s">
        <v>15</v>
      </c>
      <c r="G303">
        <v>24873.38</v>
      </c>
      <c r="H303" s="11" t="str" cm="1">
        <f t="array" ref="H303">_xlfn.IFS(Table1[[#This Row],[age]]&lt;=30,"Young Adults",Table1[[#This Row],[age]]&lt;=45,"Adults",Table1[[#This Row],[age]]&lt;=60,"Seniors",Table1[[#This Row],[age]]&gt;=61,"Elderly")</f>
        <v>Seniors</v>
      </c>
    </row>
    <row r="304" spans="1:8">
      <c r="A304">
        <v>56</v>
      </c>
      <c r="B304" t="s">
        <v>8</v>
      </c>
      <c r="C304">
        <v>37.51</v>
      </c>
      <c r="D304">
        <v>2</v>
      </c>
      <c r="E304" t="s">
        <v>12</v>
      </c>
      <c r="F304" t="s">
        <v>13</v>
      </c>
      <c r="G304">
        <v>12265.51</v>
      </c>
      <c r="H304" s="11" t="str" cm="1">
        <f t="array" ref="H304">_xlfn.IFS(Table1[[#This Row],[age]]&lt;=30,"Young Adults",Table1[[#This Row],[age]]&lt;=45,"Adults",Table1[[#This Row],[age]]&lt;=60,"Seniors",Table1[[#This Row],[age]]&gt;=61,"Elderly")</f>
        <v>Seniors</v>
      </c>
    </row>
    <row r="305" spans="1:8">
      <c r="A305">
        <v>28</v>
      </c>
      <c r="B305" t="s">
        <v>8</v>
      </c>
      <c r="C305">
        <v>33</v>
      </c>
      <c r="D305">
        <v>2</v>
      </c>
      <c r="E305" t="s">
        <v>12</v>
      </c>
      <c r="F305" t="s">
        <v>13</v>
      </c>
      <c r="G305">
        <v>4349.46</v>
      </c>
      <c r="H305" s="11" t="str" cm="1">
        <f t="array" ref="H305">_xlfn.IFS(Table1[[#This Row],[age]]&lt;=30,"Young Adults",Table1[[#This Row],[age]]&lt;=45,"Adults",Table1[[#This Row],[age]]&lt;=60,"Seniors",Table1[[#This Row],[age]]&gt;=61,"Elderly")</f>
        <v>Young Adults</v>
      </c>
    </row>
    <row r="306" spans="1:8">
      <c r="A306">
        <v>57</v>
      </c>
      <c r="B306" t="s">
        <v>8</v>
      </c>
      <c r="C306">
        <v>38</v>
      </c>
      <c r="D306">
        <v>2</v>
      </c>
      <c r="E306" t="s">
        <v>12</v>
      </c>
      <c r="F306" t="s">
        <v>10</v>
      </c>
      <c r="G306">
        <v>12646.21</v>
      </c>
      <c r="H306" s="11" t="str" cm="1">
        <f t="array" ref="H306">_xlfn.IFS(Table1[[#This Row],[age]]&lt;=30,"Young Adults",Table1[[#This Row],[age]]&lt;=45,"Adults",Table1[[#This Row],[age]]&lt;=60,"Seniors",Table1[[#This Row],[age]]&gt;=61,"Elderly")</f>
        <v>Seniors</v>
      </c>
    </row>
    <row r="307" spans="1:8">
      <c r="A307">
        <v>29</v>
      </c>
      <c r="B307" t="s">
        <v>11</v>
      </c>
      <c r="C307">
        <v>33.345</v>
      </c>
      <c r="D307">
        <v>2</v>
      </c>
      <c r="E307" t="s">
        <v>12</v>
      </c>
      <c r="F307" t="s">
        <v>14</v>
      </c>
      <c r="G307">
        <v>19442.35</v>
      </c>
      <c r="H307" s="11" t="str" cm="1">
        <f t="array" ref="H307">_xlfn.IFS(Table1[[#This Row],[age]]&lt;=30,"Young Adults",Table1[[#This Row],[age]]&lt;=45,"Adults",Table1[[#This Row],[age]]&lt;=60,"Seniors",Table1[[#This Row],[age]]&gt;=61,"Elderly")</f>
        <v>Young Adults</v>
      </c>
    </row>
    <row r="308" spans="1:8">
      <c r="A308">
        <v>28</v>
      </c>
      <c r="B308" t="s">
        <v>8</v>
      </c>
      <c r="C308">
        <v>27.5</v>
      </c>
      <c r="D308">
        <v>2</v>
      </c>
      <c r="E308" t="s">
        <v>12</v>
      </c>
      <c r="F308" t="s">
        <v>10</v>
      </c>
      <c r="G308">
        <v>20177.67</v>
      </c>
      <c r="H308" s="11" t="str" cm="1">
        <f t="array" ref="H308">_xlfn.IFS(Table1[[#This Row],[age]]&lt;=30,"Young Adults",Table1[[#This Row],[age]]&lt;=45,"Adults",Table1[[#This Row],[age]]&lt;=60,"Seniors",Table1[[#This Row],[age]]&gt;=61,"Elderly")</f>
        <v>Young Adults</v>
      </c>
    </row>
    <row r="309" spans="1:8">
      <c r="A309">
        <v>30</v>
      </c>
      <c r="B309" t="s">
        <v>8</v>
      </c>
      <c r="C309">
        <v>33.33</v>
      </c>
      <c r="D309">
        <v>1</v>
      </c>
      <c r="E309" t="s">
        <v>12</v>
      </c>
      <c r="F309" t="s">
        <v>13</v>
      </c>
      <c r="G309">
        <v>4151.03</v>
      </c>
      <c r="H309" s="11" t="str" cm="1">
        <f t="array" ref="H309">_xlfn.IFS(Table1[[#This Row],[age]]&lt;=30,"Young Adults",Table1[[#This Row],[age]]&lt;=45,"Adults",Table1[[#This Row],[age]]&lt;=60,"Seniors",Table1[[#This Row],[age]]&gt;=61,"Elderly")</f>
        <v>Young Adults</v>
      </c>
    </row>
    <row r="310" spans="1:8">
      <c r="A310">
        <v>58</v>
      </c>
      <c r="B310" t="s">
        <v>11</v>
      </c>
      <c r="C310">
        <v>34.865</v>
      </c>
      <c r="D310">
        <v>0</v>
      </c>
      <c r="E310" t="s">
        <v>12</v>
      </c>
      <c r="F310" t="s">
        <v>15</v>
      </c>
      <c r="G310">
        <v>11944.59</v>
      </c>
      <c r="H310" s="11" t="str" cm="1">
        <f t="array" ref="H310">_xlfn.IFS(Table1[[#This Row],[age]]&lt;=30,"Young Adults",Table1[[#This Row],[age]]&lt;=45,"Adults",Table1[[#This Row],[age]]&lt;=60,"Seniors",Table1[[#This Row],[age]]&gt;=61,"Elderly")</f>
        <v>Seniors</v>
      </c>
    </row>
    <row r="311" spans="1:8">
      <c r="A311">
        <v>41</v>
      </c>
      <c r="B311" t="s">
        <v>8</v>
      </c>
      <c r="C311">
        <v>33.06</v>
      </c>
      <c r="D311">
        <v>2</v>
      </c>
      <c r="E311" t="s">
        <v>12</v>
      </c>
      <c r="F311" t="s">
        <v>14</v>
      </c>
      <c r="G311">
        <v>7749.16</v>
      </c>
      <c r="H311" s="11" t="str" cm="1">
        <f t="array" ref="H311">_xlfn.IFS(Table1[[#This Row],[age]]&lt;=30,"Young Adults",Table1[[#This Row],[age]]&lt;=45,"Adults",Table1[[#This Row],[age]]&lt;=60,"Seniors",Table1[[#This Row],[age]]&gt;=61,"Elderly")</f>
        <v>Adults</v>
      </c>
    </row>
    <row r="312" spans="1:8">
      <c r="A312">
        <v>50</v>
      </c>
      <c r="B312" t="s">
        <v>11</v>
      </c>
      <c r="C312">
        <v>26.6</v>
      </c>
      <c r="D312">
        <v>0</v>
      </c>
      <c r="E312" t="s">
        <v>12</v>
      </c>
      <c r="F312" t="s">
        <v>10</v>
      </c>
      <c r="G312">
        <v>8444.47</v>
      </c>
      <c r="H312" s="11" t="str" cm="1">
        <f t="array" ref="H312">_xlfn.IFS(Table1[[#This Row],[age]]&lt;=30,"Young Adults",Table1[[#This Row],[age]]&lt;=45,"Adults",Table1[[#This Row],[age]]&lt;=60,"Seniors",Table1[[#This Row],[age]]&gt;=61,"Elderly")</f>
        <v>Seniors</v>
      </c>
    </row>
    <row r="313" spans="1:8">
      <c r="A313">
        <v>19</v>
      </c>
      <c r="B313" t="s">
        <v>8</v>
      </c>
      <c r="C313">
        <v>24.7</v>
      </c>
      <c r="D313">
        <v>0</v>
      </c>
      <c r="E313" t="s">
        <v>12</v>
      </c>
      <c r="F313" t="s">
        <v>10</v>
      </c>
      <c r="G313">
        <v>1737.38</v>
      </c>
      <c r="H313" s="11" t="str" cm="1">
        <f t="array" ref="H313">_xlfn.IFS(Table1[[#This Row],[age]]&lt;=30,"Young Adults",Table1[[#This Row],[age]]&lt;=45,"Adults",Table1[[#This Row],[age]]&lt;=60,"Seniors",Table1[[#This Row],[age]]&gt;=61,"Elderly")</f>
        <v>Young Adults</v>
      </c>
    </row>
    <row r="314" spans="1:8">
      <c r="A314">
        <v>43</v>
      </c>
      <c r="B314" t="s">
        <v>11</v>
      </c>
      <c r="C314">
        <v>35.97</v>
      </c>
      <c r="D314">
        <v>3</v>
      </c>
      <c r="E314" t="s">
        <v>9</v>
      </c>
      <c r="F314" t="s">
        <v>13</v>
      </c>
      <c r="G314">
        <v>42124.52</v>
      </c>
      <c r="H314" s="11" t="str" cm="1">
        <f t="array" ref="H314">_xlfn.IFS(Table1[[#This Row],[age]]&lt;=30,"Young Adults",Table1[[#This Row],[age]]&lt;=45,"Adults",Table1[[#This Row],[age]]&lt;=60,"Seniors",Table1[[#This Row],[age]]&gt;=61,"Elderly")</f>
        <v>Adults</v>
      </c>
    </row>
    <row r="315" spans="1:8">
      <c r="A315">
        <v>49</v>
      </c>
      <c r="B315" t="s">
        <v>11</v>
      </c>
      <c r="C315">
        <v>35.86</v>
      </c>
      <c r="D315">
        <v>0</v>
      </c>
      <c r="E315" t="s">
        <v>12</v>
      </c>
      <c r="F315" t="s">
        <v>13</v>
      </c>
      <c r="G315">
        <v>8124.41</v>
      </c>
      <c r="H315" s="11" t="str" cm="1">
        <f t="array" ref="H315">_xlfn.IFS(Table1[[#This Row],[age]]&lt;=30,"Young Adults",Table1[[#This Row],[age]]&lt;=45,"Adults",Table1[[#This Row],[age]]&lt;=60,"Seniors",Table1[[#This Row],[age]]&gt;=61,"Elderly")</f>
        <v>Seniors</v>
      </c>
    </row>
    <row r="316" spans="1:8">
      <c r="A316">
        <v>27</v>
      </c>
      <c r="B316" t="s">
        <v>8</v>
      </c>
      <c r="C316">
        <v>31.4</v>
      </c>
      <c r="D316">
        <v>0</v>
      </c>
      <c r="E316" t="s">
        <v>9</v>
      </c>
      <c r="F316" t="s">
        <v>10</v>
      </c>
      <c r="G316">
        <v>34838.87</v>
      </c>
      <c r="H316" s="11" t="str" cm="1">
        <f t="array" ref="H316">_xlfn.IFS(Table1[[#This Row],[age]]&lt;=30,"Young Adults",Table1[[#This Row],[age]]&lt;=45,"Adults",Table1[[#This Row],[age]]&lt;=60,"Seniors",Table1[[#This Row],[age]]&gt;=61,"Elderly")</f>
        <v>Young Adults</v>
      </c>
    </row>
    <row r="317" spans="1:8">
      <c r="A317">
        <v>52</v>
      </c>
      <c r="B317" t="s">
        <v>11</v>
      </c>
      <c r="C317">
        <v>33.25</v>
      </c>
      <c r="D317">
        <v>0</v>
      </c>
      <c r="E317" t="s">
        <v>12</v>
      </c>
      <c r="F317" t="s">
        <v>15</v>
      </c>
      <c r="G317">
        <v>9722.77</v>
      </c>
      <c r="H317" s="11" t="str" cm="1">
        <f t="array" ref="H317">_xlfn.IFS(Table1[[#This Row],[age]]&lt;=30,"Young Adults",Table1[[#This Row],[age]]&lt;=45,"Adults",Table1[[#This Row],[age]]&lt;=60,"Seniors",Table1[[#This Row],[age]]&gt;=61,"Elderly")</f>
        <v>Seniors</v>
      </c>
    </row>
    <row r="318" spans="1:8">
      <c r="A318">
        <v>50</v>
      </c>
      <c r="B318" t="s">
        <v>11</v>
      </c>
      <c r="C318">
        <v>32.205</v>
      </c>
      <c r="D318">
        <v>0</v>
      </c>
      <c r="E318" t="s">
        <v>12</v>
      </c>
      <c r="F318" t="s">
        <v>14</v>
      </c>
      <c r="G318">
        <v>8835.26</v>
      </c>
      <c r="H318" s="11" t="str" cm="1">
        <f t="array" ref="H318">_xlfn.IFS(Table1[[#This Row],[age]]&lt;=30,"Young Adults",Table1[[#This Row],[age]]&lt;=45,"Adults",Table1[[#This Row],[age]]&lt;=60,"Seniors",Table1[[#This Row],[age]]&gt;=61,"Elderly")</f>
        <v>Seniors</v>
      </c>
    </row>
    <row r="319" spans="1:8">
      <c r="A319">
        <v>54</v>
      </c>
      <c r="B319" t="s">
        <v>11</v>
      </c>
      <c r="C319">
        <v>32.775</v>
      </c>
      <c r="D319">
        <v>0</v>
      </c>
      <c r="E319" t="s">
        <v>12</v>
      </c>
      <c r="F319" t="s">
        <v>15</v>
      </c>
      <c r="G319">
        <v>10435.07</v>
      </c>
      <c r="H319" s="11" t="str" cm="1">
        <f t="array" ref="H319">_xlfn.IFS(Table1[[#This Row],[age]]&lt;=30,"Young Adults",Table1[[#This Row],[age]]&lt;=45,"Adults",Table1[[#This Row],[age]]&lt;=60,"Seniors",Table1[[#This Row],[age]]&gt;=61,"Elderly")</f>
        <v>Seniors</v>
      </c>
    </row>
    <row r="320" spans="1:8">
      <c r="A320">
        <v>44</v>
      </c>
      <c r="B320" t="s">
        <v>8</v>
      </c>
      <c r="C320">
        <v>27.645</v>
      </c>
      <c r="D320">
        <v>0</v>
      </c>
      <c r="E320" t="s">
        <v>12</v>
      </c>
      <c r="F320" t="s">
        <v>14</v>
      </c>
      <c r="G320">
        <v>7421.19</v>
      </c>
      <c r="H320" s="11" t="str" cm="1">
        <f t="array" ref="H320">_xlfn.IFS(Table1[[#This Row],[age]]&lt;=30,"Young Adults",Table1[[#This Row],[age]]&lt;=45,"Adults",Table1[[#This Row],[age]]&lt;=60,"Seniors",Table1[[#This Row],[age]]&gt;=61,"Elderly")</f>
        <v>Adults</v>
      </c>
    </row>
    <row r="321" spans="1:8">
      <c r="A321">
        <v>32</v>
      </c>
      <c r="B321" t="s">
        <v>11</v>
      </c>
      <c r="C321">
        <v>37.335</v>
      </c>
      <c r="D321">
        <v>1</v>
      </c>
      <c r="E321" t="s">
        <v>12</v>
      </c>
      <c r="F321" t="s">
        <v>15</v>
      </c>
      <c r="G321">
        <v>4667.61</v>
      </c>
      <c r="H321" s="11" t="str" cm="1">
        <f t="array" ref="H321">_xlfn.IFS(Table1[[#This Row],[age]]&lt;=30,"Young Adults",Table1[[#This Row],[age]]&lt;=45,"Adults",Table1[[#This Row],[age]]&lt;=60,"Seniors",Table1[[#This Row],[age]]&gt;=61,"Elderly")</f>
        <v>Adults</v>
      </c>
    </row>
    <row r="322" spans="1:8">
      <c r="A322">
        <v>34</v>
      </c>
      <c r="B322" t="s">
        <v>11</v>
      </c>
      <c r="C322">
        <v>25.27</v>
      </c>
      <c r="D322">
        <v>1</v>
      </c>
      <c r="E322" t="s">
        <v>12</v>
      </c>
      <c r="F322" t="s">
        <v>14</v>
      </c>
      <c r="G322">
        <v>4894.75</v>
      </c>
      <c r="H322" s="11" t="str" cm="1">
        <f t="array" ref="H322">_xlfn.IFS(Table1[[#This Row],[age]]&lt;=30,"Young Adults",Table1[[#This Row],[age]]&lt;=45,"Adults",Table1[[#This Row],[age]]&lt;=60,"Seniors",Table1[[#This Row],[age]]&gt;=61,"Elderly")</f>
        <v>Adults</v>
      </c>
    </row>
    <row r="323" spans="1:8">
      <c r="A323">
        <v>26</v>
      </c>
      <c r="B323" t="s">
        <v>8</v>
      </c>
      <c r="C323">
        <v>29.64</v>
      </c>
      <c r="D323">
        <v>4</v>
      </c>
      <c r="E323" t="s">
        <v>12</v>
      </c>
      <c r="F323" t="s">
        <v>15</v>
      </c>
      <c r="G323">
        <v>24671.66</v>
      </c>
      <c r="H323" s="11" t="str" cm="1">
        <f t="array" ref="H323">_xlfn.IFS(Table1[[#This Row],[age]]&lt;=30,"Young Adults",Table1[[#This Row],[age]]&lt;=45,"Adults",Table1[[#This Row],[age]]&lt;=60,"Seniors",Table1[[#This Row],[age]]&gt;=61,"Elderly")</f>
        <v>Young Adults</v>
      </c>
    </row>
    <row r="324" spans="1:8">
      <c r="A324">
        <v>34</v>
      </c>
      <c r="B324" t="s">
        <v>11</v>
      </c>
      <c r="C324">
        <v>30.8</v>
      </c>
      <c r="D324">
        <v>0</v>
      </c>
      <c r="E324" t="s">
        <v>9</v>
      </c>
      <c r="F324" t="s">
        <v>10</v>
      </c>
      <c r="G324">
        <v>35491.64</v>
      </c>
      <c r="H324" s="11" t="str" cm="1">
        <f t="array" ref="H324">_xlfn.IFS(Table1[[#This Row],[age]]&lt;=30,"Young Adults",Table1[[#This Row],[age]]&lt;=45,"Adults",Table1[[#This Row],[age]]&lt;=60,"Seniors",Table1[[#This Row],[age]]&gt;=61,"Elderly")</f>
        <v>Adults</v>
      </c>
    </row>
    <row r="325" spans="1:8">
      <c r="A325">
        <v>57</v>
      </c>
      <c r="B325" t="s">
        <v>11</v>
      </c>
      <c r="C325">
        <v>40.945</v>
      </c>
      <c r="D325">
        <v>0</v>
      </c>
      <c r="E325" t="s">
        <v>12</v>
      </c>
      <c r="F325" t="s">
        <v>15</v>
      </c>
      <c r="G325">
        <v>11566.3</v>
      </c>
      <c r="H325" s="11" t="str" cm="1">
        <f t="array" ref="H325">_xlfn.IFS(Table1[[#This Row],[age]]&lt;=30,"Young Adults",Table1[[#This Row],[age]]&lt;=45,"Adults",Table1[[#This Row],[age]]&lt;=60,"Seniors",Table1[[#This Row],[age]]&gt;=61,"Elderly")</f>
        <v>Seniors</v>
      </c>
    </row>
    <row r="326" spans="1:8">
      <c r="A326">
        <v>29</v>
      </c>
      <c r="B326" t="s">
        <v>11</v>
      </c>
      <c r="C326">
        <v>27.2</v>
      </c>
      <c r="D326">
        <v>0</v>
      </c>
      <c r="E326" t="s">
        <v>12</v>
      </c>
      <c r="F326" t="s">
        <v>10</v>
      </c>
      <c r="G326">
        <v>2866.09</v>
      </c>
      <c r="H326" s="11" t="str" cm="1">
        <f t="array" ref="H326">_xlfn.IFS(Table1[[#This Row],[age]]&lt;=30,"Young Adults",Table1[[#This Row],[age]]&lt;=45,"Adults",Table1[[#This Row],[age]]&lt;=60,"Seniors",Table1[[#This Row],[age]]&gt;=61,"Elderly")</f>
        <v>Young Adults</v>
      </c>
    </row>
    <row r="327" spans="1:8">
      <c r="A327">
        <v>40</v>
      </c>
      <c r="B327" t="s">
        <v>11</v>
      </c>
      <c r="C327">
        <v>34.105</v>
      </c>
      <c r="D327">
        <v>1</v>
      </c>
      <c r="E327" t="s">
        <v>12</v>
      </c>
      <c r="F327" t="s">
        <v>15</v>
      </c>
      <c r="G327">
        <v>6600.21</v>
      </c>
      <c r="H327" s="11" t="str" cm="1">
        <f t="array" ref="H327">_xlfn.IFS(Table1[[#This Row],[age]]&lt;=30,"Young Adults",Table1[[#This Row],[age]]&lt;=45,"Adults",Table1[[#This Row],[age]]&lt;=60,"Seniors",Table1[[#This Row],[age]]&gt;=61,"Elderly")</f>
        <v>Adults</v>
      </c>
    </row>
    <row r="328" spans="1:8">
      <c r="A328">
        <v>27</v>
      </c>
      <c r="B328" t="s">
        <v>8</v>
      </c>
      <c r="C328">
        <v>23.21</v>
      </c>
      <c r="D328">
        <v>1</v>
      </c>
      <c r="E328" t="s">
        <v>12</v>
      </c>
      <c r="F328" t="s">
        <v>13</v>
      </c>
      <c r="G328">
        <v>3561.89</v>
      </c>
      <c r="H328" s="11" t="str" cm="1">
        <f t="array" ref="H328">_xlfn.IFS(Table1[[#This Row],[age]]&lt;=30,"Young Adults",Table1[[#This Row],[age]]&lt;=45,"Adults",Table1[[#This Row],[age]]&lt;=60,"Seniors",Table1[[#This Row],[age]]&gt;=61,"Elderly")</f>
        <v>Young Adults</v>
      </c>
    </row>
    <row r="329" spans="1:8">
      <c r="A329">
        <v>45</v>
      </c>
      <c r="B329" t="s">
        <v>11</v>
      </c>
      <c r="C329">
        <v>36.48</v>
      </c>
      <c r="D329">
        <v>2</v>
      </c>
      <c r="E329" t="s">
        <v>9</v>
      </c>
      <c r="F329" t="s">
        <v>14</v>
      </c>
      <c r="G329">
        <v>42760.5</v>
      </c>
      <c r="H329" s="11" t="str" cm="1">
        <f t="array" ref="H329">_xlfn.IFS(Table1[[#This Row],[age]]&lt;=30,"Young Adults",Table1[[#This Row],[age]]&lt;=45,"Adults",Table1[[#This Row],[age]]&lt;=60,"Seniors",Table1[[#This Row],[age]]&gt;=61,"Elderly")</f>
        <v>Adults</v>
      </c>
    </row>
    <row r="330" spans="1:8">
      <c r="A330">
        <v>64</v>
      </c>
      <c r="B330" t="s">
        <v>8</v>
      </c>
      <c r="C330">
        <v>33.8</v>
      </c>
      <c r="D330">
        <v>1</v>
      </c>
      <c r="E330" t="s">
        <v>9</v>
      </c>
      <c r="F330" t="s">
        <v>10</v>
      </c>
      <c r="G330">
        <v>47928.03</v>
      </c>
      <c r="H330" s="11" t="str" cm="1">
        <f t="array" ref="H330">_xlfn.IFS(Table1[[#This Row],[age]]&lt;=30,"Young Adults",Table1[[#This Row],[age]]&lt;=45,"Adults",Table1[[#This Row],[age]]&lt;=60,"Seniors",Table1[[#This Row],[age]]&gt;=61,"Elderly")</f>
        <v>Elderly</v>
      </c>
    </row>
    <row r="331" spans="1:8">
      <c r="A331">
        <v>52</v>
      </c>
      <c r="B331" t="s">
        <v>11</v>
      </c>
      <c r="C331">
        <v>36.7</v>
      </c>
      <c r="D331">
        <v>0</v>
      </c>
      <c r="E331" t="s">
        <v>12</v>
      </c>
      <c r="F331" t="s">
        <v>10</v>
      </c>
      <c r="G331">
        <v>9144.57</v>
      </c>
      <c r="H331" s="11" t="str" cm="1">
        <f t="array" ref="H331">_xlfn.IFS(Table1[[#This Row],[age]]&lt;=30,"Young Adults",Table1[[#This Row],[age]]&lt;=45,"Adults",Table1[[#This Row],[age]]&lt;=60,"Seniors",Table1[[#This Row],[age]]&gt;=61,"Elderly")</f>
        <v>Seniors</v>
      </c>
    </row>
    <row r="332" spans="1:8">
      <c r="A332">
        <v>61</v>
      </c>
      <c r="B332" t="s">
        <v>8</v>
      </c>
      <c r="C332">
        <v>36.385</v>
      </c>
      <c r="D332">
        <v>1</v>
      </c>
      <c r="E332" t="s">
        <v>9</v>
      </c>
      <c r="F332" t="s">
        <v>15</v>
      </c>
      <c r="G332">
        <v>48517.56</v>
      </c>
      <c r="H332" s="11" t="str" cm="1">
        <f t="array" ref="H332">_xlfn.IFS(Table1[[#This Row],[age]]&lt;=30,"Young Adults",Table1[[#This Row],[age]]&lt;=45,"Adults",Table1[[#This Row],[age]]&lt;=60,"Seniors",Table1[[#This Row],[age]]&gt;=61,"Elderly")</f>
        <v>Elderly</v>
      </c>
    </row>
    <row r="333" spans="1:8">
      <c r="A333">
        <v>52</v>
      </c>
      <c r="B333" t="s">
        <v>11</v>
      </c>
      <c r="C333">
        <v>27.36</v>
      </c>
      <c r="D333">
        <v>0</v>
      </c>
      <c r="E333" t="s">
        <v>9</v>
      </c>
      <c r="F333" t="s">
        <v>14</v>
      </c>
      <c r="G333">
        <v>24393.62</v>
      </c>
      <c r="H333" s="11" t="str" cm="1">
        <f t="array" ref="H333">_xlfn.IFS(Table1[[#This Row],[age]]&lt;=30,"Young Adults",Table1[[#This Row],[age]]&lt;=45,"Adults",Table1[[#This Row],[age]]&lt;=60,"Seniors",Table1[[#This Row],[age]]&gt;=61,"Elderly")</f>
        <v>Seniors</v>
      </c>
    </row>
    <row r="334" spans="1:8">
      <c r="A334">
        <v>61</v>
      </c>
      <c r="B334" t="s">
        <v>8</v>
      </c>
      <c r="C334">
        <v>31.16</v>
      </c>
      <c r="D334">
        <v>0</v>
      </c>
      <c r="E334" t="s">
        <v>12</v>
      </c>
      <c r="F334" t="s">
        <v>14</v>
      </c>
      <c r="G334">
        <v>13429.04</v>
      </c>
      <c r="H334" s="11" t="str" cm="1">
        <f t="array" ref="H334">_xlfn.IFS(Table1[[#This Row],[age]]&lt;=30,"Young Adults",Table1[[#This Row],[age]]&lt;=45,"Adults",Table1[[#This Row],[age]]&lt;=60,"Seniors",Table1[[#This Row],[age]]&gt;=61,"Elderly")</f>
        <v>Elderly</v>
      </c>
    </row>
    <row r="335" spans="1:8">
      <c r="A335">
        <v>56</v>
      </c>
      <c r="B335" t="s">
        <v>8</v>
      </c>
      <c r="C335">
        <v>28.785</v>
      </c>
      <c r="D335">
        <v>0</v>
      </c>
      <c r="E335" t="s">
        <v>12</v>
      </c>
      <c r="F335" t="s">
        <v>15</v>
      </c>
      <c r="G335">
        <v>11658.38</v>
      </c>
      <c r="H335" s="11" t="str" cm="1">
        <f t="array" ref="H335">_xlfn.IFS(Table1[[#This Row],[age]]&lt;=30,"Young Adults",Table1[[#This Row],[age]]&lt;=45,"Adults",Table1[[#This Row],[age]]&lt;=60,"Seniors",Table1[[#This Row],[age]]&gt;=61,"Elderly")</f>
        <v>Seniors</v>
      </c>
    </row>
    <row r="336" spans="1:8">
      <c r="A336">
        <v>43</v>
      </c>
      <c r="B336" t="s">
        <v>8</v>
      </c>
      <c r="C336">
        <v>35.72</v>
      </c>
      <c r="D336">
        <v>2</v>
      </c>
      <c r="E336" t="s">
        <v>12</v>
      </c>
      <c r="F336" t="s">
        <v>15</v>
      </c>
      <c r="G336">
        <v>19144.58</v>
      </c>
      <c r="H336" s="11" t="str" cm="1">
        <f t="array" ref="H336">_xlfn.IFS(Table1[[#This Row],[age]]&lt;=30,"Young Adults",Table1[[#This Row],[age]]&lt;=45,"Adults",Table1[[#This Row],[age]]&lt;=60,"Seniors",Table1[[#This Row],[age]]&gt;=61,"Elderly")</f>
        <v>Adults</v>
      </c>
    </row>
    <row r="337" spans="1:8">
      <c r="A337">
        <v>64</v>
      </c>
      <c r="B337" t="s">
        <v>11</v>
      </c>
      <c r="C337">
        <v>34.5</v>
      </c>
      <c r="D337">
        <v>0</v>
      </c>
      <c r="E337" t="s">
        <v>12</v>
      </c>
      <c r="F337" t="s">
        <v>10</v>
      </c>
      <c r="G337">
        <v>13822.8</v>
      </c>
      <c r="H337" s="11" t="str" cm="1">
        <f t="array" ref="H337">_xlfn.IFS(Table1[[#This Row],[age]]&lt;=30,"Young Adults",Table1[[#This Row],[age]]&lt;=45,"Adults",Table1[[#This Row],[age]]&lt;=60,"Seniors",Table1[[#This Row],[age]]&gt;=61,"Elderly")</f>
        <v>Elderly</v>
      </c>
    </row>
    <row r="338" spans="1:8">
      <c r="A338">
        <v>60</v>
      </c>
      <c r="B338" t="s">
        <v>11</v>
      </c>
      <c r="C338">
        <v>25.74</v>
      </c>
      <c r="D338">
        <v>0</v>
      </c>
      <c r="E338" t="s">
        <v>12</v>
      </c>
      <c r="F338" t="s">
        <v>13</v>
      </c>
      <c r="G338">
        <v>12142.58</v>
      </c>
      <c r="H338" s="11" t="str" cm="1">
        <f t="array" ref="H338">_xlfn.IFS(Table1[[#This Row],[age]]&lt;=30,"Young Adults",Table1[[#This Row],[age]]&lt;=45,"Adults",Table1[[#This Row],[age]]&lt;=60,"Seniors",Table1[[#This Row],[age]]&gt;=61,"Elderly")</f>
        <v>Seniors</v>
      </c>
    </row>
    <row r="339" spans="1:8">
      <c r="A339">
        <v>62</v>
      </c>
      <c r="B339" t="s">
        <v>11</v>
      </c>
      <c r="C339">
        <v>27.55</v>
      </c>
      <c r="D339">
        <v>1</v>
      </c>
      <c r="E339" t="s">
        <v>12</v>
      </c>
      <c r="F339" t="s">
        <v>14</v>
      </c>
      <c r="G339">
        <v>13937.67</v>
      </c>
      <c r="H339" s="11" t="str" cm="1">
        <f t="array" ref="H339">_xlfn.IFS(Table1[[#This Row],[age]]&lt;=30,"Young Adults",Table1[[#This Row],[age]]&lt;=45,"Adults",Table1[[#This Row],[age]]&lt;=60,"Seniors",Table1[[#This Row],[age]]&gt;=61,"Elderly")</f>
        <v>Elderly</v>
      </c>
    </row>
    <row r="340" spans="1:8">
      <c r="A340">
        <v>50</v>
      </c>
      <c r="B340" t="s">
        <v>11</v>
      </c>
      <c r="C340">
        <v>32.3</v>
      </c>
      <c r="D340">
        <v>1</v>
      </c>
      <c r="E340" t="s">
        <v>9</v>
      </c>
      <c r="F340" t="s">
        <v>15</v>
      </c>
      <c r="G340">
        <v>41919.1</v>
      </c>
      <c r="H340" s="11" t="str" cm="1">
        <f t="array" ref="H340">_xlfn.IFS(Table1[[#This Row],[age]]&lt;=30,"Young Adults",Table1[[#This Row],[age]]&lt;=45,"Adults",Table1[[#This Row],[age]]&lt;=60,"Seniors",Table1[[#This Row],[age]]&gt;=61,"Elderly")</f>
        <v>Seniors</v>
      </c>
    </row>
    <row r="341" spans="1:8">
      <c r="A341">
        <v>46</v>
      </c>
      <c r="B341" t="s">
        <v>8</v>
      </c>
      <c r="C341">
        <v>27.72</v>
      </c>
      <c r="D341">
        <v>1</v>
      </c>
      <c r="E341" t="s">
        <v>12</v>
      </c>
      <c r="F341" t="s">
        <v>13</v>
      </c>
      <c r="G341">
        <v>8232.64</v>
      </c>
      <c r="H341" s="11" t="str" cm="1">
        <f t="array" ref="H341">_xlfn.IFS(Table1[[#This Row],[age]]&lt;=30,"Young Adults",Table1[[#This Row],[age]]&lt;=45,"Adults",Table1[[#This Row],[age]]&lt;=60,"Seniors",Table1[[#This Row],[age]]&gt;=61,"Elderly")</f>
        <v>Seniors</v>
      </c>
    </row>
    <row r="342" spans="1:8">
      <c r="A342">
        <v>24</v>
      </c>
      <c r="B342" t="s">
        <v>8</v>
      </c>
      <c r="C342">
        <v>27.6</v>
      </c>
      <c r="D342">
        <v>0</v>
      </c>
      <c r="E342" t="s">
        <v>12</v>
      </c>
      <c r="F342" t="s">
        <v>10</v>
      </c>
      <c r="G342">
        <v>18955.22</v>
      </c>
      <c r="H342" s="11" t="str" cm="1">
        <f t="array" ref="H342">_xlfn.IFS(Table1[[#This Row],[age]]&lt;=30,"Young Adults",Table1[[#This Row],[age]]&lt;=45,"Adults",Table1[[#This Row],[age]]&lt;=60,"Seniors",Table1[[#This Row],[age]]&gt;=61,"Elderly")</f>
        <v>Young Adults</v>
      </c>
    </row>
    <row r="343" spans="1:8">
      <c r="A343">
        <v>62</v>
      </c>
      <c r="B343" t="s">
        <v>11</v>
      </c>
      <c r="C343">
        <v>30.02</v>
      </c>
      <c r="D343">
        <v>0</v>
      </c>
      <c r="E343" t="s">
        <v>12</v>
      </c>
      <c r="F343" t="s">
        <v>14</v>
      </c>
      <c r="G343">
        <v>13352.1</v>
      </c>
      <c r="H343" s="11" t="str" cm="1">
        <f t="array" ref="H343">_xlfn.IFS(Table1[[#This Row],[age]]&lt;=30,"Young Adults",Table1[[#This Row],[age]]&lt;=45,"Adults",Table1[[#This Row],[age]]&lt;=60,"Seniors",Table1[[#This Row],[age]]&gt;=61,"Elderly")</f>
        <v>Elderly</v>
      </c>
    </row>
    <row r="344" spans="1:8">
      <c r="A344">
        <v>60</v>
      </c>
      <c r="B344" t="s">
        <v>8</v>
      </c>
      <c r="C344">
        <v>27.55</v>
      </c>
      <c r="D344">
        <v>0</v>
      </c>
      <c r="E344" t="s">
        <v>12</v>
      </c>
      <c r="F344" t="s">
        <v>15</v>
      </c>
      <c r="G344">
        <v>13217.09</v>
      </c>
      <c r="H344" s="11" t="str" cm="1">
        <f t="array" ref="H344">_xlfn.IFS(Table1[[#This Row],[age]]&lt;=30,"Young Adults",Table1[[#This Row],[age]]&lt;=45,"Adults",Table1[[#This Row],[age]]&lt;=60,"Seniors",Table1[[#This Row],[age]]&gt;=61,"Elderly")</f>
        <v>Seniors</v>
      </c>
    </row>
    <row r="345" spans="1:8">
      <c r="A345">
        <v>63</v>
      </c>
      <c r="B345" t="s">
        <v>11</v>
      </c>
      <c r="C345">
        <v>36.765</v>
      </c>
      <c r="D345">
        <v>0</v>
      </c>
      <c r="E345" t="s">
        <v>12</v>
      </c>
      <c r="F345" t="s">
        <v>15</v>
      </c>
      <c r="G345">
        <v>13981.85</v>
      </c>
      <c r="H345" s="11" t="str" cm="1">
        <f t="array" ref="H345">_xlfn.IFS(Table1[[#This Row],[age]]&lt;=30,"Young Adults",Table1[[#This Row],[age]]&lt;=45,"Adults",Table1[[#This Row],[age]]&lt;=60,"Seniors",Table1[[#This Row],[age]]&gt;=61,"Elderly")</f>
        <v>Elderly</v>
      </c>
    </row>
    <row r="346" spans="1:8">
      <c r="A346">
        <v>49</v>
      </c>
      <c r="B346" t="s">
        <v>8</v>
      </c>
      <c r="C346">
        <v>41.47</v>
      </c>
      <c r="D346">
        <v>4</v>
      </c>
      <c r="E346" t="s">
        <v>12</v>
      </c>
      <c r="F346" t="s">
        <v>13</v>
      </c>
      <c r="G346">
        <v>10977.21</v>
      </c>
      <c r="H346" s="11" t="str" cm="1">
        <f t="array" ref="H346">_xlfn.IFS(Table1[[#This Row],[age]]&lt;=30,"Young Adults",Table1[[#This Row],[age]]&lt;=45,"Adults",Table1[[#This Row],[age]]&lt;=60,"Seniors",Table1[[#This Row],[age]]&gt;=61,"Elderly")</f>
        <v>Seniors</v>
      </c>
    </row>
    <row r="347" spans="1:8">
      <c r="A347">
        <v>34</v>
      </c>
      <c r="B347" t="s">
        <v>8</v>
      </c>
      <c r="C347">
        <v>29.26</v>
      </c>
      <c r="D347">
        <v>3</v>
      </c>
      <c r="E347" t="s">
        <v>12</v>
      </c>
      <c r="F347" t="s">
        <v>13</v>
      </c>
      <c r="G347">
        <v>6184.3</v>
      </c>
      <c r="H347" s="11" t="str" cm="1">
        <f t="array" ref="H347">_xlfn.IFS(Table1[[#This Row],[age]]&lt;=30,"Young Adults",Table1[[#This Row],[age]]&lt;=45,"Adults",Table1[[#This Row],[age]]&lt;=60,"Seniors",Table1[[#This Row],[age]]&gt;=61,"Elderly")</f>
        <v>Adults</v>
      </c>
    </row>
    <row r="348" spans="1:8">
      <c r="A348">
        <v>33</v>
      </c>
      <c r="B348" t="s">
        <v>11</v>
      </c>
      <c r="C348">
        <v>35.75</v>
      </c>
      <c r="D348">
        <v>2</v>
      </c>
      <c r="E348" t="s">
        <v>12</v>
      </c>
      <c r="F348" t="s">
        <v>13</v>
      </c>
      <c r="G348">
        <v>4890</v>
      </c>
      <c r="H348" s="11" t="str" cm="1">
        <f t="array" ref="H348">_xlfn.IFS(Table1[[#This Row],[age]]&lt;=30,"Young Adults",Table1[[#This Row],[age]]&lt;=45,"Adults",Table1[[#This Row],[age]]&lt;=60,"Seniors",Table1[[#This Row],[age]]&gt;=61,"Elderly")</f>
        <v>Adults</v>
      </c>
    </row>
    <row r="349" spans="1:8">
      <c r="A349">
        <v>46</v>
      </c>
      <c r="B349" t="s">
        <v>11</v>
      </c>
      <c r="C349">
        <v>33.345</v>
      </c>
      <c r="D349">
        <v>1</v>
      </c>
      <c r="E349" t="s">
        <v>12</v>
      </c>
      <c r="F349" t="s">
        <v>15</v>
      </c>
      <c r="G349">
        <v>8334.46</v>
      </c>
      <c r="H349" s="11" t="str" cm="1">
        <f t="array" ref="H349">_xlfn.IFS(Table1[[#This Row],[age]]&lt;=30,"Young Adults",Table1[[#This Row],[age]]&lt;=45,"Adults",Table1[[#This Row],[age]]&lt;=60,"Seniors",Table1[[#This Row],[age]]&gt;=61,"Elderly")</f>
        <v>Seniors</v>
      </c>
    </row>
    <row r="350" spans="1:8">
      <c r="A350">
        <v>36</v>
      </c>
      <c r="B350" t="s">
        <v>8</v>
      </c>
      <c r="C350">
        <v>29.92</v>
      </c>
      <c r="D350">
        <v>1</v>
      </c>
      <c r="E350" t="s">
        <v>12</v>
      </c>
      <c r="F350" t="s">
        <v>13</v>
      </c>
      <c r="G350">
        <v>5478.04</v>
      </c>
      <c r="H350" s="11" t="str" cm="1">
        <f t="array" ref="H350">_xlfn.IFS(Table1[[#This Row],[age]]&lt;=30,"Young Adults",Table1[[#This Row],[age]]&lt;=45,"Adults",Table1[[#This Row],[age]]&lt;=60,"Seniors",Table1[[#This Row],[age]]&gt;=61,"Elderly")</f>
        <v>Adults</v>
      </c>
    </row>
    <row r="351" spans="1:8">
      <c r="A351">
        <v>19</v>
      </c>
      <c r="B351" t="s">
        <v>11</v>
      </c>
      <c r="C351">
        <v>27.835</v>
      </c>
      <c r="D351">
        <v>0</v>
      </c>
      <c r="E351" t="s">
        <v>12</v>
      </c>
      <c r="F351" t="s">
        <v>14</v>
      </c>
      <c r="G351">
        <v>1635.73</v>
      </c>
      <c r="H351" s="11" t="str" cm="1">
        <f t="array" ref="H351">_xlfn.IFS(Table1[[#This Row],[age]]&lt;=30,"Young Adults",Table1[[#This Row],[age]]&lt;=45,"Adults",Table1[[#This Row],[age]]&lt;=60,"Seniors",Table1[[#This Row],[age]]&gt;=61,"Elderly")</f>
        <v>Young Adults</v>
      </c>
    </row>
    <row r="352" spans="1:8">
      <c r="A352">
        <v>57</v>
      </c>
      <c r="B352" t="s">
        <v>8</v>
      </c>
      <c r="C352">
        <v>23.18</v>
      </c>
      <c r="D352">
        <v>0</v>
      </c>
      <c r="E352" t="s">
        <v>12</v>
      </c>
      <c r="F352" t="s">
        <v>14</v>
      </c>
      <c r="G352">
        <v>11830.61</v>
      </c>
      <c r="H352" s="11" t="str" cm="1">
        <f t="array" ref="H352">_xlfn.IFS(Table1[[#This Row],[age]]&lt;=30,"Young Adults",Table1[[#This Row],[age]]&lt;=45,"Adults",Table1[[#This Row],[age]]&lt;=60,"Seniors",Table1[[#This Row],[age]]&gt;=61,"Elderly")</f>
        <v>Seniors</v>
      </c>
    </row>
    <row r="353" spans="1:8">
      <c r="A353">
        <v>50</v>
      </c>
      <c r="B353" t="s">
        <v>8</v>
      </c>
      <c r="C353">
        <v>25.6</v>
      </c>
      <c r="D353">
        <v>0</v>
      </c>
      <c r="E353" t="s">
        <v>12</v>
      </c>
      <c r="F353" t="s">
        <v>10</v>
      </c>
      <c r="G353">
        <v>8932.08</v>
      </c>
      <c r="H353" s="11" t="str" cm="1">
        <f t="array" ref="H353">_xlfn.IFS(Table1[[#This Row],[age]]&lt;=30,"Young Adults",Table1[[#This Row],[age]]&lt;=45,"Adults",Table1[[#This Row],[age]]&lt;=60,"Seniors",Table1[[#This Row],[age]]&gt;=61,"Elderly")</f>
        <v>Seniors</v>
      </c>
    </row>
    <row r="354" spans="1:8">
      <c r="A354">
        <v>30</v>
      </c>
      <c r="B354" t="s">
        <v>8</v>
      </c>
      <c r="C354">
        <v>27.7</v>
      </c>
      <c r="D354">
        <v>0</v>
      </c>
      <c r="E354" t="s">
        <v>12</v>
      </c>
      <c r="F354" t="s">
        <v>10</v>
      </c>
      <c r="G354">
        <v>3554.2</v>
      </c>
      <c r="H354" s="11" t="str" cm="1">
        <f t="array" ref="H354">_xlfn.IFS(Table1[[#This Row],[age]]&lt;=30,"Young Adults",Table1[[#This Row],[age]]&lt;=45,"Adults",Table1[[#This Row],[age]]&lt;=60,"Seniors",Table1[[#This Row],[age]]&gt;=61,"Elderly")</f>
        <v>Young Adults</v>
      </c>
    </row>
    <row r="355" spans="1:8">
      <c r="A355">
        <v>33</v>
      </c>
      <c r="B355" t="s">
        <v>11</v>
      </c>
      <c r="C355">
        <v>35.245</v>
      </c>
      <c r="D355">
        <v>0</v>
      </c>
      <c r="E355" t="s">
        <v>12</v>
      </c>
      <c r="F355" t="s">
        <v>15</v>
      </c>
      <c r="G355">
        <v>12404.88</v>
      </c>
      <c r="H355" s="11" t="str" cm="1">
        <f t="array" ref="H355">_xlfn.IFS(Table1[[#This Row],[age]]&lt;=30,"Young Adults",Table1[[#This Row],[age]]&lt;=45,"Adults",Table1[[#This Row],[age]]&lt;=60,"Seniors",Table1[[#This Row],[age]]&gt;=61,"Elderly")</f>
        <v>Adults</v>
      </c>
    </row>
    <row r="356" spans="1:8">
      <c r="A356">
        <v>18</v>
      </c>
      <c r="B356" t="s">
        <v>8</v>
      </c>
      <c r="C356">
        <v>38.28</v>
      </c>
      <c r="D356">
        <v>0</v>
      </c>
      <c r="E356" t="s">
        <v>12</v>
      </c>
      <c r="F356" t="s">
        <v>13</v>
      </c>
      <c r="G356">
        <v>14133.04</v>
      </c>
      <c r="H356" s="11" t="str" cm="1">
        <f t="array" ref="H356">_xlfn.IFS(Table1[[#This Row],[age]]&lt;=30,"Young Adults",Table1[[#This Row],[age]]&lt;=45,"Adults",Table1[[#This Row],[age]]&lt;=60,"Seniors",Table1[[#This Row],[age]]&gt;=61,"Elderly")</f>
        <v>Young Adults</v>
      </c>
    </row>
    <row r="357" spans="1:8">
      <c r="A357">
        <v>46</v>
      </c>
      <c r="B357" t="s">
        <v>11</v>
      </c>
      <c r="C357">
        <v>27.6</v>
      </c>
      <c r="D357">
        <v>0</v>
      </c>
      <c r="E357" t="s">
        <v>12</v>
      </c>
      <c r="F357" t="s">
        <v>10</v>
      </c>
      <c r="G357">
        <v>24603.05</v>
      </c>
      <c r="H357" s="11" t="str" cm="1">
        <f t="array" ref="H357">_xlfn.IFS(Table1[[#This Row],[age]]&lt;=30,"Young Adults",Table1[[#This Row],[age]]&lt;=45,"Adults",Table1[[#This Row],[age]]&lt;=60,"Seniors",Table1[[#This Row],[age]]&gt;=61,"Elderly")</f>
        <v>Seniors</v>
      </c>
    </row>
    <row r="358" spans="1:8">
      <c r="A358">
        <v>46</v>
      </c>
      <c r="B358" t="s">
        <v>11</v>
      </c>
      <c r="C358">
        <v>43.89</v>
      </c>
      <c r="D358">
        <v>3</v>
      </c>
      <c r="E358" t="s">
        <v>12</v>
      </c>
      <c r="F358" t="s">
        <v>13</v>
      </c>
      <c r="G358">
        <v>8944.12</v>
      </c>
      <c r="H358" s="11" t="str" cm="1">
        <f t="array" ref="H358">_xlfn.IFS(Table1[[#This Row],[age]]&lt;=30,"Young Adults",Table1[[#This Row],[age]]&lt;=45,"Adults",Table1[[#This Row],[age]]&lt;=60,"Seniors",Table1[[#This Row],[age]]&gt;=61,"Elderly")</f>
        <v>Seniors</v>
      </c>
    </row>
    <row r="359" spans="1:8">
      <c r="A359">
        <v>47</v>
      </c>
      <c r="B359" t="s">
        <v>11</v>
      </c>
      <c r="C359">
        <v>29.83</v>
      </c>
      <c r="D359">
        <v>3</v>
      </c>
      <c r="E359" t="s">
        <v>12</v>
      </c>
      <c r="F359" t="s">
        <v>14</v>
      </c>
      <c r="G359">
        <v>9620.33</v>
      </c>
      <c r="H359" s="11" t="str" cm="1">
        <f t="array" ref="H359">_xlfn.IFS(Table1[[#This Row],[age]]&lt;=30,"Young Adults",Table1[[#This Row],[age]]&lt;=45,"Adults",Table1[[#This Row],[age]]&lt;=60,"Seniors",Table1[[#This Row],[age]]&gt;=61,"Elderly")</f>
        <v>Seniors</v>
      </c>
    </row>
    <row r="360" spans="1:8">
      <c r="A360">
        <v>23</v>
      </c>
      <c r="B360" t="s">
        <v>11</v>
      </c>
      <c r="C360">
        <v>41.91</v>
      </c>
      <c r="D360">
        <v>0</v>
      </c>
      <c r="E360" t="s">
        <v>12</v>
      </c>
      <c r="F360" t="s">
        <v>13</v>
      </c>
      <c r="G360">
        <v>1837.28</v>
      </c>
      <c r="H360" s="11" t="str" cm="1">
        <f t="array" ref="H360">_xlfn.IFS(Table1[[#This Row],[age]]&lt;=30,"Young Adults",Table1[[#This Row],[age]]&lt;=45,"Adults",Table1[[#This Row],[age]]&lt;=60,"Seniors",Table1[[#This Row],[age]]&gt;=61,"Elderly")</f>
        <v>Young Adults</v>
      </c>
    </row>
    <row r="361" spans="1:8">
      <c r="A361">
        <v>18</v>
      </c>
      <c r="B361" t="s">
        <v>8</v>
      </c>
      <c r="C361">
        <v>20.79</v>
      </c>
      <c r="D361">
        <v>0</v>
      </c>
      <c r="E361" t="s">
        <v>12</v>
      </c>
      <c r="F361" t="s">
        <v>13</v>
      </c>
      <c r="G361">
        <v>1607.51</v>
      </c>
      <c r="H361" s="11" t="str" cm="1">
        <f t="array" ref="H361">_xlfn.IFS(Table1[[#This Row],[age]]&lt;=30,"Young Adults",Table1[[#This Row],[age]]&lt;=45,"Adults",Table1[[#This Row],[age]]&lt;=60,"Seniors",Table1[[#This Row],[age]]&gt;=61,"Elderly")</f>
        <v>Young Adults</v>
      </c>
    </row>
    <row r="362" spans="1:8">
      <c r="A362">
        <v>48</v>
      </c>
      <c r="B362" t="s">
        <v>8</v>
      </c>
      <c r="C362">
        <v>32.3</v>
      </c>
      <c r="D362">
        <v>2</v>
      </c>
      <c r="E362" t="s">
        <v>12</v>
      </c>
      <c r="F362" t="s">
        <v>15</v>
      </c>
      <c r="G362">
        <v>10043.25</v>
      </c>
      <c r="H362" s="11" t="str" cm="1">
        <f t="array" ref="H362">_xlfn.IFS(Table1[[#This Row],[age]]&lt;=30,"Young Adults",Table1[[#This Row],[age]]&lt;=45,"Adults",Table1[[#This Row],[age]]&lt;=60,"Seniors",Table1[[#This Row],[age]]&gt;=61,"Elderly")</f>
        <v>Seniors</v>
      </c>
    </row>
    <row r="363" spans="1:8">
      <c r="A363">
        <v>35</v>
      </c>
      <c r="B363" t="s">
        <v>11</v>
      </c>
      <c r="C363">
        <v>30.5</v>
      </c>
      <c r="D363">
        <v>1</v>
      </c>
      <c r="E363" t="s">
        <v>12</v>
      </c>
      <c r="F363" t="s">
        <v>10</v>
      </c>
      <c r="G363">
        <v>4751.07</v>
      </c>
      <c r="H363" s="11" t="str" cm="1">
        <f t="array" ref="H363">_xlfn.IFS(Table1[[#This Row],[age]]&lt;=30,"Young Adults",Table1[[#This Row],[age]]&lt;=45,"Adults",Table1[[#This Row],[age]]&lt;=60,"Seniors",Table1[[#This Row],[age]]&gt;=61,"Elderly")</f>
        <v>Adults</v>
      </c>
    </row>
    <row r="364" spans="1:8">
      <c r="A364">
        <v>19</v>
      </c>
      <c r="B364" t="s">
        <v>8</v>
      </c>
      <c r="C364">
        <v>21.7</v>
      </c>
      <c r="D364">
        <v>0</v>
      </c>
      <c r="E364" t="s">
        <v>9</v>
      </c>
      <c r="F364" t="s">
        <v>10</v>
      </c>
      <c r="G364">
        <v>13844.51</v>
      </c>
      <c r="H364" s="11" t="str" cm="1">
        <f t="array" ref="H364">_xlfn.IFS(Table1[[#This Row],[age]]&lt;=30,"Young Adults",Table1[[#This Row],[age]]&lt;=45,"Adults",Table1[[#This Row],[age]]&lt;=60,"Seniors",Table1[[#This Row],[age]]&gt;=61,"Elderly")</f>
        <v>Young Adults</v>
      </c>
    </row>
    <row r="365" spans="1:8">
      <c r="A365">
        <v>21</v>
      </c>
      <c r="B365" t="s">
        <v>8</v>
      </c>
      <c r="C365">
        <v>26.4</v>
      </c>
      <c r="D365">
        <v>1</v>
      </c>
      <c r="E365" t="s">
        <v>12</v>
      </c>
      <c r="F365" t="s">
        <v>10</v>
      </c>
      <c r="G365">
        <v>2597.78</v>
      </c>
      <c r="H365" s="11" t="str" cm="1">
        <f t="array" ref="H365">_xlfn.IFS(Table1[[#This Row],[age]]&lt;=30,"Young Adults",Table1[[#This Row],[age]]&lt;=45,"Adults",Table1[[#This Row],[age]]&lt;=60,"Seniors",Table1[[#This Row],[age]]&gt;=61,"Elderly")</f>
        <v>Young Adults</v>
      </c>
    </row>
    <row r="366" spans="1:8">
      <c r="A366">
        <v>21</v>
      </c>
      <c r="B366" t="s">
        <v>8</v>
      </c>
      <c r="C366">
        <v>21.89</v>
      </c>
      <c r="D366">
        <v>2</v>
      </c>
      <c r="E366" t="s">
        <v>12</v>
      </c>
      <c r="F366" t="s">
        <v>13</v>
      </c>
      <c r="G366">
        <v>3180.51</v>
      </c>
      <c r="H366" s="11" t="str" cm="1">
        <f t="array" ref="H366">_xlfn.IFS(Table1[[#This Row],[age]]&lt;=30,"Young Adults",Table1[[#This Row],[age]]&lt;=45,"Adults",Table1[[#This Row],[age]]&lt;=60,"Seniors",Table1[[#This Row],[age]]&gt;=61,"Elderly")</f>
        <v>Young Adults</v>
      </c>
    </row>
    <row r="367" spans="1:8">
      <c r="A367">
        <v>49</v>
      </c>
      <c r="B367" t="s">
        <v>8</v>
      </c>
      <c r="C367">
        <v>30.78</v>
      </c>
      <c r="D367">
        <v>1</v>
      </c>
      <c r="E367" t="s">
        <v>12</v>
      </c>
      <c r="F367" t="s">
        <v>15</v>
      </c>
      <c r="G367">
        <v>9778.35</v>
      </c>
      <c r="H367" s="11" t="str" cm="1">
        <f t="array" ref="H367">_xlfn.IFS(Table1[[#This Row],[age]]&lt;=30,"Young Adults",Table1[[#This Row],[age]]&lt;=45,"Adults",Table1[[#This Row],[age]]&lt;=60,"Seniors",Table1[[#This Row],[age]]&gt;=61,"Elderly")</f>
        <v>Seniors</v>
      </c>
    </row>
    <row r="368" spans="1:8">
      <c r="A368">
        <v>56</v>
      </c>
      <c r="B368" t="s">
        <v>8</v>
      </c>
      <c r="C368">
        <v>32.3</v>
      </c>
      <c r="D368">
        <v>3</v>
      </c>
      <c r="E368" t="s">
        <v>12</v>
      </c>
      <c r="F368" t="s">
        <v>15</v>
      </c>
      <c r="G368">
        <v>13430.27</v>
      </c>
      <c r="H368" s="11" t="str" cm="1">
        <f t="array" ref="H368">_xlfn.IFS(Table1[[#This Row],[age]]&lt;=30,"Young Adults",Table1[[#This Row],[age]]&lt;=45,"Adults",Table1[[#This Row],[age]]&lt;=60,"Seniors",Table1[[#This Row],[age]]&gt;=61,"Elderly")</f>
        <v>Seniors</v>
      </c>
    </row>
    <row r="369" spans="1:8">
      <c r="A369">
        <v>42</v>
      </c>
      <c r="B369" t="s">
        <v>8</v>
      </c>
      <c r="C369">
        <v>24.985</v>
      </c>
      <c r="D369">
        <v>2</v>
      </c>
      <c r="E369" t="s">
        <v>12</v>
      </c>
      <c r="F369" t="s">
        <v>14</v>
      </c>
      <c r="G369">
        <v>8017.06</v>
      </c>
      <c r="H369" s="11" t="str" cm="1">
        <f t="array" ref="H369">_xlfn.IFS(Table1[[#This Row],[age]]&lt;=30,"Young Adults",Table1[[#This Row],[age]]&lt;=45,"Adults",Table1[[#This Row],[age]]&lt;=60,"Seniors",Table1[[#This Row],[age]]&gt;=61,"Elderly")</f>
        <v>Adults</v>
      </c>
    </row>
    <row r="370" spans="1:8">
      <c r="A370">
        <v>44</v>
      </c>
      <c r="B370" t="s">
        <v>11</v>
      </c>
      <c r="C370">
        <v>32.015</v>
      </c>
      <c r="D370">
        <v>2</v>
      </c>
      <c r="E370" t="s">
        <v>12</v>
      </c>
      <c r="F370" t="s">
        <v>14</v>
      </c>
      <c r="G370">
        <v>8116.27</v>
      </c>
      <c r="H370" s="11" t="str" cm="1">
        <f t="array" ref="H370">_xlfn.IFS(Table1[[#This Row],[age]]&lt;=30,"Young Adults",Table1[[#This Row],[age]]&lt;=45,"Adults",Table1[[#This Row],[age]]&lt;=60,"Seniors",Table1[[#This Row],[age]]&gt;=61,"Elderly")</f>
        <v>Adults</v>
      </c>
    </row>
    <row r="371" spans="1:8">
      <c r="A371">
        <v>18</v>
      </c>
      <c r="B371" t="s">
        <v>11</v>
      </c>
      <c r="C371">
        <v>30.4</v>
      </c>
      <c r="D371">
        <v>3</v>
      </c>
      <c r="E371" t="s">
        <v>12</v>
      </c>
      <c r="F371" t="s">
        <v>15</v>
      </c>
      <c r="G371">
        <v>3481.87</v>
      </c>
      <c r="H371" s="11" t="str" cm="1">
        <f t="array" ref="H371">_xlfn.IFS(Table1[[#This Row],[age]]&lt;=30,"Young Adults",Table1[[#This Row],[age]]&lt;=45,"Adults",Table1[[#This Row],[age]]&lt;=60,"Seniors",Table1[[#This Row],[age]]&gt;=61,"Elderly")</f>
        <v>Young Adults</v>
      </c>
    </row>
    <row r="372" spans="1:8">
      <c r="A372">
        <v>61</v>
      </c>
      <c r="B372" t="s">
        <v>8</v>
      </c>
      <c r="C372">
        <v>21.09</v>
      </c>
      <c r="D372">
        <v>0</v>
      </c>
      <c r="E372" t="s">
        <v>12</v>
      </c>
      <c r="F372" t="s">
        <v>14</v>
      </c>
      <c r="G372">
        <v>13415.04</v>
      </c>
      <c r="H372" s="11" t="str" cm="1">
        <f t="array" ref="H372">_xlfn.IFS(Table1[[#This Row],[age]]&lt;=30,"Young Adults",Table1[[#This Row],[age]]&lt;=45,"Adults",Table1[[#This Row],[age]]&lt;=60,"Seniors",Table1[[#This Row],[age]]&gt;=61,"Elderly")</f>
        <v>Elderly</v>
      </c>
    </row>
    <row r="373" spans="1:8">
      <c r="A373">
        <v>57</v>
      </c>
      <c r="B373" t="s">
        <v>8</v>
      </c>
      <c r="C373">
        <v>22.23</v>
      </c>
      <c r="D373">
        <v>0</v>
      </c>
      <c r="E373" t="s">
        <v>12</v>
      </c>
      <c r="F373" t="s">
        <v>15</v>
      </c>
      <c r="G373">
        <v>12029.29</v>
      </c>
      <c r="H373" s="11" t="str" cm="1">
        <f t="array" ref="H373">_xlfn.IFS(Table1[[#This Row],[age]]&lt;=30,"Young Adults",Table1[[#This Row],[age]]&lt;=45,"Adults",Table1[[#This Row],[age]]&lt;=60,"Seniors",Table1[[#This Row],[age]]&gt;=61,"Elderly")</f>
        <v>Seniors</v>
      </c>
    </row>
    <row r="374" spans="1:8">
      <c r="A374">
        <v>42</v>
      </c>
      <c r="B374" t="s">
        <v>8</v>
      </c>
      <c r="C374">
        <v>33.155</v>
      </c>
      <c r="D374">
        <v>1</v>
      </c>
      <c r="E374" t="s">
        <v>12</v>
      </c>
      <c r="F374" t="s">
        <v>15</v>
      </c>
      <c r="G374">
        <v>7639.42</v>
      </c>
      <c r="H374" s="11" t="str" cm="1">
        <f t="array" ref="H374">_xlfn.IFS(Table1[[#This Row],[age]]&lt;=30,"Young Adults",Table1[[#This Row],[age]]&lt;=45,"Adults",Table1[[#This Row],[age]]&lt;=60,"Seniors",Table1[[#This Row],[age]]&gt;=61,"Elderly")</f>
        <v>Adults</v>
      </c>
    </row>
    <row r="375" spans="1:8">
      <c r="A375">
        <v>26</v>
      </c>
      <c r="B375" t="s">
        <v>11</v>
      </c>
      <c r="C375">
        <v>32.9</v>
      </c>
      <c r="D375">
        <v>2</v>
      </c>
      <c r="E375" t="s">
        <v>9</v>
      </c>
      <c r="F375" t="s">
        <v>10</v>
      </c>
      <c r="G375">
        <v>36085.22</v>
      </c>
      <c r="H375" s="11" t="str" cm="1">
        <f t="array" ref="H375">_xlfn.IFS(Table1[[#This Row],[age]]&lt;=30,"Young Adults",Table1[[#This Row],[age]]&lt;=45,"Adults",Table1[[#This Row],[age]]&lt;=60,"Seniors",Table1[[#This Row],[age]]&gt;=61,"Elderly")</f>
        <v>Young Adults</v>
      </c>
    </row>
    <row r="376" spans="1:8">
      <c r="A376">
        <v>20</v>
      </c>
      <c r="B376" t="s">
        <v>11</v>
      </c>
      <c r="C376">
        <v>33.33</v>
      </c>
      <c r="D376">
        <v>0</v>
      </c>
      <c r="E376" t="s">
        <v>12</v>
      </c>
      <c r="F376" t="s">
        <v>13</v>
      </c>
      <c r="G376">
        <v>1391.53</v>
      </c>
      <c r="H376" s="11" t="str" cm="1">
        <f t="array" ref="H376">_xlfn.IFS(Table1[[#This Row],[age]]&lt;=30,"Young Adults",Table1[[#This Row],[age]]&lt;=45,"Adults",Table1[[#This Row],[age]]&lt;=60,"Seniors",Table1[[#This Row],[age]]&gt;=61,"Elderly")</f>
        <v>Young Adults</v>
      </c>
    </row>
    <row r="377" spans="1:8">
      <c r="A377">
        <v>23</v>
      </c>
      <c r="B377" t="s">
        <v>8</v>
      </c>
      <c r="C377">
        <v>28.31</v>
      </c>
      <c r="D377">
        <v>0</v>
      </c>
      <c r="E377" t="s">
        <v>9</v>
      </c>
      <c r="F377" t="s">
        <v>14</v>
      </c>
      <c r="G377">
        <v>18033.97</v>
      </c>
      <c r="H377" s="11" t="str" cm="1">
        <f t="array" ref="H377">_xlfn.IFS(Table1[[#This Row],[age]]&lt;=30,"Young Adults",Table1[[#This Row],[age]]&lt;=45,"Adults",Table1[[#This Row],[age]]&lt;=60,"Seniors",Table1[[#This Row],[age]]&gt;=61,"Elderly")</f>
        <v>Young Adults</v>
      </c>
    </row>
    <row r="378" spans="1:8">
      <c r="A378">
        <v>39</v>
      </c>
      <c r="B378" t="s">
        <v>8</v>
      </c>
      <c r="C378">
        <v>24.89</v>
      </c>
      <c r="D378">
        <v>3</v>
      </c>
      <c r="E378" t="s">
        <v>9</v>
      </c>
      <c r="F378" t="s">
        <v>15</v>
      </c>
      <c r="G378">
        <v>21659.93</v>
      </c>
      <c r="H378" s="11" t="str" cm="1">
        <f t="array" ref="H378">_xlfn.IFS(Table1[[#This Row],[age]]&lt;=30,"Young Adults",Table1[[#This Row],[age]]&lt;=45,"Adults",Table1[[#This Row],[age]]&lt;=60,"Seniors",Table1[[#This Row],[age]]&gt;=61,"Elderly")</f>
        <v>Adults</v>
      </c>
    </row>
    <row r="379" spans="1:8">
      <c r="A379">
        <v>24</v>
      </c>
      <c r="B379" t="s">
        <v>11</v>
      </c>
      <c r="C379">
        <v>40.15</v>
      </c>
      <c r="D379">
        <v>0</v>
      </c>
      <c r="E379" t="s">
        <v>9</v>
      </c>
      <c r="F379" t="s">
        <v>13</v>
      </c>
      <c r="G379">
        <v>38126.25</v>
      </c>
      <c r="H379" s="11" t="str" cm="1">
        <f t="array" ref="H379">_xlfn.IFS(Table1[[#This Row],[age]]&lt;=30,"Young Adults",Table1[[#This Row],[age]]&lt;=45,"Adults",Table1[[#This Row],[age]]&lt;=60,"Seniors",Table1[[#This Row],[age]]&gt;=61,"Elderly")</f>
        <v>Young Adults</v>
      </c>
    </row>
    <row r="380" spans="1:8">
      <c r="A380">
        <v>64</v>
      </c>
      <c r="B380" t="s">
        <v>8</v>
      </c>
      <c r="C380">
        <v>30.115</v>
      </c>
      <c r="D380">
        <v>3</v>
      </c>
      <c r="E380" t="s">
        <v>12</v>
      </c>
      <c r="F380" t="s">
        <v>14</v>
      </c>
      <c r="G380">
        <v>16455.71</v>
      </c>
      <c r="H380" s="11" t="str" cm="1">
        <f t="array" ref="H380">_xlfn.IFS(Table1[[#This Row],[age]]&lt;=30,"Young Adults",Table1[[#This Row],[age]]&lt;=45,"Adults",Table1[[#This Row],[age]]&lt;=60,"Seniors",Table1[[#This Row],[age]]&gt;=61,"Elderly")</f>
        <v>Elderly</v>
      </c>
    </row>
    <row r="381" spans="1:8">
      <c r="A381">
        <v>62</v>
      </c>
      <c r="B381" t="s">
        <v>11</v>
      </c>
      <c r="C381">
        <v>31.46</v>
      </c>
      <c r="D381">
        <v>1</v>
      </c>
      <c r="E381" t="s">
        <v>12</v>
      </c>
      <c r="F381" t="s">
        <v>13</v>
      </c>
      <c r="G381">
        <v>27000.98</v>
      </c>
      <c r="H381" s="11" t="str" cm="1">
        <f t="array" ref="H381">_xlfn.IFS(Table1[[#This Row],[age]]&lt;=30,"Young Adults",Table1[[#This Row],[age]]&lt;=45,"Adults",Table1[[#This Row],[age]]&lt;=60,"Seniors",Table1[[#This Row],[age]]&gt;=61,"Elderly")</f>
        <v>Elderly</v>
      </c>
    </row>
    <row r="382" spans="1:8">
      <c r="A382">
        <v>27</v>
      </c>
      <c r="B382" t="s">
        <v>8</v>
      </c>
      <c r="C382">
        <v>17.955</v>
      </c>
      <c r="D382">
        <v>2</v>
      </c>
      <c r="E382" t="s">
        <v>9</v>
      </c>
      <c r="F382" t="s">
        <v>15</v>
      </c>
      <c r="G382">
        <v>15006.58</v>
      </c>
      <c r="H382" s="11" t="str" cm="1">
        <f t="array" ref="H382">_xlfn.IFS(Table1[[#This Row],[age]]&lt;=30,"Young Adults",Table1[[#This Row],[age]]&lt;=45,"Adults",Table1[[#This Row],[age]]&lt;=60,"Seniors",Table1[[#This Row],[age]]&gt;=61,"Elderly")</f>
        <v>Young Adults</v>
      </c>
    </row>
    <row r="383" spans="1:8">
      <c r="A383">
        <v>55</v>
      </c>
      <c r="B383" t="s">
        <v>11</v>
      </c>
      <c r="C383">
        <v>30.685</v>
      </c>
      <c r="D383">
        <v>0</v>
      </c>
      <c r="E383" t="s">
        <v>9</v>
      </c>
      <c r="F383" t="s">
        <v>15</v>
      </c>
      <c r="G383">
        <v>42303.69</v>
      </c>
      <c r="H383" s="11" t="str" cm="1">
        <f t="array" ref="H383">_xlfn.IFS(Table1[[#This Row],[age]]&lt;=30,"Young Adults",Table1[[#This Row],[age]]&lt;=45,"Adults",Table1[[#This Row],[age]]&lt;=60,"Seniors",Table1[[#This Row],[age]]&gt;=61,"Elderly")</f>
        <v>Seniors</v>
      </c>
    </row>
    <row r="384" spans="1:8">
      <c r="A384">
        <v>55</v>
      </c>
      <c r="B384" t="s">
        <v>11</v>
      </c>
      <c r="C384">
        <v>33</v>
      </c>
      <c r="D384">
        <v>0</v>
      </c>
      <c r="E384" t="s">
        <v>12</v>
      </c>
      <c r="F384" t="s">
        <v>13</v>
      </c>
      <c r="G384">
        <v>20781.49</v>
      </c>
      <c r="H384" s="11" t="str" cm="1">
        <f t="array" ref="H384">_xlfn.IFS(Table1[[#This Row],[age]]&lt;=30,"Young Adults",Table1[[#This Row],[age]]&lt;=45,"Adults",Table1[[#This Row],[age]]&lt;=60,"Seniors",Table1[[#This Row],[age]]&gt;=61,"Elderly")</f>
        <v>Seniors</v>
      </c>
    </row>
    <row r="385" spans="1:8">
      <c r="A385">
        <v>35</v>
      </c>
      <c r="B385" t="s">
        <v>8</v>
      </c>
      <c r="C385">
        <v>43.34</v>
      </c>
      <c r="D385">
        <v>2</v>
      </c>
      <c r="E385" t="s">
        <v>12</v>
      </c>
      <c r="F385" t="s">
        <v>13</v>
      </c>
      <c r="G385">
        <v>5846.92</v>
      </c>
      <c r="H385" s="11" t="str" cm="1">
        <f t="array" ref="H385">_xlfn.IFS(Table1[[#This Row],[age]]&lt;=30,"Young Adults",Table1[[#This Row],[age]]&lt;=45,"Adults",Table1[[#This Row],[age]]&lt;=60,"Seniors",Table1[[#This Row],[age]]&gt;=61,"Elderly")</f>
        <v>Adults</v>
      </c>
    </row>
    <row r="386" spans="1:8">
      <c r="A386">
        <v>44</v>
      </c>
      <c r="B386" t="s">
        <v>11</v>
      </c>
      <c r="C386">
        <v>22.135</v>
      </c>
      <c r="D386">
        <v>2</v>
      </c>
      <c r="E386" t="s">
        <v>12</v>
      </c>
      <c r="F386" t="s">
        <v>15</v>
      </c>
      <c r="G386">
        <v>8302.54</v>
      </c>
      <c r="H386" s="11" t="str" cm="1">
        <f t="array" ref="H386">_xlfn.IFS(Table1[[#This Row],[age]]&lt;=30,"Young Adults",Table1[[#This Row],[age]]&lt;=45,"Adults",Table1[[#This Row],[age]]&lt;=60,"Seniors",Table1[[#This Row],[age]]&gt;=61,"Elderly")</f>
        <v>Adults</v>
      </c>
    </row>
    <row r="387" spans="1:8">
      <c r="A387">
        <v>19</v>
      </c>
      <c r="B387" t="s">
        <v>11</v>
      </c>
      <c r="C387">
        <v>34.4</v>
      </c>
      <c r="D387">
        <v>0</v>
      </c>
      <c r="E387" t="s">
        <v>12</v>
      </c>
      <c r="F387" t="s">
        <v>10</v>
      </c>
      <c r="G387">
        <v>1261.86</v>
      </c>
      <c r="H387" s="11" t="str" cm="1">
        <f t="array" ref="H387">_xlfn.IFS(Table1[[#This Row],[age]]&lt;=30,"Young Adults",Table1[[#This Row],[age]]&lt;=45,"Adults",Table1[[#This Row],[age]]&lt;=60,"Seniors",Table1[[#This Row],[age]]&gt;=61,"Elderly")</f>
        <v>Young Adults</v>
      </c>
    </row>
    <row r="388" spans="1:8">
      <c r="A388">
        <v>58</v>
      </c>
      <c r="B388" t="s">
        <v>8</v>
      </c>
      <c r="C388">
        <v>39.05</v>
      </c>
      <c r="D388">
        <v>0</v>
      </c>
      <c r="E388" t="s">
        <v>12</v>
      </c>
      <c r="F388" t="s">
        <v>13</v>
      </c>
      <c r="G388">
        <v>11856.41</v>
      </c>
      <c r="H388" s="11" t="str" cm="1">
        <f t="array" ref="H388">_xlfn.IFS(Table1[[#This Row],[age]]&lt;=30,"Young Adults",Table1[[#This Row],[age]]&lt;=45,"Adults",Table1[[#This Row],[age]]&lt;=60,"Seniors",Table1[[#This Row],[age]]&gt;=61,"Elderly")</f>
        <v>Seniors</v>
      </c>
    </row>
    <row r="389" spans="1:8">
      <c r="A389">
        <v>50</v>
      </c>
      <c r="B389" t="s">
        <v>11</v>
      </c>
      <c r="C389">
        <v>25.365</v>
      </c>
      <c r="D389">
        <v>2</v>
      </c>
      <c r="E389" t="s">
        <v>12</v>
      </c>
      <c r="F389" t="s">
        <v>14</v>
      </c>
      <c r="G389">
        <v>30284.64</v>
      </c>
      <c r="H389" s="11" t="str" cm="1">
        <f t="array" ref="H389">_xlfn.IFS(Table1[[#This Row],[age]]&lt;=30,"Young Adults",Table1[[#This Row],[age]]&lt;=45,"Adults",Table1[[#This Row],[age]]&lt;=60,"Seniors",Table1[[#This Row],[age]]&gt;=61,"Elderly")</f>
        <v>Seniors</v>
      </c>
    </row>
    <row r="390" spans="1:8">
      <c r="A390">
        <v>26</v>
      </c>
      <c r="B390" t="s">
        <v>8</v>
      </c>
      <c r="C390">
        <v>22.61</v>
      </c>
      <c r="D390">
        <v>0</v>
      </c>
      <c r="E390" t="s">
        <v>12</v>
      </c>
      <c r="F390" t="s">
        <v>14</v>
      </c>
      <c r="G390">
        <v>3176.82</v>
      </c>
      <c r="H390" s="11" t="str" cm="1">
        <f t="array" ref="H390">_xlfn.IFS(Table1[[#This Row],[age]]&lt;=30,"Young Adults",Table1[[#This Row],[age]]&lt;=45,"Adults",Table1[[#This Row],[age]]&lt;=60,"Seniors",Table1[[#This Row],[age]]&gt;=61,"Elderly")</f>
        <v>Young Adults</v>
      </c>
    </row>
    <row r="391" spans="1:8">
      <c r="A391">
        <v>24</v>
      </c>
      <c r="B391" t="s">
        <v>8</v>
      </c>
      <c r="C391">
        <v>30.21</v>
      </c>
      <c r="D391">
        <v>3</v>
      </c>
      <c r="E391" t="s">
        <v>12</v>
      </c>
      <c r="F391" t="s">
        <v>14</v>
      </c>
      <c r="G391">
        <v>4618.08</v>
      </c>
      <c r="H391" s="11" t="str" cm="1">
        <f t="array" ref="H391">_xlfn.IFS(Table1[[#This Row],[age]]&lt;=30,"Young Adults",Table1[[#This Row],[age]]&lt;=45,"Adults",Table1[[#This Row],[age]]&lt;=60,"Seniors",Table1[[#This Row],[age]]&gt;=61,"Elderly")</f>
        <v>Young Adults</v>
      </c>
    </row>
    <row r="392" spans="1:8">
      <c r="A392">
        <v>48</v>
      </c>
      <c r="B392" t="s">
        <v>11</v>
      </c>
      <c r="C392">
        <v>35.625</v>
      </c>
      <c r="D392">
        <v>4</v>
      </c>
      <c r="E392" t="s">
        <v>12</v>
      </c>
      <c r="F392" t="s">
        <v>15</v>
      </c>
      <c r="G392">
        <v>10736.87</v>
      </c>
      <c r="H392" s="11" t="str" cm="1">
        <f t="array" ref="H392">_xlfn.IFS(Table1[[#This Row],[age]]&lt;=30,"Young Adults",Table1[[#This Row],[age]]&lt;=45,"Adults",Table1[[#This Row],[age]]&lt;=60,"Seniors",Table1[[#This Row],[age]]&gt;=61,"Elderly")</f>
        <v>Seniors</v>
      </c>
    </row>
    <row r="393" spans="1:8">
      <c r="A393">
        <v>19</v>
      </c>
      <c r="B393" t="s">
        <v>8</v>
      </c>
      <c r="C393">
        <v>37.43</v>
      </c>
      <c r="D393">
        <v>0</v>
      </c>
      <c r="E393" t="s">
        <v>12</v>
      </c>
      <c r="F393" t="s">
        <v>14</v>
      </c>
      <c r="G393">
        <v>2138.07</v>
      </c>
      <c r="H393" s="11" t="str" cm="1">
        <f t="array" ref="H393">_xlfn.IFS(Table1[[#This Row],[age]]&lt;=30,"Young Adults",Table1[[#This Row],[age]]&lt;=45,"Adults",Table1[[#This Row],[age]]&lt;=60,"Seniors",Table1[[#This Row],[age]]&gt;=61,"Elderly")</f>
        <v>Young Adults</v>
      </c>
    </row>
    <row r="394" spans="1:8">
      <c r="A394">
        <v>48</v>
      </c>
      <c r="B394" t="s">
        <v>11</v>
      </c>
      <c r="C394">
        <v>31.445</v>
      </c>
      <c r="D394">
        <v>1</v>
      </c>
      <c r="E394" t="s">
        <v>12</v>
      </c>
      <c r="F394" t="s">
        <v>15</v>
      </c>
      <c r="G394">
        <v>8964.06</v>
      </c>
      <c r="H394" s="11" t="str" cm="1">
        <f t="array" ref="H394">_xlfn.IFS(Table1[[#This Row],[age]]&lt;=30,"Young Adults",Table1[[#This Row],[age]]&lt;=45,"Adults",Table1[[#This Row],[age]]&lt;=60,"Seniors",Table1[[#This Row],[age]]&gt;=61,"Elderly")</f>
        <v>Seniors</v>
      </c>
    </row>
    <row r="395" spans="1:8">
      <c r="A395">
        <v>49</v>
      </c>
      <c r="B395" t="s">
        <v>11</v>
      </c>
      <c r="C395">
        <v>31.35</v>
      </c>
      <c r="D395">
        <v>1</v>
      </c>
      <c r="E395" t="s">
        <v>12</v>
      </c>
      <c r="F395" t="s">
        <v>15</v>
      </c>
      <c r="G395">
        <v>9290.14</v>
      </c>
      <c r="H395" s="11" t="str" cm="1">
        <f t="array" ref="H395">_xlfn.IFS(Table1[[#This Row],[age]]&lt;=30,"Young Adults",Table1[[#This Row],[age]]&lt;=45,"Adults",Table1[[#This Row],[age]]&lt;=60,"Seniors",Table1[[#This Row],[age]]&gt;=61,"Elderly")</f>
        <v>Seniors</v>
      </c>
    </row>
    <row r="396" spans="1:8">
      <c r="A396">
        <v>46</v>
      </c>
      <c r="B396" t="s">
        <v>8</v>
      </c>
      <c r="C396">
        <v>32.3</v>
      </c>
      <c r="D396">
        <v>2</v>
      </c>
      <c r="E396" t="s">
        <v>12</v>
      </c>
      <c r="F396" t="s">
        <v>15</v>
      </c>
      <c r="G396">
        <v>9411.01</v>
      </c>
      <c r="H396" s="11" t="str" cm="1">
        <f t="array" ref="H396">_xlfn.IFS(Table1[[#This Row],[age]]&lt;=30,"Young Adults",Table1[[#This Row],[age]]&lt;=45,"Adults",Table1[[#This Row],[age]]&lt;=60,"Seniors",Table1[[#This Row],[age]]&gt;=61,"Elderly")</f>
        <v>Seniors</v>
      </c>
    </row>
    <row r="397" spans="1:8">
      <c r="A397">
        <v>46</v>
      </c>
      <c r="B397" t="s">
        <v>11</v>
      </c>
      <c r="C397">
        <v>19.855</v>
      </c>
      <c r="D397">
        <v>0</v>
      </c>
      <c r="E397" t="s">
        <v>12</v>
      </c>
      <c r="F397" t="s">
        <v>14</v>
      </c>
      <c r="G397">
        <v>7526.71</v>
      </c>
      <c r="H397" s="11" t="str" cm="1">
        <f t="array" ref="H397">_xlfn.IFS(Table1[[#This Row],[age]]&lt;=30,"Young Adults",Table1[[#This Row],[age]]&lt;=45,"Adults",Table1[[#This Row],[age]]&lt;=60,"Seniors",Table1[[#This Row],[age]]&gt;=61,"Elderly")</f>
        <v>Seniors</v>
      </c>
    </row>
    <row r="398" spans="1:8">
      <c r="A398">
        <v>43</v>
      </c>
      <c r="B398" t="s">
        <v>8</v>
      </c>
      <c r="C398">
        <v>34.4</v>
      </c>
      <c r="D398">
        <v>3</v>
      </c>
      <c r="E398" t="s">
        <v>12</v>
      </c>
      <c r="F398" t="s">
        <v>10</v>
      </c>
      <c r="G398">
        <v>8522</v>
      </c>
      <c r="H398" s="11" t="str" cm="1">
        <f t="array" ref="H398">_xlfn.IFS(Table1[[#This Row],[age]]&lt;=30,"Young Adults",Table1[[#This Row],[age]]&lt;=45,"Adults",Table1[[#This Row],[age]]&lt;=60,"Seniors",Table1[[#This Row],[age]]&gt;=61,"Elderly")</f>
        <v>Adults</v>
      </c>
    </row>
    <row r="399" spans="1:8">
      <c r="A399">
        <v>21</v>
      </c>
      <c r="B399" t="s">
        <v>11</v>
      </c>
      <c r="C399">
        <v>31.02</v>
      </c>
      <c r="D399">
        <v>0</v>
      </c>
      <c r="E399" t="s">
        <v>12</v>
      </c>
      <c r="F399" t="s">
        <v>13</v>
      </c>
      <c r="G399">
        <v>16586.5</v>
      </c>
      <c r="H399" s="11" t="str" cm="1">
        <f t="array" ref="H399">_xlfn.IFS(Table1[[#This Row],[age]]&lt;=30,"Young Adults",Table1[[#This Row],[age]]&lt;=45,"Adults",Table1[[#This Row],[age]]&lt;=60,"Seniors",Table1[[#This Row],[age]]&gt;=61,"Elderly")</f>
        <v>Young Adults</v>
      </c>
    </row>
    <row r="400" spans="1:8">
      <c r="A400">
        <v>64</v>
      </c>
      <c r="B400" t="s">
        <v>11</v>
      </c>
      <c r="C400">
        <v>25.6</v>
      </c>
      <c r="D400">
        <v>2</v>
      </c>
      <c r="E400" t="s">
        <v>12</v>
      </c>
      <c r="F400" t="s">
        <v>10</v>
      </c>
      <c r="G400">
        <v>14988.43</v>
      </c>
      <c r="H400" s="11" t="str" cm="1">
        <f t="array" ref="H400">_xlfn.IFS(Table1[[#This Row],[age]]&lt;=30,"Young Adults",Table1[[#This Row],[age]]&lt;=45,"Adults",Table1[[#This Row],[age]]&lt;=60,"Seniors",Table1[[#This Row],[age]]&gt;=61,"Elderly")</f>
        <v>Elderly</v>
      </c>
    </row>
    <row r="401" spans="1:8">
      <c r="A401">
        <v>18</v>
      </c>
      <c r="B401" t="s">
        <v>8</v>
      </c>
      <c r="C401">
        <v>38.17</v>
      </c>
      <c r="D401">
        <v>0</v>
      </c>
      <c r="E401" t="s">
        <v>12</v>
      </c>
      <c r="F401" t="s">
        <v>13</v>
      </c>
      <c r="G401">
        <v>1631.67</v>
      </c>
      <c r="H401" s="11" t="str" cm="1">
        <f t="array" ref="H401">_xlfn.IFS(Table1[[#This Row],[age]]&lt;=30,"Young Adults",Table1[[#This Row],[age]]&lt;=45,"Adults",Table1[[#This Row],[age]]&lt;=60,"Seniors",Table1[[#This Row],[age]]&gt;=61,"Elderly")</f>
        <v>Young Adults</v>
      </c>
    </row>
    <row r="402" spans="1:8">
      <c r="A402">
        <v>51</v>
      </c>
      <c r="B402" t="s">
        <v>8</v>
      </c>
      <c r="C402">
        <v>20.6</v>
      </c>
      <c r="D402">
        <v>0</v>
      </c>
      <c r="E402" t="s">
        <v>12</v>
      </c>
      <c r="F402" t="s">
        <v>10</v>
      </c>
      <c r="G402">
        <v>9264.8</v>
      </c>
      <c r="H402" s="11" t="str" cm="1">
        <f t="array" ref="H402">_xlfn.IFS(Table1[[#This Row],[age]]&lt;=30,"Young Adults",Table1[[#This Row],[age]]&lt;=45,"Adults",Table1[[#This Row],[age]]&lt;=60,"Seniors",Table1[[#This Row],[age]]&gt;=61,"Elderly")</f>
        <v>Seniors</v>
      </c>
    </row>
    <row r="403" spans="1:8">
      <c r="A403">
        <v>47</v>
      </c>
      <c r="B403" t="s">
        <v>11</v>
      </c>
      <c r="C403">
        <v>47.52</v>
      </c>
      <c r="D403">
        <v>1</v>
      </c>
      <c r="E403" t="s">
        <v>12</v>
      </c>
      <c r="F403" t="s">
        <v>13</v>
      </c>
      <c r="G403">
        <v>8083.92</v>
      </c>
      <c r="H403" s="11" t="str" cm="1">
        <f t="array" ref="H403">_xlfn.IFS(Table1[[#This Row],[age]]&lt;=30,"Young Adults",Table1[[#This Row],[age]]&lt;=45,"Adults",Table1[[#This Row],[age]]&lt;=60,"Seniors",Table1[[#This Row],[age]]&gt;=61,"Elderly")</f>
        <v>Seniors</v>
      </c>
    </row>
    <row r="404" spans="1:8">
      <c r="A404">
        <v>64</v>
      </c>
      <c r="B404" t="s">
        <v>8</v>
      </c>
      <c r="C404">
        <v>32.965</v>
      </c>
      <c r="D404">
        <v>0</v>
      </c>
      <c r="E404" t="s">
        <v>12</v>
      </c>
      <c r="F404" t="s">
        <v>14</v>
      </c>
      <c r="G404">
        <v>14692.67</v>
      </c>
      <c r="H404" s="11" t="str" cm="1">
        <f t="array" ref="H404">_xlfn.IFS(Table1[[#This Row],[age]]&lt;=30,"Young Adults",Table1[[#This Row],[age]]&lt;=45,"Adults",Table1[[#This Row],[age]]&lt;=60,"Seniors",Table1[[#This Row],[age]]&gt;=61,"Elderly")</f>
        <v>Elderly</v>
      </c>
    </row>
    <row r="405" spans="1:8">
      <c r="A405">
        <v>49</v>
      </c>
      <c r="B405" t="s">
        <v>11</v>
      </c>
      <c r="C405">
        <v>32.3</v>
      </c>
      <c r="D405">
        <v>3</v>
      </c>
      <c r="E405" t="s">
        <v>12</v>
      </c>
      <c r="F405" t="s">
        <v>14</v>
      </c>
      <c r="G405">
        <v>10269.46</v>
      </c>
      <c r="H405" s="11" t="str" cm="1">
        <f t="array" ref="H405">_xlfn.IFS(Table1[[#This Row],[age]]&lt;=30,"Young Adults",Table1[[#This Row],[age]]&lt;=45,"Adults",Table1[[#This Row],[age]]&lt;=60,"Seniors",Table1[[#This Row],[age]]&gt;=61,"Elderly")</f>
        <v>Seniors</v>
      </c>
    </row>
    <row r="406" spans="1:8">
      <c r="A406">
        <v>31</v>
      </c>
      <c r="B406" t="s">
        <v>11</v>
      </c>
      <c r="C406">
        <v>20.4</v>
      </c>
      <c r="D406">
        <v>0</v>
      </c>
      <c r="E406" t="s">
        <v>12</v>
      </c>
      <c r="F406" t="s">
        <v>10</v>
      </c>
      <c r="G406">
        <v>3260.2</v>
      </c>
      <c r="H406" s="11" t="str" cm="1">
        <f t="array" ref="H406">_xlfn.IFS(Table1[[#This Row],[age]]&lt;=30,"Young Adults",Table1[[#This Row],[age]]&lt;=45,"Adults",Table1[[#This Row],[age]]&lt;=60,"Seniors",Table1[[#This Row],[age]]&gt;=61,"Elderly")</f>
        <v>Adults</v>
      </c>
    </row>
    <row r="407" spans="1:8">
      <c r="A407">
        <v>52</v>
      </c>
      <c r="B407" t="s">
        <v>8</v>
      </c>
      <c r="C407">
        <v>38.38</v>
      </c>
      <c r="D407">
        <v>2</v>
      </c>
      <c r="E407" t="s">
        <v>12</v>
      </c>
      <c r="F407" t="s">
        <v>15</v>
      </c>
      <c r="G407">
        <v>11396.9</v>
      </c>
      <c r="H407" s="11" t="str" cm="1">
        <f t="array" ref="H407">_xlfn.IFS(Table1[[#This Row],[age]]&lt;=30,"Young Adults",Table1[[#This Row],[age]]&lt;=45,"Adults",Table1[[#This Row],[age]]&lt;=60,"Seniors",Table1[[#This Row],[age]]&gt;=61,"Elderly")</f>
        <v>Seniors</v>
      </c>
    </row>
    <row r="408" spans="1:8">
      <c r="A408">
        <v>33</v>
      </c>
      <c r="B408" t="s">
        <v>8</v>
      </c>
      <c r="C408">
        <v>24.31</v>
      </c>
      <c r="D408">
        <v>0</v>
      </c>
      <c r="E408" t="s">
        <v>12</v>
      </c>
      <c r="F408" t="s">
        <v>13</v>
      </c>
      <c r="G408">
        <v>4185.1</v>
      </c>
      <c r="H408" s="11" t="str" cm="1">
        <f t="array" ref="H408">_xlfn.IFS(Table1[[#This Row],[age]]&lt;=30,"Young Adults",Table1[[#This Row],[age]]&lt;=45,"Adults",Table1[[#This Row],[age]]&lt;=60,"Seniors",Table1[[#This Row],[age]]&gt;=61,"Elderly")</f>
        <v>Adults</v>
      </c>
    </row>
    <row r="409" spans="1:8">
      <c r="A409">
        <v>47</v>
      </c>
      <c r="B409" t="s">
        <v>8</v>
      </c>
      <c r="C409">
        <v>23.6</v>
      </c>
      <c r="D409">
        <v>1</v>
      </c>
      <c r="E409" t="s">
        <v>12</v>
      </c>
      <c r="F409" t="s">
        <v>10</v>
      </c>
      <c r="G409">
        <v>8539.67</v>
      </c>
      <c r="H409" s="11" t="str" cm="1">
        <f t="array" ref="H409">_xlfn.IFS(Table1[[#This Row],[age]]&lt;=30,"Young Adults",Table1[[#This Row],[age]]&lt;=45,"Adults",Table1[[#This Row],[age]]&lt;=60,"Seniors",Table1[[#This Row],[age]]&gt;=61,"Elderly")</f>
        <v>Seniors</v>
      </c>
    </row>
    <row r="410" spans="1:8">
      <c r="A410">
        <v>38</v>
      </c>
      <c r="B410" t="s">
        <v>11</v>
      </c>
      <c r="C410">
        <v>21.12</v>
      </c>
      <c r="D410">
        <v>3</v>
      </c>
      <c r="E410" t="s">
        <v>12</v>
      </c>
      <c r="F410" t="s">
        <v>13</v>
      </c>
      <c r="G410">
        <v>6652.53</v>
      </c>
      <c r="H410" s="11" t="str" cm="1">
        <f t="array" ref="H410">_xlfn.IFS(Table1[[#This Row],[age]]&lt;=30,"Young Adults",Table1[[#This Row],[age]]&lt;=45,"Adults",Table1[[#This Row],[age]]&lt;=60,"Seniors",Table1[[#This Row],[age]]&gt;=61,"Elderly")</f>
        <v>Adults</v>
      </c>
    </row>
    <row r="411" spans="1:8">
      <c r="A411">
        <v>32</v>
      </c>
      <c r="B411" t="s">
        <v>11</v>
      </c>
      <c r="C411">
        <v>30.03</v>
      </c>
      <c r="D411">
        <v>1</v>
      </c>
      <c r="E411" t="s">
        <v>12</v>
      </c>
      <c r="F411" t="s">
        <v>13</v>
      </c>
      <c r="G411">
        <v>4074.45</v>
      </c>
      <c r="H411" s="11" t="str" cm="1">
        <f t="array" ref="H411">_xlfn.IFS(Table1[[#This Row],[age]]&lt;=30,"Young Adults",Table1[[#This Row],[age]]&lt;=45,"Adults",Table1[[#This Row],[age]]&lt;=60,"Seniors",Table1[[#This Row],[age]]&gt;=61,"Elderly")</f>
        <v>Adults</v>
      </c>
    </row>
    <row r="412" spans="1:8">
      <c r="A412">
        <v>19</v>
      </c>
      <c r="B412" t="s">
        <v>11</v>
      </c>
      <c r="C412">
        <v>17.48</v>
      </c>
      <c r="D412">
        <v>0</v>
      </c>
      <c r="E412" t="s">
        <v>12</v>
      </c>
      <c r="F412" t="s">
        <v>14</v>
      </c>
      <c r="G412">
        <v>1621.34</v>
      </c>
      <c r="H412" s="11" t="str" cm="1">
        <f t="array" ref="H412">_xlfn.IFS(Table1[[#This Row],[age]]&lt;=30,"Young Adults",Table1[[#This Row],[age]]&lt;=45,"Adults",Table1[[#This Row],[age]]&lt;=60,"Seniors",Table1[[#This Row],[age]]&gt;=61,"Elderly")</f>
        <v>Young Adults</v>
      </c>
    </row>
    <row r="413" spans="1:8">
      <c r="A413">
        <v>44</v>
      </c>
      <c r="B413" t="s">
        <v>8</v>
      </c>
      <c r="C413">
        <v>20.235</v>
      </c>
      <c r="D413">
        <v>1</v>
      </c>
      <c r="E413" t="s">
        <v>9</v>
      </c>
      <c r="F413" t="s">
        <v>15</v>
      </c>
      <c r="G413">
        <v>19594.81</v>
      </c>
      <c r="H413" s="11" t="str" cm="1">
        <f t="array" ref="H413">_xlfn.IFS(Table1[[#This Row],[age]]&lt;=30,"Young Adults",Table1[[#This Row],[age]]&lt;=45,"Adults",Table1[[#This Row],[age]]&lt;=60,"Seniors",Table1[[#This Row],[age]]&gt;=61,"Elderly")</f>
        <v>Adults</v>
      </c>
    </row>
    <row r="414" spans="1:8">
      <c r="A414">
        <v>26</v>
      </c>
      <c r="B414" t="s">
        <v>8</v>
      </c>
      <c r="C414">
        <v>17.195</v>
      </c>
      <c r="D414">
        <v>2</v>
      </c>
      <c r="E414" t="s">
        <v>9</v>
      </c>
      <c r="F414" t="s">
        <v>15</v>
      </c>
      <c r="G414">
        <v>14455.64</v>
      </c>
      <c r="H414" s="11" t="str" cm="1">
        <f t="array" ref="H414">_xlfn.IFS(Table1[[#This Row],[age]]&lt;=30,"Young Adults",Table1[[#This Row],[age]]&lt;=45,"Adults",Table1[[#This Row],[age]]&lt;=60,"Seniors",Table1[[#This Row],[age]]&gt;=61,"Elderly")</f>
        <v>Young Adults</v>
      </c>
    </row>
    <row r="415" spans="1:8">
      <c r="A415">
        <v>25</v>
      </c>
      <c r="B415" t="s">
        <v>11</v>
      </c>
      <c r="C415">
        <v>23.9</v>
      </c>
      <c r="D415">
        <v>5</v>
      </c>
      <c r="E415" t="s">
        <v>12</v>
      </c>
      <c r="F415" t="s">
        <v>10</v>
      </c>
      <c r="G415">
        <v>5080.1</v>
      </c>
      <c r="H415" s="11" t="str" cm="1">
        <f t="array" ref="H415">_xlfn.IFS(Table1[[#This Row],[age]]&lt;=30,"Young Adults",Table1[[#This Row],[age]]&lt;=45,"Adults",Table1[[#This Row],[age]]&lt;=60,"Seniors",Table1[[#This Row],[age]]&gt;=61,"Elderly")</f>
        <v>Young Adults</v>
      </c>
    </row>
    <row r="416" spans="1:8">
      <c r="A416">
        <v>19</v>
      </c>
      <c r="B416" t="s">
        <v>8</v>
      </c>
      <c r="C416">
        <v>35.15</v>
      </c>
      <c r="D416">
        <v>0</v>
      </c>
      <c r="E416" t="s">
        <v>12</v>
      </c>
      <c r="F416" t="s">
        <v>14</v>
      </c>
      <c r="G416">
        <v>2134.9</v>
      </c>
      <c r="H416" s="11" t="str" cm="1">
        <f t="array" ref="H416">_xlfn.IFS(Table1[[#This Row],[age]]&lt;=30,"Young Adults",Table1[[#This Row],[age]]&lt;=45,"Adults",Table1[[#This Row],[age]]&lt;=60,"Seniors",Table1[[#This Row],[age]]&gt;=61,"Elderly")</f>
        <v>Young Adults</v>
      </c>
    </row>
    <row r="417" spans="1:8">
      <c r="A417">
        <v>43</v>
      </c>
      <c r="B417" t="s">
        <v>8</v>
      </c>
      <c r="C417">
        <v>35.64</v>
      </c>
      <c r="D417">
        <v>1</v>
      </c>
      <c r="E417" t="s">
        <v>12</v>
      </c>
      <c r="F417" t="s">
        <v>13</v>
      </c>
      <c r="G417">
        <v>7345.73</v>
      </c>
      <c r="H417" s="11" t="str" cm="1">
        <f t="array" ref="H417">_xlfn.IFS(Table1[[#This Row],[age]]&lt;=30,"Young Adults",Table1[[#This Row],[age]]&lt;=45,"Adults",Table1[[#This Row],[age]]&lt;=60,"Seniors",Table1[[#This Row],[age]]&gt;=61,"Elderly")</f>
        <v>Adults</v>
      </c>
    </row>
    <row r="418" spans="1:8">
      <c r="A418">
        <v>52</v>
      </c>
      <c r="B418" t="s">
        <v>11</v>
      </c>
      <c r="C418">
        <v>34.1</v>
      </c>
      <c r="D418">
        <v>0</v>
      </c>
      <c r="E418" t="s">
        <v>12</v>
      </c>
      <c r="F418" t="s">
        <v>13</v>
      </c>
      <c r="G418">
        <v>9140.95</v>
      </c>
      <c r="H418" s="11" t="str" cm="1">
        <f t="array" ref="H418">_xlfn.IFS(Table1[[#This Row],[age]]&lt;=30,"Young Adults",Table1[[#This Row],[age]]&lt;=45,"Adults",Table1[[#This Row],[age]]&lt;=60,"Seniors",Table1[[#This Row],[age]]&gt;=61,"Elderly")</f>
        <v>Seniors</v>
      </c>
    </row>
    <row r="419" spans="1:8">
      <c r="A419">
        <v>36</v>
      </c>
      <c r="B419" t="s">
        <v>8</v>
      </c>
      <c r="C419">
        <v>22.6</v>
      </c>
      <c r="D419">
        <v>2</v>
      </c>
      <c r="E419" t="s">
        <v>9</v>
      </c>
      <c r="F419" t="s">
        <v>10</v>
      </c>
      <c r="G419">
        <v>18608.26</v>
      </c>
      <c r="H419" s="11" t="str" cm="1">
        <f t="array" ref="H419">_xlfn.IFS(Table1[[#This Row],[age]]&lt;=30,"Young Adults",Table1[[#This Row],[age]]&lt;=45,"Adults",Table1[[#This Row],[age]]&lt;=60,"Seniors",Table1[[#This Row],[age]]&gt;=61,"Elderly")</f>
        <v>Adults</v>
      </c>
    </row>
    <row r="420" spans="1:8">
      <c r="A420">
        <v>64</v>
      </c>
      <c r="B420" t="s">
        <v>11</v>
      </c>
      <c r="C420">
        <v>39.16</v>
      </c>
      <c r="D420">
        <v>1</v>
      </c>
      <c r="E420" t="s">
        <v>12</v>
      </c>
      <c r="F420" t="s">
        <v>13</v>
      </c>
      <c r="G420">
        <v>14418.28</v>
      </c>
      <c r="H420" s="11" t="str" cm="1">
        <f t="array" ref="H420">_xlfn.IFS(Table1[[#This Row],[age]]&lt;=30,"Young Adults",Table1[[#This Row],[age]]&lt;=45,"Adults",Table1[[#This Row],[age]]&lt;=60,"Seniors",Table1[[#This Row],[age]]&gt;=61,"Elderly")</f>
        <v>Elderly</v>
      </c>
    </row>
    <row r="421" spans="1:8">
      <c r="A421">
        <v>63</v>
      </c>
      <c r="B421" t="s">
        <v>8</v>
      </c>
      <c r="C421">
        <v>26.98</v>
      </c>
      <c r="D421">
        <v>0</v>
      </c>
      <c r="E421" t="s">
        <v>9</v>
      </c>
      <c r="F421" t="s">
        <v>14</v>
      </c>
      <c r="G421">
        <v>28950.47</v>
      </c>
      <c r="H421" s="11" t="str" cm="1">
        <f t="array" ref="H421">_xlfn.IFS(Table1[[#This Row],[age]]&lt;=30,"Young Adults",Table1[[#This Row],[age]]&lt;=45,"Adults",Table1[[#This Row],[age]]&lt;=60,"Seniors",Table1[[#This Row],[age]]&gt;=61,"Elderly")</f>
        <v>Elderly</v>
      </c>
    </row>
    <row r="422" spans="1:8">
      <c r="A422">
        <v>64</v>
      </c>
      <c r="B422" t="s">
        <v>11</v>
      </c>
      <c r="C422">
        <v>33.88</v>
      </c>
      <c r="D422">
        <v>0</v>
      </c>
      <c r="E422" t="s">
        <v>9</v>
      </c>
      <c r="F422" t="s">
        <v>13</v>
      </c>
      <c r="G422">
        <v>46889.26</v>
      </c>
      <c r="H422" s="11" t="str" cm="1">
        <f t="array" ref="H422">_xlfn.IFS(Table1[[#This Row],[age]]&lt;=30,"Young Adults",Table1[[#This Row],[age]]&lt;=45,"Adults",Table1[[#This Row],[age]]&lt;=60,"Seniors",Table1[[#This Row],[age]]&gt;=61,"Elderly")</f>
        <v>Elderly</v>
      </c>
    </row>
    <row r="423" spans="1:8">
      <c r="A423">
        <v>61</v>
      </c>
      <c r="B423" t="s">
        <v>11</v>
      </c>
      <c r="C423">
        <v>35.86</v>
      </c>
      <c r="D423">
        <v>0</v>
      </c>
      <c r="E423" t="s">
        <v>9</v>
      </c>
      <c r="F423" t="s">
        <v>13</v>
      </c>
      <c r="G423">
        <v>46599.11</v>
      </c>
      <c r="H423" s="11" t="str" cm="1">
        <f t="array" ref="H423">_xlfn.IFS(Table1[[#This Row],[age]]&lt;=30,"Young Adults",Table1[[#This Row],[age]]&lt;=45,"Adults",Table1[[#This Row],[age]]&lt;=60,"Seniors",Table1[[#This Row],[age]]&gt;=61,"Elderly")</f>
        <v>Elderly</v>
      </c>
    </row>
    <row r="424" spans="1:8">
      <c r="A424">
        <v>40</v>
      </c>
      <c r="B424" t="s">
        <v>11</v>
      </c>
      <c r="C424">
        <v>32.775</v>
      </c>
      <c r="D424">
        <v>1</v>
      </c>
      <c r="E424" t="s">
        <v>9</v>
      </c>
      <c r="F424" t="s">
        <v>15</v>
      </c>
      <c r="G424">
        <v>39125.33</v>
      </c>
      <c r="H424" s="11" t="str" cm="1">
        <f t="array" ref="H424">_xlfn.IFS(Table1[[#This Row],[age]]&lt;=30,"Young Adults",Table1[[#This Row],[age]]&lt;=45,"Adults",Table1[[#This Row],[age]]&lt;=60,"Seniors",Table1[[#This Row],[age]]&gt;=61,"Elderly")</f>
        <v>Adults</v>
      </c>
    </row>
    <row r="425" spans="1:8">
      <c r="A425">
        <v>25</v>
      </c>
      <c r="B425" t="s">
        <v>11</v>
      </c>
      <c r="C425">
        <v>30.59</v>
      </c>
      <c r="D425">
        <v>0</v>
      </c>
      <c r="E425" t="s">
        <v>12</v>
      </c>
      <c r="F425" t="s">
        <v>15</v>
      </c>
      <c r="G425">
        <v>2727.4</v>
      </c>
      <c r="H425" s="11" t="str" cm="1">
        <f t="array" ref="H425">_xlfn.IFS(Table1[[#This Row],[age]]&lt;=30,"Young Adults",Table1[[#This Row],[age]]&lt;=45,"Adults",Table1[[#This Row],[age]]&lt;=60,"Seniors",Table1[[#This Row],[age]]&gt;=61,"Elderly")</f>
        <v>Young Adults</v>
      </c>
    </row>
    <row r="426" spans="1:8">
      <c r="A426">
        <v>48</v>
      </c>
      <c r="B426" t="s">
        <v>11</v>
      </c>
      <c r="C426">
        <v>30.2</v>
      </c>
      <c r="D426">
        <v>2</v>
      </c>
      <c r="E426" t="s">
        <v>12</v>
      </c>
      <c r="F426" t="s">
        <v>10</v>
      </c>
      <c r="G426">
        <v>8968.33</v>
      </c>
      <c r="H426" s="11" t="str" cm="1">
        <f t="array" ref="H426">_xlfn.IFS(Table1[[#This Row],[age]]&lt;=30,"Young Adults",Table1[[#This Row],[age]]&lt;=45,"Adults",Table1[[#This Row],[age]]&lt;=60,"Seniors",Table1[[#This Row],[age]]&gt;=61,"Elderly")</f>
        <v>Seniors</v>
      </c>
    </row>
    <row r="427" spans="1:8">
      <c r="A427">
        <v>45</v>
      </c>
      <c r="B427" t="s">
        <v>11</v>
      </c>
      <c r="C427">
        <v>24.31</v>
      </c>
      <c r="D427">
        <v>5</v>
      </c>
      <c r="E427" t="s">
        <v>12</v>
      </c>
      <c r="F427" t="s">
        <v>13</v>
      </c>
      <c r="G427">
        <v>9788.87</v>
      </c>
      <c r="H427" s="11" t="str" cm="1">
        <f t="array" ref="H427">_xlfn.IFS(Table1[[#This Row],[age]]&lt;=30,"Young Adults",Table1[[#This Row],[age]]&lt;=45,"Adults",Table1[[#This Row],[age]]&lt;=60,"Seniors",Table1[[#This Row],[age]]&gt;=61,"Elderly")</f>
        <v>Adults</v>
      </c>
    </row>
    <row r="428" spans="1:8">
      <c r="A428">
        <v>38</v>
      </c>
      <c r="B428" t="s">
        <v>8</v>
      </c>
      <c r="C428">
        <v>27.265</v>
      </c>
      <c r="D428">
        <v>1</v>
      </c>
      <c r="E428" t="s">
        <v>12</v>
      </c>
      <c r="F428" t="s">
        <v>15</v>
      </c>
      <c r="G428">
        <v>6555.07</v>
      </c>
      <c r="H428" s="11" t="str" cm="1">
        <f t="array" ref="H428">_xlfn.IFS(Table1[[#This Row],[age]]&lt;=30,"Young Adults",Table1[[#This Row],[age]]&lt;=45,"Adults",Table1[[#This Row],[age]]&lt;=60,"Seniors",Table1[[#This Row],[age]]&gt;=61,"Elderly")</f>
        <v>Adults</v>
      </c>
    </row>
    <row r="429" spans="1:8">
      <c r="A429">
        <v>18</v>
      </c>
      <c r="B429" t="s">
        <v>8</v>
      </c>
      <c r="C429">
        <v>29.165</v>
      </c>
      <c r="D429">
        <v>0</v>
      </c>
      <c r="E429" t="s">
        <v>12</v>
      </c>
      <c r="F429" t="s">
        <v>15</v>
      </c>
      <c r="G429">
        <v>7323.73</v>
      </c>
      <c r="H429" s="11" t="str" cm="1">
        <f t="array" ref="H429">_xlfn.IFS(Table1[[#This Row],[age]]&lt;=30,"Young Adults",Table1[[#This Row],[age]]&lt;=45,"Adults",Table1[[#This Row],[age]]&lt;=60,"Seniors",Table1[[#This Row],[age]]&gt;=61,"Elderly")</f>
        <v>Young Adults</v>
      </c>
    </row>
    <row r="430" spans="1:8">
      <c r="A430">
        <v>21</v>
      </c>
      <c r="B430" t="s">
        <v>8</v>
      </c>
      <c r="C430">
        <v>16.815</v>
      </c>
      <c r="D430">
        <v>1</v>
      </c>
      <c r="E430" t="s">
        <v>12</v>
      </c>
      <c r="F430" t="s">
        <v>15</v>
      </c>
      <c r="G430">
        <v>3167.46</v>
      </c>
      <c r="H430" s="11" t="str" cm="1">
        <f t="array" ref="H430">_xlfn.IFS(Table1[[#This Row],[age]]&lt;=30,"Young Adults",Table1[[#This Row],[age]]&lt;=45,"Adults",Table1[[#This Row],[age]]&lt;=60,"Seniors",Table1[[#This Row],[age]]&gt;=61,"Elderly")</f>
        <v>Young Adults</v>
      </c>
    </row>
    <row r="431" spans="1:8">
      <c r="A431">
        <v>27</v>
      </c>
      <c r="B431" t="s">
        <v>8</v>
      </c>
      <c r="C431">
        <v>30.4</v>
      </c>
      <c r="D431">
        <v>3</v>
      </c>
      <c r="E431" t="s">
        <v>12</v>
      </c>
      <c r="F431" t="s">
        <v>14</v>
      </c>
      <c r="G431">
        <v>18804.75</v>
      </c>
      <c r="H431" s="11" t="str" cm="1">
        <f t="array" ref="H431">_xlfn.IFS(Table1[[#This Row],[age]]&lt;=30,"Young Adults",Table1[[#This Row],[age]]&lt;=45,"Adults",Table1[[#This Row],[age]]&lt;=60,"Seniors",Table1[[#This Row],[age]]&gt;=61,"Elderly")</f>
        <v>Young Adults</v>
      </c>
    </row>
    <row r="432" spans="1:8">
      <c r="A432">
        <v>19</v>
      </c>
      <c r="B432" t="s">
        <v>11</v>
      </c>
      <c r="C432">
        <v>33.1</v>
      </c>
      <c r="D432">
        <v>0</v>
      </c>
      <c r="E432" t="s">
        <v>12</v>
      </c>
      <c r="F432" t="s">
        <v>10</v>
      </c>
      <c r="G432">
        <v>23082.96</v>
      </c>
      <c r="H432" s="11" t="str" cm="1">
        <f t="array" ref="H432">_xlfn.IFS(Table1[[#This Row],[age]]&lt;=30,"Young Adults",Table1[[#This Row],[age]]&lt;=45,"Adults",Table1[[#This Row],[age]]&lt;=60,"Seniors",Table1[[#This Row],[age]]&gt;=61,"Elderly")</f>
        <v>Young Adults</v>
      </c>
    </row>
    <row r="433" spans="1:8">
      <c r="A433">
        <v>29</v>
      </c>
      <c r="B433" t="s">
        <v>8</v>
      </c>
      <c r="C433">
        <v>20.235</v>
      </c>
      <c r="D433">
        <v>2</v>
      </c>
      <c r="E433" t="s">
        <v>12</v>
      </c>
      <c r="F433" t="s">
        <v>14</v>
      </c>
      <c r="G433">
        <v>4906.41</v>
      </c>
      <c r="H433" s="11" t="str" cm="1">
        <f t="array" ref="H433">_xlfn.IFS(Table1[[#This Row],[age]]&lt;=30,"Young Adults",Table1[[#This Row],[age]]&lt;=45,"Adults",Table1[[#This Row],[age]]&lt;=60,"Seniors",Table1[[#This Row],[age]]&gt;=61,"Elderly")</f>
        <v>Young Adults</v>
      </c>
    </row>
    <row r="434" spans="1:8">
      <c r="A434">
        <v>42</v>
      </c>
      <c r="B434" t="s">
        <v>11</v>
      </c>
      <c r="C434">
        <v>26.9</v>
      </c>
      <c r="D434">
        <v>0</v>
      </c>
      <c r="E434" t="s">
        <v>12</v>
      </c>
      <c r="F434" t="s">
        <v>10</v>
      </c>
      <c r="G434">
        <v>5969.72</v>
      </c>
      <c r="H434" s="11" t="str" cm="1">
        <f t="array" ref="H434">_xlfn.IFS(Table1[[#This Row],[age]]&lt;=30,"Young Adults",Table1[[#This Row],[age]]&lt;=45,"Adults",Table1[[#This Row],[age]]&lt;=60,"Seniors",Table1[[#This Row],[age]]&gt;=61,"Elderly")</f>
        <v>Adults</v>
      </c>
    </row>
    <row r="435" spans="1:8">
      <c r="A435">
        <v>60</v>
      </c>
      <c r="B435" t="s">
        <v>8</v>
      </c>
      <c r="C435">
        <v>30.5</v>
      </c>
      <c r="D435">
        <v>0</v>
      </c>
      <c r="E435" t="s">
        <v>12</v>
      </c>
      <c r="F435" t="s">
        <v>10</v>
      </c>
      <c r="G435">
        <v>12638.2</v>
      </c>
      <c r="H435" s="11" t="str" cm="1">
        <f t="array" ref="H435">_xlfn.IFS(Table1[[#This Row],[age]]&lt;=30,"Young Adults",Table1[[#This Row],[age]]&lt;=45,"Adults",Table1[[#This Row],[age]]&lt;=60,"Seniors",Table1[[#This Row],[age]]&gt;=61,"Elderly")</f>
        <v>Seniors</v>
      </c>
    </row>
    <row r="436" spans="1:8">
      <c r="A436">
        <v>31</v>
      </c>
      <c r="B436" t="s">
        <v>11</v>
      </c>
      <c r="C436">
        <v>28.595</v>
      </c>
      <c r="D436">
        <v>1</v>
      </c>
      <c r="E436" t="s">
        <v>12</v>
      </c>
      <c r="F436" t="s">
        <v>14</v>
      </c>
      <c r="G436">
        <v>4243.59</v>
      </c>
      <c r="H436" s="11" t="str" cm="1">
        <f t="array" ref="H436">_xlfn.IFS(Table1[[#This Row],[age]]&lt;=30,"Young Adults",Table1[[#This Row],[age]]&lt;=45,"Adults",Table1[[#This Row],[age]]&lt;=60,"Seniors",Table1[[#This Row],[age]]&gt;=61,"Elderly")</f>
        <v>Adults</v>
      </c>
    </row>
    <row r="437" spans="1:8">
      <c r="A437">
        <v>60</v>
      </c>
      <c r="B437" t="s">
        <v>11</v>
      </c>
      <c r="C437">
        <v>33.11</v>
      </c>
      <c r="D437">
        <v>3</v>
      </c>
      <c r="E437" t="s">
        <v>12</v>
      </c>
      <c r="F437" t="s">
        <v>13</v>
      </c>
      <c r="G437">
        <v>13919.82</v>
      </c>
      <c r="H437" s="11" t="str" cm="1">
        <f t="array" ref="H437">_xlfn.IFS(Table1[[#This Row],[age]]&lt;=30,"Young Adults",Table1[[#This Row],[age]]&lt;=45,"Adults",Table1[[#This Row],[age]]&lt;=60,"Seniors",Table1[[#This Row],[age]]&gt;=61,"Elderly")</f>
        <v>Seniors</v>
      </c>
    </row>
    <row r="438" spans="1:8">
      <c r="A438">
        <v>22</v>
      </c>
      <c r="B438" t="s">
        <v>11</v>
      </c>
      <c r="C438">
        <v>31.73</v>
      </c>
      <c r="D438">
        <v>0</v>
      </c>
      <c r="E438" t="s">
        <v>12</v>
      </c>
      <c r="F438" t="s">
        <v>15</v>
      </c>
      <c r="G438">
        <v>2254.8</v>
      </c>
      <c r="H438" s="11" t="str" cm="1">
        <f t="array" ref="H438">_xlfn.IFS(Table1[[#This Row],[age]]&lt;=30,"Young Adults",Table1[[#This Row],[age]]&lt;=45,"Adults",Table1[[#This Row],[age]]&lt;=60,"Seniors",Table1[[#This Row],[age]]&gt;=61,"Elderly")</f>
        <v>Young Adults</v>
      </c>
    </row>
    <row r="439" spans="1:8">
      <c r="A439">
        <v>35</v>
      </c>
      <c r="B439" t="s">
        <v>11</v>
      </c>
      <c r="C439">
        <v>28.9</v>
      </c>
      <c r="D439">
        <v>3</v>
      </c>
      <c r="E439" t="s">
        <v>12</v>
      </c>
      <c r="F439" t="s">
        <v>10</v>
      </c>
      <c r="G439">
        <v>5926.85</v>
      </c>
      <c r="H439" s="11" t="str" cm="1">
        <f t="array" ref="H439">_xlfn.IFS(Table1[[#This Row],[age]]&lt;=30,"Young Adults",Table1[[#This Row],[age]]&lt;=45,"Adults",Table1[[#This Row],[age]]&lt;=60,"Seniors",Table1[[#This Row],[age]]&gt;=61,"Elderly")</f>
        <v>Adults</v>
      </c>
    </row>
    <row r="440" spans="1:8">
      <c r="A440">
        <v>52</v>
      </c>
      <c r="B440" t="s">
        <v>8</v>
      </c>
      <c r="C440">
        <v>46.75</v>
      </c>
      <c r="D440">
        <v>5</v>
      </c>
      <c r="E440" t="s">
        <v>12</v>
      </c>
      <c r="F440" t="s">
        <v>13</v>
      </c>
      <c r="G440">
        <v>12592.53</v>
      </c>
      <c r="H440" s="11" t="str" cm="1">
        <f t="array" ref="H440">_xlfn.IFS(Table1[[#This Row],[age]]&lt;=30,"Young Adults",Table1[[#This Row],[age]]&lt;=45,"Adults",Table1[[#This Row],[age]]&lt;=60,"Seniors",Table1[[#This Row],[age]]&gt;=61,"Elderly")</f>
        <v>Seniors</v>
      </c>
    </row>
    <row r="441" spans="1:8">
      <c r="A441">
        <v>26</v>
      </c>
      <c r="B441" t="s">
        <v>11</v>
      </c>
      <c r="C441">
        <v>29.45</v>
      </c>
      <c r="D441">
        <v>0</v>
      </c>
      <c r="E441" t="s">
        <v>12</v>
      </c>
      <c r="F441" t="s">
        <v>15</v>
      </c>
      <c r="G441">
        <v>2897.32</v>
      </c>
      <c r="H441" s="11" t="str" cm="1">
        <f t="array" ref="H441">_xlfn.IFS(Table1[[#This Row],[age]]&lt;=30,"Young Adults",Table1[[#This Row],[age]]&lt;=45,"Adults",Table1[[#This Row],[age]]&lt;=60,"Seniors",Table1[[#This Row],[age]]&gt;=61,"Elderly")</f>
        <v>Young Adults</v>
      </c>
    </row>
    <row r="442" spans="1:8">
      <c r="A442">
        <v>31</v>
      </c>
      <c r="B442" t="s">
        <v>8</v>
      </c>
      <c r="C442">
        <v>32.68</v>
      </c>
      <c r="D442">
        <v>1</v>
      </c>
      <c r="E442" t="s">
        <v>12</v>
      </c>
      <c r="F442" t="s">
        <v>14</v>
      </c>
      <c r="G442">
        <v>4738.27</v>
      </c>
      <c r="H442" s="11" t="str" cm="1">
        <f t="array" ref="H442">_xlfn.IFS(Table1[[#This Row],[age]]&lt;=30,"Young Adults",Table1[[#This Row],[age]]&lt;=45,"Adults",Table1[[#This Row],[age]]&lt;=60,"Seniors",Table1[[#This Row],[age]]&gt;=61,"Elderly")</f>
        <v>Adults</v>
      </c>
    </row>
    <row r="443" spans="1:8">
      <c r="A443">
        <v>33</v>
      </c>
      <c r="B443" t="s">
        <v>8</v>
      </c>
      <c r="C443">
        <v>33.5</v>
      </c>
      <c r="D443">
        <v>0</v>
      </c>
      <c r="E443" t="s">
        <v>9</v>
      </c>
      <c r="F443" t="s">
        <v>10</v>
      </c>
      <c r="G443">
        <v>37079.37</v>
      </c>
      <c r="H443" s="11" t="str" cm="1">
        <f t="array" ref="H443">_xlfn.IFS(Table1[[#This Row],[age]]&lt;=30,"Young Adults",Table1[[#This Row],[age]]&lt;=45,"Adults",Table1[[#This Row],[age]]&lt;=60,"Seniors",Table1[[#This Row],[age]]&gt;=61,"Elderly")</f>
        <v>Adults</v>
      </c>
    </row>
    <row r="444" spans="1:8">
      <c r="A444">
        <v>18</v>
      </c>
      <c r="B444" t="s">
        <v>11</v>
      </c>
      <c r="C444">
        <v>43.01</v>
      </c>
      <c r="D444">
        <v>0</v>
      </c>
      <c r="E444" t="s">
        <v>12</v>
      </c>
      <c r="F444" t="s">
        <v>13</v>
      </c>
      <c r="G444">
        <v>1149.4</v>
      </c>
      <c r="H444" s="11" t="str" cm="1">
        <f t="array" ref="H444">_xlfn.IFS(Table1[[#This Row],[age]]&lt;=30,"Young Adults",Table1[[#This Row],[age]]&lt;=45,"Adults",Table1[[#This Row],[age]]&lt;=60,"Seniors",Table1[[#This Row],[age]]&gt;=61,"Elderly")</f>
        <v>Young Adults</v>
      </c>
    </row>
    <row r="445" spans="1:8">
      <c r="A445">
        <v>59</v>
      </c>
      <c r="B445" t="s">
        <v>8</v>
      </c>
      <c r="C445">
        <v>36.52</v>
      </c>
      <c r="D445">
        <v>1</v>
      </c>
      <c r="E445" t="s">
        <v>12</v>
      </c>
      <c r="F445" t="s">
        <v>13</v>
      </c>
      <c r="G445">
        <v>28287.9</v>
      </c>
      <c r="H445" s="11" t="str" cm="1">
        <f t="array" ref="H445">_xlfn.IFS(Table1[[#This Row],[age]]&lt;=30,"Young Adults",Table1[[#This Row],[age]]&lt;=45,"Adults",Table1[[#This Row],[age]]&lt;=60,"Seniors",Table1[[#This Row],[age]]&gt;=61,"Elderly")</f>
        <v>Seniors</v>
      </c>
    </row>
    <row r="446" spans="1:8">
      <c r="A446">
        <v>56</v>
      </c>
      <c r="B446" t="s">
        <v>11</v>
      </c>
      <c r="C446">
        <v>26.695</v>
      </c>
      <c r="D446">
        <v>1</v>
      </c>
      <c r="E446" t="s">
        <v>9</v>
      </c>
      <c r="F446" t="s">
        <v>14</v>
      </c>
      <c r="G446">
        <v>26109.33</v>
      </c>
      <c r="H446" s="11" t="str" cm="1">
        <f t="array" ref="H446">_xlfn.IFS(Table1[[#This Row],[age]]&lt;=30,"Young Adults",Table1[[#This Row],[age]]&lt;=45,"Adults",Table1[[#This Row],[age]]&lt;=60,"Seniors",Table1[[#This Row],[age]]&gt;=61,"Elderly")</f>
        <v>Seniors</v>
      </c>
    </row>
    <row r="447" spans="1:8">
      <c r="A447">
        <v>45</v>
      </c>
      <c r="B447" t="s">
        <v>8</v>
      </c>
      <c r="C447">
        <v>33.1</v>
      </c>
      <c r="D447">
        <v>0</v>
      </c>
      <c r="E447" t="s">
        <v>12</v>
      </c>
      <c r="F447" t="s">
        <v>10</v>
      </c>
      <c r="G447">
        <v>7345.08</v>
      </c>
      <c r="H447" s="11" t="str" cm="1">
        <f t="array" ref="H447">_xlfn.IFS(Table1[[#This Row],[age]]&lt;=30,"Young Adults",Table1[[#This Row],[age]]&lt;=45,"Adults",Table1[[#This Row],[age]]&lt;=60,"Seniors",Table1[[#This Row],[age]]&gt;=61,"Elderly")</f>
        <v>Adults</v>
      </c>
    </row>
    <row r="448" spans="1:8">
      <c r="A448">
        <v>60</v>
      </c>
      <c r="B448" t="s">
        <v>11</v>
      </c>
      <c r="C448">
        <v>29.64</v>
      </c>
      <c r="D448">
        <v>0</v>
      </c>
      <c r="E448" t="s">
        <v>12</v>
      </c>
      <c r="F448" t="s">
        <v>15</v>
      </c>
      <c r="G448">
        <v>12731</v>
      </c>
      <c r="H448" s="11" t="str" cm="1">
        <f t="array" ref="H448">_xlfn.IFS(Table1[[#This Row],[age]]&lt;=30,"Young Adults",Table1[[#This Row],[age]]&lt;=45,"Adults",Table1[[#This Row],[age]]&lt;=60,"Seniors",Table1[[#This Row],[age]]&gt;=61,"Elderly")</f>
        <v>Seniors</v>
      </c>
    </row>
    <row r="449" spans="1:8">
      <c r="A449">
        <v>56</v>
      </c>
      <c r="B449" t="s">
        <v>8</v>
      </c>
      <c r="C449">
        <v>25.65</v>
      </c>
      <c r="D449">
        <v>0</v>
      </c>
      <c r="E449" t="s">
        <v>12</v>
      </c>
      <c r="F449" t="s">
        <v>14</v>
      </c>
      <c r="G449">
        <v>11454.02</v>
      </c>
      <c r="H449" s="11" t="str" cm="1">
        <f t="array" ref="H449">_xlfn.IFS(Table1[[#This Row],[age]]&lt;=30,"Young Adults",Table1[[#This Row],[age]]&lt;=45,"Adults",Table1[[#This Row],[age]]&lt;=60,"Seniors",Table1[[#This Row],[age]]&gt;=61,"Elderly")</f>
        <v>Seniors</v>
      </c>
    </row>
    <row r="450" spans="1:8">
      <c r="A450">
        <v>40</v>
      </c>
      <c r="B450" t="s">
        <v>8</v>
      </c>
      <c r="C450">
        <v>29.6</v>
      </c>
      <c r="D450">
        <v>0</v>
      </c>
      <c r="E450" t="s">
        <v>12</v>
      </c>
      <c r="F450" t="s">
        <v>10</v>
      </c>
      <c r="G450">
        <v>5910.94</v>
      </c>
      <c r="H450" s="11" t="str" cm="1">
        <f t="array" ref="H450">_xlfn.IFS(Table1[[#This Row],[age]]&lt;=30,"Young Adults",Table1[[#This Row],[age]]&lt;=45,"Adults",Table1[[#This Row],[age]]&lt;=60,"Seniors",Table1[[#This Row],[age]]&gt;=61,"Elderly")</f>
        <v>Adults</v>
      </c>
    </row>
    <row r="451" spans="1:8">
      <c r="A451">
        <v>35</v>
      </c>
      <c r="B451" t="s">
        <v>11</v>
      </c>
      <c r="C451">
        <v>38.6</v>
      </c>
      <c r="D451">
        <v>1</v>
      </c>
      <c r="E451" t="s">
        <v>12</v>
      </c>
      <c r="F451" t="s">
        <v>10</v>
      </c>
      <c r="G451">
        <v>4762.33</v>
      </c>
      <c r="H451" s="11" t="str" cm="1">
        <f t="array" ref="H451">_xlfn.IFS(Table1[[#This Row],[age]]&lt;=30,"Young Adults",Table1[[#This Row],[age]]&lt;=45,"Adults",Table1[[#This Row],[age]]&lt;=60,"Seniors",Table1[[#This Row],[age]]&gt;=61,"Elderly")</f>
        <v>Adults</v>
      </c>
    </row>
    <row r="452" spans="1:8">
      <c r="A452">
        <v>39</v>
      </c>
      <c r="B452" t="s">
        <v>11</v>
      </c>
      <c r="C452">
        <v>29.6</v>
      </c>
      <c r="D452">
        <v>4</v>
      </c>
      <c r="E452" t="s">
        <v>12</v>
      </c>
      <c r="F452" t="s">
        <v>10</v>
      </c>
      <c r="G452">
        <v>7512.27</v>
      </c>
      <c r="H452" s="11" t="str" cm="1">
        <f t="array" ref="H452">_xlfn.IFS(Table1[[#This Row],[age]]&lt;=30,"Young Adults",Table1[[#This Row],[age]]&lt;=45,"Adults",Table1[[#This Row],[age]]&lt;=60,"Seniors",Table1[[#This Row],[age]]&gt;=61,"Elderly")</f>
        <v>Adults</v>
      </c>
    </row>
    <row r="453" spans="1:8">
      <c r="A453">
        <v>30</v>
      </c>
      <c r="B453" t="s">
        <v>11</v>
      </c>
      <c r="C453">
        <v>24.13</v>
      </c>
      <c r="D453">
        <v>1</v>
      </c>
      <c r="E453" t="s">
        <v>12</v>
      </c>
      <c r="F453" t="s">
        <v>14</v>
      </c>
      <c r="G453">
        <v>4032.24</v>
      </c>
      <c r="H453" s="11" t="str" cm="1">
        <f t="array" ref="H453">_xlfn.IFS(Table1[[#This Row],[age]]&lt;=30,"Young Adults",Table1[[#This Row],[age]]&lt;=45,"Adults",Table1[[#This Row],[age]]&lt;=60,"Seniors",Table1[[#This Row],[age]]&gt;=61,"Elderly")</f>
        <v>Young Adults</v>
      </c>
    </row>
    <row r="454" spans="1:8">
      <c r="A454">
        <v>24</v>
      </c>
      <c r="B454" t="s">
        <v>11</v>
      </c>
      <c r="C454">
        <v>23.4</v>
      </c>
      <c r="D454">
        <v>0</v>
      </c>
      <c r="E454" t="s">
        <v>12</v>
      </c>
      <c r="F454" t="s">
        <v>10</v>
      </c>
      <c r="G454">
        <v>1969.61</v>
      </c>
      <c r="H454" s="11" t="str" cm="1">
        <f t="array" ref="H454">_xlfn.IFS(Table1[[#This Row],[age]]&lt;=30,"Young Adults",Table1[[#This Row],[age]]&lt;=45,"Adults",Table1[[#This Row],[age]]&lt;=60,"Seniors",Table1[[#This Row],[age]]&gt;=61,"Elderly")</f>
        <v>Young Adults</v>
      </c>
    </row>
    <row r="455" spans="1:8">
      <c r="A455">
        <v>20</v>
      </c>
      <c r="B455" t="s">
        <v>11</v>
      </c>
      <c r="C455">
        <v>29.735</v>
      </c>
      <c r="D455">
        <v>0</v>
      </c>
      <c r="E455" t="s">
        <v>12</v>
      </c>
      <c r="F455" t="s">
        <v>14</v>
      </c>
      <c r="G455">
        <v>1769.53</v>
      </c>
      <c r="H455" s="11" t="str" cm="1">
        <f t="array" ref="H455">_xlfn.IFS(Table1[[#This Row],[age]]&lt;=30,"Young Adults",Table1[[#This Row],[age]]&lt;=45,"Adults",Table1[[#This Row],[age]]&lt;=60,"Seniors",Table1[[#This Row],[age]]&gt;=61,"Elderly")</f>
        <v>Young Adults</v>
      </c>
    </row>
    <row r="456" spans="1:8">
      <c r="A456">
        <v>32</v>
      </c>
      <c r="B456" t="s">
        <v>11</v>
      </c>
      <c r="C456">
        <v>46.53</v>
      </c>
      <c r="D456">
        <v>2</v>
      </c>
      <c r="E456" t="s">
        <v>12</v>
      </c>
      <c r="F456" t="s">
        <v>13</v>
      </c>
      <c r="G456">
        <v>4686.39</v>
      </c>
      <c r="H456" s="11" t="str" cm="1">
        <f t="array" ref="H456">_xlfn.IFS(Table1[[#This Row],[age]]&lt;=30,"Young Adults",Table1[[#This Row],[age]]&lt;=45,"Adults",Table1[[#This Row],[age]]&lt;=60,"Seniors",Table1[[#This Row],[age]]&gt;=61,"Elderly")</f>
        <v>Adults</v>
      </c>
    </row>
    <row r="457" spans="1:8">
      <c r="A457">
        <v>59</v>
      </c>
      <c r="B457" t="s">
        <v>11</v>
      </c>
      <c r="C457">
        <v>37.4</v>
      </c>
      <c r="D457">
        <v>0</v>
      </c>
      <c r="E457" t="s">
        <v>12</v>
      </c>
      <c r="F457" t="s">
        <v>10</v>
      </c>
      <c r="G457">
        <v>21797</v>
      </c>
      <c r="H457" s="11" t="str" cm="1">
        <f t="array" ref="H457">_xlfn.IFS(Table1[[#This Row],[age]]&lt;=30,"Young Adults",Table1[[#This Row],[age]]&lt;=45,"Adults",Table1[[#This Row],[age]]&lt;=60,"Seniors",Table1[[#This Row],[age]]&gt;=61,"Elderly")</f>
        <v>Seniors</v>
      </c>
    </row>
    <row r="458" spans="1:8">
      <c r="A458">
        <v>55</v>
      </c>
      <c r="B458" t="s">
        <v>8</v>
      </c>
      <c r="C458">
        <v>30.14</v>
      </c>
      <c r="D458">
        <v>2</v>
      </c>
      <c r="E458" t="s">
        <v>12</v>
      </c>
      <c r="F458" t="s">
        <v>13</v>
      </c>
      <c r="G458">
        <v>11881.97</v>
      </c>
      <c r="H458" s="11" t="str" cm="1">
        <f t="array" ref="H458">_xlfn.IFS(Table1[[#This Row],[age]]&lt;=30,"Young Adults",Table1[[#This Row],[age]]&lt;=45,"Adults",Table1[[#This Row],[age]]&lt;=60,"Seniors",Table1[[#This Row],[age]]&gt;=61,"Elderly")</f>
        <v>Seniors</v>
      </c>
    </row>
    <row r="459" spans="1:8">
      <c r="A459">
        <v>57</v>
      </c>
      <c r="B459" t="s">
        <v>8</v>
      </c>
      <c r="C459">
        <v>30.495</v>
      </c>
      <c r="D459">
        <v>0</v>
      </c>
      <c r="E459" t="s">
        <v>12</v>
      </c>
      <c r="F459" t="s">
        <v>14</v>
      </c>
      <c r="G459">
        <v>11840.78</v>
      </c>
      <c r="H459" s="11" t="str" cm="1">
        <f t="array" ref="H459">_xlfn.IFS(Table1[[#This Row],[age]]&lt;=30,"Young Adults",Table1[[#This Row],[age]]&lt;=45,"Adults",Table1[[#This Row],[age]]&lt;=60,"Seniors",Table1[[#This Row],[age]]&gt;=61,"Elderly")</f>
        <v>Seniors</v>
      </c>
    </row>
    <row r="460" spans="1:8">
      <c r="A460">
        <v>56</v>
      </c>
      <c r="B460" t="s">
        <v>11</v>
      </c>
      <c r="C460">
        <v>39.6</v>
      </c>
      <c r="D460">
        <v>0</v>
      </c>
      <c r="E460" t="s">
        <v>12</v>
      </c>
      <c r="F460" t="s">
        <v>10</v>
      </c>
      <c r="G460">
        <v>10601.41</v>
      </c>
      <c r="H460" s="11" t="str" cm="1">
        <f t="array" ref="H460">_xlfn.IFS(Table1[[#This Row],[age]]&lt;=30,"Young Adults",Table1[[#This Row],[age]]&lt;=45,"Adults",Table1[[#This Row],[age]]&lt;=60,"Seniors",Table1[[#This Row],[age]]&gt;=61,"Elderly")</f>
        <v>Seniors</v>
      </c>
    </row>
    <row r="461" spans="1:8">
      <c r="A461">
        <v>40</v>
      </c>
      <c r="B461" t="s">
        <v>8</v>
      </c>
      <c r="C461">
        <v>33</v>
      </c>
      <c r="D461">
        <v>3</v>
      </c>
      <c r="E461" t="s">
        <v>12</v>
      </c>
      <c r="F461" t="s">
        <v>13</v>
      </c>
      <c r="G461">
        <v>7682.67</v>
      </c>
      <c r="H461" s="11" t="str" cm="1">
        <f t="array" ref="H461">_xlfn.IFS(Table1[[#This Row],[age]]&lt;=30,"Young Adults",Table1[[#This Row],[age]]&lt;=45,"Adults",Table1[[#This Row],[age]]&lt;=60,"Seniors",Table1[[#This Row],[age]]&gt;=61,"Elderly")</f>
        <v>Adults</v>
      </c>
    </row>
    <row r="462" spans="1:8">
      <c r="A462">
        <v>49</v>
      </c>
      <c r="B462" t="s">
        <v>8</v>
      </c>
      <c r="C462">
        <v>36.63</v>
      </c>
      <c r="D462">
        <v>3</v>
      </c>
      <c r="E462" t="s">
        <v>12</v>
      </c>
      <c r="F462" t="s">
        <v>13</v>
      </c>
      <c r="G462">
        <v>10381.48</v>
      </c>
      <c r="H462" s="11" t="str" cm="1">
        <f t="array" ref="H462">_xlfn.IFS(Table1[[#This Row],[age]]&lt;=30,"Young Adults",Table1[[#This Row],[age]]&lt;=45,"Adults",Table1[[#This Row],[age]]&lt;=60,"Seniors",Table1[[#This Row],[age]]&gt;=61,"Elderly")</f>
        <v>Seniors</v>
      </c>
    </row>
    <row r="463" spans="1:8">
      <c r="A463">
        <v>42</v>
      </c>
      <c r="B463" t="s">
        <v>11</v>
      </c>
      <c r="C463">
        <v>30</v>
      </c>
      <c r="D463">
        <v>0</v>
      </c>
      <c r="E463" t="s">
        <v>9</v>
      </c>
      <c r="F463" t="s">
        <v>10</v>
      </c>
      <c r="G463">
        <v>22144.03</v>
      </c>
      <c r="H463" s="11" t="str" cm="1">
        <f t="array" ref="H463">_xlfn.IFS(Table1[[#This Row],[age]]&lt;=30,"Young Adults",Table1[[#This Row],[age]]&lt;=45,"Adults",Table1[[#This Row],[age]]&lt;=60,"Seniors",Table1[[#This Row],[age]]&gt;=61,"Elderly")</f>
        <v>Adults</v>
      </c>
    </row>
    <row r="464" spans="1:8">
      <c r="A464">
        <v>62</v>
      </c>
      <c r="B464" t="s">
        <v>8</v>
      </c>
      <c r="C464">
        <v>38.095</v>
      </c>
      <c r="D464">
        <v>2</v>
      </c>
      <c r="E464" t="s">
        <v>12</v>
      </c>
      <c r="F464" t="s">
        <v>15</v>
      </c>
      <c r="G464">
        <v>15230.32</v>
      </c>
      <c r="H464" s="11" t="str" cm="1">
        <f t="array" ref="H464">_xlfn.IFS(Table1[[#This Row],[age]]&lt;=30,"Young Adults",Table1[[#This Row],[age]]&lt;=45,"Adults",Table1[[#This Row],[age]]&lt;=60,"Seniors",Table1[[#This Row],[age]]&gt;=61,"Elderly")</f>
        <v>Elderly</v>
      </c>
    </row>
    <row r="465" spans="1:8">
      <c r="A465">
        <v>56</v>
      </c>
      <c r="B465" t="s">
        <v>11</v>
      </c>
      <c r="C465">
        <v>25.935</v>
      </c>
      <c r="D465">
        <v>0</v>
      </c>
      <c r="E465" t="s">
        <v>12</v>
      </c>
      <c r="F465" t="s">
        <v>15</v>
      </c>
      <c r="G465">
        <v>11165.42</v>
      </c>
      <c r="H465" s="11" t="str" cm="1">
        <f t="array" ref="H465">_xlfn.IFS(Table1[[#This Row],[age]]&lt;=30,"Young Adults",Table1[[#This Row],[age]]&lt;=45,"Adults",Table1[[#This Row],[age]]&lt;=60,"Seniors",Table1[[#This Row],[age]]&gt;=61,"Elderly")</f>
        <v>Seniors</v>
      </c>
    </row>
    <row r="466" spans="1:8">
      <c r="A466">
        <v>19</v>
      </c>
      <c r="B466" t="s">
        <v>11</v>
      </c>
      <c r="C466">
        <v>25.175</v>
      </c>
      <c r="D466">
        <v>0</v>
      </c>
      <c r="E466" t="s">
        <v>12</v>
      </c>
      <c r="F466" t="s">
        <v>14</v>
      </c>
      <c r="G466">
        <v>1632.04</v>
      </c>
      <c r="H466" s="11" t="str" cm="1">
        <f t="array" ref="H466">_xlfn.IFS(Table1[[#This Row],[age]]&lt;=30,"Young Adults",Table1[[#This Row],[age]]&lt;=45,"Adults",Table1[[#This Row],[age]]&lt;=60,"Seniors",Table1[[#This Row],[age]]&gt;=61,"Elderly")</f>
        <v>Young Adults</v>
      </c>
    </row>
    <row r="467" spans="1:8">
      <c r="A467">
        <v>30</v>
      </c>
      <c r="B467" t="s">
        <v>8</v>
      </c>
      <c r="C467">
        <v>28.38</v>
      </c>
      <c r="D467">
        <v>1</v>
      </c>
      <c r="E467" t="s">
        <v>9</v>
      </c>
      <c r="F467" t="s">
        <v>13</v>
      </c>
      <c r="G467">
        <v>19521.97</v>
      </c>
      <c r="H467" s="11" t="str" cm="1">
        <f t="array" ref="H467">_xlfn.IFS(Table1[[#This Row],[age]]&lt;=30,"Young Adults",Table1[[#This Row],[age]]&lt;=45,"Adults",Table1[[#This Row],[age]]&lt;=60,"Seniors",Table1[[#This Row],[age]]&gt;=61,"Elderly")</f>
        <v>Young Adults</v>
      </c>
    </row>
    <row r="468" spans="1:8">
      <c r="A468">
        <v>60</v>
      </c>
      <c r="B468" t="s">
        <v>8</v>
      </c>
      <c r="C468">
        <v>28.7</v>
      </c>
      <c r="D468">
        <v>1</v>
      </c>
      <c r="E468" t="s">
        <v>12</v>
      </c>
      <c r="F468" t="s">
        <v>10</v>
      </c>
      <c r="G468">
        <v>13224.69</v>
      </c>
      <c r="H468" s="11" t="str" cm="1">
        <f t="array" ref="H468">_xlfn.IFS(Table1[[#This Row],[age]]&lt;=30,"Young Adults",Table1[[#This Row],[age]]&lt;=45,"Adults",Table1[[#This Row],[age]]&lt;=60,"Seniors",Table1[[#This Row],[age]]&gt;=61,"Elderly")</f>
        <v>Seniors</v>
      </c>
    </row>
    <row r="469" spans="1:8">
      <c r="A469">
        <v>56</v>
      </c>
      <c r="B469" t="s">
        <v>8</v>
      </c>
      <c r="C469">
        <v>33.82</v>
      </c>
      <c r="D469">
        <v>2</v>
      </c>
      <c r="E469" t="s">
        <v>12</v>
      </c>
      <c r="F469" t="s">
        <v>14</v>
      </c>
      <c r="G469">
        <v>12643.38</v>
      </c>
      <c r="H469" s="11" t="str" cm="1">
        <f t="array" ref="H469">_xlfn.IFS(Table1[[#This Row],[age]]&lt;=30,"Young Adults",Table1[[#This Row],[age]]&lt;=45,"Adults",Table1[[#This Row],[age]]&lt;=60,"Seniors",Table1[[#This Row],[age]]&gt;=61,"Elderly")</f>
        <v>Seniors</v>
      </c>
    </row>
    <row r="470" spans="1:8">
      <c r="A470">
        <v>28</v>
      </c>
      <c r="B470" t="s">
        <v>8</v>
      </c>
      <c r="C470">
        <v>24.32</v>
      </c>
      <c r="D470">
        <v>1</v>
      </c>
      <c r="E470" t="s">
        <v>12</v>
      </c>
      <c r="F470" t="s">
        <v>15</v>
      </c>
      <c r="G470">
        <v>23288.93</v>
      </c>
      <c r="H470" s="11" t="str" cm="1">
        <f t="array" ref="H470">_xlfn.IFS(Table1[[#This Row],[age]]&lt;=30,"Young Adults",Table1[[#This Row],[age]]&lt;=45,"Adults",Table1[[#This Row],[age]]&lt;=60,"Seniors",Table1[[#This Row],[age]]&gt;=61,"Elderly")</f>
        <v>Young Adults</v>
      </c>
    </row>
    <row r="471" spans="1:8">
      <c r="A471">
        <v>18</v>
      </c>
      <c r="B471" t="s">
        <v>8</v>
      </c>
      <c r="C471">
        <v>24.09</v>
      </c>
      <c r="D471">
        <v>1</v>
      </c>
      <c r="E471" t="s">
        <v>12</v>
      </c>
      <c r="F471" t="s">
        <v>13</v>
      </c>
      <c r="G471">
        <v>2201.1</v>
      </c>
      <c r="H471" s="11" t="str" cm="1">
        <f t="array" ref="H471">_xlfn.IFS(Table1[[#This Row],[age]]&lt;=30,"Young Adults",Table1[[#This Row],[age]]&lt;=45,"Adults",Table1[[#This Row],[age]]&lt;=60,"Seniors",Table1[[#This Row],[age]]&gt;=61,"Elderly")</f>
        <v>Young Adults</v>
      </c>
    </row>
    <row r="472" spans="1:8">
      <c r="A472">
        <v>27</v>
      </c>
      <c r="B472" t="s">
        <v>11</v>
      </c>
      <c r="C472">
        <v>32.67</v>
      </c>
      <c r="D472">
        <v>0</v>
      </c>
      <c r="E472" t="s">
        <v>12</v>
      </c>
      <c r="F472" t="s">
        <v>13</v>
      </c>
      <c r="G472">
        <v>2497.04</v>
      </c>
      <c r="H472" s="11" t="str" cm="1">
        <f t="array" ref="H472">_xlfn.IFS(Table1[[#This Row],[age]]&lt;=30,"Young Adults",Table1[[#This Row],[age]]&lt;=45,"Adults",Table1[[#This Row],[age]]&lt;=60,"Seniors",Table1[[#This Row],[age]]&gt;=61,"Elderly")</f>
        <v>Young Adults</v>
      </c>
    </row>
    <row r="473" spans="1:8">
      <c r="A473">
        <v>18</v>
      </c>
      <c r="B473" t="s">
        <v>8</v>
      </c>
      <c r="C473">
        <v>30.115</v>
      </c>
      <c r="D473">
        <v>0</v>
      </c>
      <c r="E473" t="s">
        <v>12</v>
      </c>
      <c r="F473" t="s">
        <v>15</v>
      </c>
      <c r="G473">
        <v>2203.47</v>
      </c>
      <c r="H473" s="11" t="str" cm="1">
        <f t="array" ref="H473">_xlfn.IFS(Table1[[#This Row],[age]]&lt;=30,"Young Adults",Table1[[#This Row],[age]]&lt;=45,"Adults",Table1[[#This Row],[age]]&lt;=60,"Seniors",Table1[[#This Row],[age]]&gt;=61,"Elderly")</f>
        <v>Young Adults</v>
      </c>
    </row>
    <row r="474" spans="1:8">
      <c r="A474">
        <v>19</v>
      </c>
      <c r="B474" t="s">
        <v>8</v>
      </c>
      <c r="C474">
        <v>29.8</v>
      </c>
      <c r="D474">
        <v>0</v>
      </c>
      <c r="E474" t="s">
        <v>12</v>
      </c>
      <c r="F474" t="s">
        <v>10</v>
      </c>
      <c r="G474">
        <v>1744.47</v>
      </c>
      <c r="H474" s="11" t="str" cm="1">
        <f t="array" ref="H474">_xlfn.IFS(Table1[[#This Row],[age]]&lt;=30,"Young Adults",Table1[[#This Row],[age]]&lt;=45,"Adults",Table1[[#This Row],[age]]&lt;=60,"Seniors",Table1[[#This Row],[age]]&gt;=61,"Elderly")</f>
        <v>Young Adults</v>
      </c>
    </row>
    <row r="475" spans="1:8">
      <c r="A475">
        <v>47</v>
      </c>
      <c r="B475" t="s">
        <v>8</v>
      </c>
      <c r="C475">
        <v>33.345</v>
      </c>
      <c r="D475">
        <v>0</v>
      </c>
      <c r="E475" t="s">
        <v>12</v>
      </c>
      <c r="F475" t="s">
        <v>15</v>
      </c>
      <c r="G475">
        <v>20878.78</v>
      </c>
      <c r="H475" s="11" t="str" cm="1">
        <f t="array" ref="H475">_xlfn.IFS(Table1[[#This Row],[age]]&lt;=30,"Young Adults",Table1[[#This Row],[age]]&lt;=45,"Adults",Table1[[#This Row],[age]]&lt;=60,"Seniors",Table1[[#This Row],[age]]&gt;=61,"Elderly")</f>
        <v>Seniors</v>
      </c>
    </row>
    <row r="476" spans="1:8">
      <c r="A476">
        <v>54</v>
      </c>
      <c r="B476" t="s">
        <v>11</v>
      </c>
      <c r="C476">
        <v>25.1</v>
      </c>
      <c r="D476">
        <v>3</v>
      </c>
      <c r="E476" t="s">
        <v>9</v>
      </c>
      <c r="F476" t="s">
        <v>10</v>
      </c>
      <c r="G476">
        <v>25382.3</v>
      </c>
      <c r="H476" s="11" t="str" cm="1">
        <f t="array" ref="H476">_xlfn.IFS(Table1[[#This Row],[age]]&lt;=30,"Young Adults",Table1[[#This Row],[age]]&lt;=45,"Adults",Table1[[#This Row],[age]]&lt;=60,"Seniors",Table1[[#This Row],[age]]&gt;=61,"Elderly")</f>
        <v>Seniors</v>
      </c>
    </row>
    <row r="477" spans="1:8">
      <c r="A477">
        <v>61</v>
      </c>
      <c r="B477" t="s">
        <v>11</v>
      </c>
      <c r="C477">
        <v>28.31</v>
      </c>
      <c r="D477">
        <v>1</v>
      </c>
      <c r="E477" t="s">
        <v>9</v>
      </c>
      <c r="F477" t="s">
        <v>14</v>
      </c>
      <c r="G477">
        <v>28868.66</v>
      </c>
      <c r="H477" s="11" t="str" cm="1">
        <f t="array" ref="H477">_xlfn.IFS(Table1[[#This Row],[age]]&lt;=30,"Young Adults",Table1[[#This Row],[age]]&lt;=45,"Adults",Table1[[#This Row],[age]]&lt;=60,"Seniors",Table1[[#This Row],[age]]&gt;=61,"Elderly")</f>
        <v>Elderly</v>
      </c>
    </row>
    <row r="478" spans="1:8">
      <c r="A478">
        <v>24</v>
      </c>
      <c r="B478" t="s">
        <v>11</v>
      </c>
      <c r="C478">
        <v>28.5</v>
      </c>
      <c r="D478">
        <v>0</v>
      </c>
      <c r="E478" t="s">
        <v>9</v>
      </c>
      <c r="F478" t="s">
        <v>15</v>
      </c>
      <c r="G478">
        <v>35147.53</v>
      </c>
      <c r="H478" s="11" t="str" cm="1">
        <f t="array" ref="H478">_xlfn.IFS(Table1[[#This Row],[age]]&lt;=30,"Young Adults",Table1[[#This Row],[age]]&lt;=45,"Adults",Table1[[#This Row],[age]]&lt;=60,"Seniors",Table1[[#This Row],[age]]&gt;=61,"Elderly")</f>
        <v>Young Adults</v>
      </c>
    </row>
    <row r="479" spans="1:8">
      <c r="A479">
        <v>25</v>
      </c>
      <c r="B479" t="s">
        <v>11</v>
      </c>
      <c r="C479">
        <v>35.625</v>
      </c>
      <c r="D479">
        <v>0</v>
      </c>
      <c r="E479" t="s">
        <v>12</v>
      </c>
      <c r="F479" t="s">
        <v>14</v>
      </c>
      <c r="G479">
        <v>2534.39</v>
      </c>
      <c r="H479" s="11" t="str" cm="1">
        <f t="array" ref="H479">_xlfn.IFS(Table1[[#This Row],[age]]&lt;=30,"Young Adults",Table1[[#This Row],[age]]&lt;=45,"Adults",Table1[[#This Row],[age]]&lt;=60,"Seniors",Table1[[#This Row],[age]]&gt;=61,"Elderly")</f>
        <v>Young Adults</v>
      </c>
    </row>
    <row r="480" spans="1:8">
      <c r="A480">
        <v>21</v>
      </c>
      <c r="B480" t="s">
        <v>11</v>
      </c>
      <c r="C480">
        <v>36.85</v>
      </c>
      <c r="D480">
        <v>0</v>
      </c>
      <c r="E480" t="s">
        <v>12</v>
      </c>
      <c r="F480" t="s">
        <v>13</v>
      </c>
      <c r="G480">
        <v>1534.3</v>
      </c>
      <c r="H480" s="11" t="str" cm="1">
        <f t="array" ref="H480">_xlfn.IFS(Table1[[#This Row],[age]]&lt;=30,"Young Adults",Table1[[#This Row],[age]]&lt;=45,"Adults",Table1[[#This Row],[age]]&lt;=60,"Seniors",Table1[[#This Row],[age]]&gt;=61,"Elderly")</f>
        <v>Young Adults</v>
      </c>
    </row>
    <row r="481" spans="1:8">
      <c r="A481">
        <v>23</v>
      </c>
      <c r="B481" t="s">
        <v>11</v>
      </c>
      <c r="C481">
        <v>32.56</v>
      </c>
      <c r="D481">
        <v>0</v>
      </c>
      <c r="E481" t="s">
        <v>12</v>
      </c>
      <c r="F481" t="s">
        <v>13</v>
      </c>
      <c r="G481">
        <v>1824.29</v>
      </c>
      <c r="H481" s="11" t="str" cm="1">
        <f t="array" ref="H481">_xlfn.IFS(Table1[[#This Row],[age]]&lt;=30,"Young Adults",Table1[[#This Row],[age]]&lt;=45,"Adults",Table1[[#This Row],[age]]&lt;=60,"Seniors",Table1[[#This Row],[age]]&gt;=61,"Elderly")</f>
        <v>Young Adults</v>
      </c>
    </row>
    <row r="482" spans="1:8">
      <c r="A482">
        <v>63</v>
      </c>
      <c r="B482" t="s">
        <v>11</v>
      </c>
      <c r="C482">
        <v>41.325</v>
      </c>
      <c r="D482">
        <v>3</v>
      </c>
      <c r="E482" t="s">
        <v>12</v>
      </c>
      <c r="F482" t="s">
        <v>14</v>
      </c>
      <c r="G482">
        <v>15555.19</v>
      </c>
      <c r="H482" s="11" t="str" cm="1">
        <f t="array" ref="H482">_xlfn.IFS(Table1[[#This Row],[age]]&lt;=30,"Young Adults",Table1[[#This Row],[age]]&lt;=45,"Adults",Table1[[#This Row],[age]]&lt;=60,"Seniors",Table1[[#This Row],[age]]&gt;=61,"Elderly")</f>
        <v>Elderly</v>
      </c>
    </row>
    <row r="483" spans="1:8">
      <c r="A483">
        <v>49</v>
      </c>
      <c r="B483" t="s">
        <v>11</v>
      </c>
      <c r="C483">
        <v>37.51</v>
      </c>
      <c r="D483">
        <v>2</v>
      </c>
      <c r="E483" t="s">
        <v>12</v>
      </c>
      <c r="F483" t="s">
        <v>13</v>
      </c>
      <c r="G483">
        <v>9304.7</v>
      </c>
      <c r="H483" s="11" t="str" cm="1">
        <f t="array" ref="H483">_xlfn.IFS(Table1[[#This Row],[age]]&lt;=30,"Young Adults",Table1[[#This Row],[age]]&lt;=45,"Adults",Table1[[#This Row],[age]]&lt;=60,"Seniors",Table1[[#This Row],[age]]&gt;=61,"Elderly")</f>
        <v>Seniors</v>
      </c>
    </row>
    <row r="484" spans="1:8">
      <c r="A484">
        <v>18</v>
      </c>
      <c r="B484" t="s">
        <v>8</v>
      </c>
      <c r="C484">
        <v>31.35</v>
      </c>
      <c r="D484">
        <v>0</v>
      </c>
      <c r="E484" t="s">
        <v>12</v>
      </c>
      <c r="F484" t="s">
        <v>13</v>
      </c>
      <c r="G484">
        <v>1622.19</v>
      </c>
      <c r="H484" s="11" t="str" cm="1">
        <f t="array" ref="H484">_xlfn.IFS(Table1[[#This Row],[age]]&lt;=30,"Young Adults",Table1[[#This Row],[age]]&lt;=45,"Adults",Table1[[#This Row],[age]]&lt;=60,"Seniors",Table1[[#This Row],[age]]&gt;=61,"Elderly")</f>
        <v>Young Adults</v>
      </c>
    </row>
    <row r="485" spans="1:8">
      <c r="A485">
        <v>51</v>
      </c>
      <c r="B485" t="s">
        <v>8</v>
      </c>
      <c r="C485">
        <v>39.5</v>
      </c>
      <c r="D485">
        <v>1</v>
      </c>
      <c r="E485" t="s">
        <v>12</v>
      </c>
      <c r="F485" t="s">
        <v>10</v>
      </c>
      <c r="G485">
        <v>9880.07</v>
      </c>
      <c r="H485" s="11" t="str" cm="1">
        <f t="array" ref="H485">_xlfn.IFS(Table1[[#This Row],[age]]&lt;=30,"Young Adults",Table1[[#This Row],[age]]&lt;=45,"Adults",Table1[[#This Row],[age]]&lt;=60,"Seniors",Table1[[#This Row],[age]]&gt;=61,"Elderly")</f>
        <v>Seniors</v>
      </c>
    </row>
    <row r="486" spans="1:8">
      <c r="A486">
        <v>48</v>
      </c>
      <c r="B486" t="s">
        <v>11</v>
      </c>
      <c r="C486">
        <v>34.3</v>
      </c>
      <c r="D486">
        <v>3</v>
      </c>
      <c r="E486" t="s">
        <v>12</v>
      </c>
      <c r="F486" t="s">
        <v>10</v>
      </c>
      <c r="G486">
        <v>9563.03</v>
      </c>
      <c r="H486" s="11" t="str" cm="1">
        <f t="array" ref="H486">_xlfn.IFS(Table1[[#This Row],[age]]&lt;=30,"Young Adults",Table1[[#This Row],[age]]&lt;=45,"Adults",Table1[[#This Row],[age]]&lt;=60,"Seniors",Table1[[#This Row],[age]]&gt;=61,"Elderly")</f>
        <v>Seniors</v>
      </c>
    </row>
    <row r="487" spans="1:8">
      <c r="A487">
        <v>31</v>
      </c>
      <c r="B487" t="s">
        <v>8</v>
      </c>
      <c r="C487">
        <v>31.065</v>
      </c>
      <c r="D487">
        <v>0</v>
      </c>
      <c r="E487" t="s">
        <v>12</v>
      </c>
      <c r="F487" t="s">
        <v>15</v>
      </c>
      <c r="G487">
        <v>4347.02</v>
      </c>
      <c r="H487" s="11" t="str" cm="1">
        <f t="array" ref="H487">_xlfn.IFS(Table1[[#This Row],[age]]&lt;=30,"Young Adults",Table1[[#This Row],[age]]&lt;=45,"Adults",Table1[[#This Row],[age]]&lt;=60,"Seniors",Table1[[#This Row],[age]]&gt;=61,"Elderly")</f>
        <v>Adults</v>
      </c>
    </row>
    <row r="488" spans="1:8">
      <c r="A488">
        <v>54</v>
      </c>
      <c r="B488" t="s">
        <v>8</v>
      </c>
      <c r="C488">
        <v>21.47</v>
      </c>
      <c r="D488">
        <v>3</v>
      </c>
      <c r="E488" t="s">
        <v>12</v>
      </c>
      <c r="F488" t="s">
        <v>14</v>
      </c>
      <c r="G488">
        <v>12475.35</v>
      </c>
      <c r="H488" s="11" t="str" cm="1">
        <f t="array" ref="H488">_xlfn.IFS(Table1[[#This Row],[age]]&lt;=30,"Young Adults",Table1[[#This Row],[age]]&lt;=45,"Adults",Table1[[#This Row],[age]]&lt;=60,"Seniors",Table1[[#This Row],[age]]&gt;=61,"Elderly")</f>
        <v>Seniors</v>
      </c>
    </row>
    <row r="489" spans="1:8">
      <c r="A489">
        <v>19</v>
      </c>
      <c r="B489" t="s">
        <v>11</v>
      </c>
      <c r="C489">
        <v>28.7</v>
      </c>
      <c r="D489">
        <v>0</v>
      </c>
      <c r="E489" t="s">
        <v>12</v>
      </c>
      <c r="F489" t="s">
        <v>10</v>
      </c>
      <c r="G489">
        <v>1253.94</v>
      </c>
      <c r="H489" s="11" t="str" cm="1">
        <f t="array" ref="H489">_xlfn.IFS(Table1[[#This Row],[age]]&lt;=30,"Young Adults",Table1[[#This Row],[age]]&lt;=45,"Adults",Table1[[#This Row],[age]]&lt;=60,"Seniors",Table1[[#This Row],[age]]&gt;=61,"Elderly")</f>
        <v>Young Adults</v>
      </c>
    </row>
    <row r="490" spans="1:8">
      <c r="A490">
        <v>44</v>
      </c>
      <c r="B490" t="s">
        <v>8</v>
      </c>
      <c r="C490">
        <v>38.06</v>
      </c>
      <c r="D490">
        <v>0</v>
      </c>
      <c r="E490" t="s">
        <v>9</v>
      </c>
      <c r="F490" t="s">
        <v>13</v>
      </c>
      <c r="G490">
        <v>48885.14</v>
      </c>
      <c r="H490" s="11" t="str" cm="1">
        <f t="array" ref="H490">_xlfn.IFS(Table1[[#This Row],[age]]&lt;=30,"Young Adults",Table1[[#This Row],[age]]&lt;=45,"Adults",Table1[[#This Row],[age]]&lt;=60,"Seniors",Table1[[#This Row],[age]]&gt;=61,"Elderly")</f>
        <v>Adults</v>
      </c>
    </row>
    <row r="491" spans="1:8">
      <c r="A491">
        <v>53</v>
      </c>
      <c r="B491" t="s">
        <v>11</v>
      </c>
      <c r="C491">
        <v>31.16</v>
      </c>
      <c r="D491">
        <v>1</v>
      </c>
      <c r="E491" t="s">
        <v>12</v>
      </c>
      <c r="F491" t="s">
        <v>14</v>
      </c>
      <c r="G491">
        <v>10461.98</v>
      </c>
      <c r="H491" s="11" t="str" cm="1">
        <f t="array" ref="H491">_xlfn.IFS(Table1[[#This Row],[age]]&lt;=30,"Young Adults",Table1[[#This Row],[age]]&lt;=45,"Adults",Table1[[#This Row],[age]]&lt;=60,"Seniors",Table1[[#This Row],[age]]&gt;=61,"Elderly")</f>
        <v>Seniors</v>
      </c>
    </row>
    <row r="492" spans="1:8">
      <c r="A492">
        <v>19</v>
      </c>
      <c r="B492" t="s">
        <v>8</v>
      </c>
      <c r="C492">
        <v>32.9</v>
      </c>
      <c r="D492">
        <v>0</v>
      </c>
      <c r="E492" t="s">
        <v>12</v>
      </c>
      <c r="F492" t="s">
        <v>10</v>
      </c>
      <c r="G492">
        <v>1748.77</v>
      </c>
      <c r="H492" s="11" t="str" cm="1">
        <f t="array" ref="H492">_xlfn.IFS(Table1[[#This Row],[age]]&lt;=30,"Young Adults",Table1[[#This Row],[age]]&lt;=45,"Adults",Table1[[#This Row],[age]]&lt;=60,"Seniors",Table1[[#This Row],[age]]&gt;=61,"Elderly")</f>
        <v>Young Adults</v>
      </c>
    </row>
    <row r="493" spans="1:8">
      <c r="A493">
        <v>61</v>
      </c>
      <c r="B493" t="s">
        <v>8</v>
      </c>
      <c r="C493">
        <v>25.08</v>
      </c>
      <c r="D493">
        <v>0</v>
      </c>
      <c r="E493" t="s">
        <v>12</v>
      </c>
      <c r="F493" t="s">
        <v>13</v>
      </c>
      <c r="G493">
        <v>24513.09</v>
      </c>
      <c r="H493" s="11" t="str" cm="1">
        <f t="array" ref="H493">_xlfn.IFS(Table1[[#This Row],[age]]&lt;=30,"Young Adults",Table1[[#This Row],[age]]&lt;=45,"Adults",Table1[[#This Row],[age]]&lt;=60,"Seniors",Table1[[#This Row],[age]]&gt;=61,"Elderly")</f>
        <v>Elderly</v>
      </c>
    </row>
    <row r="494" spans="1:8">
      <c r="A494">
        <v>18</v>
      </c>
      <c r="B494" t="s">
        <v>8</v>
      </c>
      <c r="C494">
        <v>25.08</v>
      </c>
      <c r="D494">
        <v>0</v>
      </c>
      <c r="E494" t="s">
        <v>12</v>
      </c>
      <c r="F494" t="s">
        <v>15</v>
      </c>
      <c r="G494">
        <v>2196.47</v>
      </c>
      <c r="H494" s="11" t="str" cm="1">
        <f t="array" ref="H494">_xlfn.IFS(Table1[[#This Row],[age]]&lt;=30,"Young Adults",Table1[[#This Row],[age]]&lt;=45,"Adults",Table1[[#This Row],[age]]&lt;=60,"Seniors",Table1[[#This Row],[age]]&gt;=61,"Elderly")</f>
        <v>Young Adults</v>
      </c>
    </row>
    <row r="495" spans="1:8">
      <c r="A495">
        <v>61</v>
      </c>
      <c r="B495" t="s">
        <v>11</v>
      </c>
      <c r="C495">
        <v>43.4</v>
      </c>
      <c r="D495">
        <v>0</v>
      </c>
      <c r="E495" t="s">
        <v>12</v>
      </c>
      <c r="F495" t="s">
        <v>10</v>
      </c>
      <c r="G495">
        <v>12574.05</v>
      </c>
      <c r="H495" s="11" t="str" cm="1">
        <f t="array" ref="H495">_xlfn.IFS(Table1[[#This Row],[age]]&lt;=30,"Young Adults",Table1[[#This Row],[age]]&lt;=45,"Adults",Table1[[#This Row],[age]]&lt;=60,"Seniors",Table1[[#This Row],[age]]&gt;=61,"Elderly")</f>
        <v>Elderly</v>
      </c>
    </row>
    <row r="496" spans="1:8">
      <c r="A496">
        <v>21</v>
      </c>
      <c r="B496" t="s">
        <v>11</v>
      </c>
      <c r="C496">
        <v>25.7</v>
      </c>
      <c r="D496">
        <v>4</v>
      </c>
      <c r="E496" t="s">
        <v>9</v>
      </c>
      <c r="F496" t="s">
        <v>10</v>
      </c>
      <c r="G496">
        <v>17942.11</v>
      </c>
      <c r="H496" s="11" t="str" cm="1">
        <f t="array" ref="H496">_xlfn.IFS(Table1[[#This Row],[age]]&lt;=30,"Young Adults",Table1[[#This Row],[age]]&lt;=45,"Adults",Table1[[#This Row],[age]]&lt;=60,"Seniors",Table1[[#This Row],[age]]&gt;=61,"Elderly")</f>
        <v>Young Adults</v>
      </c>
    </row>
    <row r="497" spans="1:8">
      <c r="A497">
        <v>20</v>
      </c>
      <c r="B497" t="s">
        <v>11</v>
      </c>
      <c r="C497">
        <v>27.93</v>
      </c>
      <c r="D497">
        <v>0</v>
      </c>
      <c r="E497" t="s">
        <v>12</v>
      </c>
      <c r="F497" t="s">
        <v>15</v>
      </c>
      <c r="G497">
        <v>1967.02</v>
      </c>
      <c r="H497" s="11" t="str" cm="1">
        <f t="array" ref="H497">_xlfn.IFS(Table1[[#This Row],[age]]&lt;=30,"Young Adults",Table1[[#This Row],[age]]&lt;=45,"Adults",Table1[[#This Row],[age]]&lt;=60,"Seniors",Table1[[#This Row],[age]]&gt;=61,"Elderly")</f>
        <v>Young Adults</v>
      </c>
    </row>
    <row r="498" spans="1:8">
      <c r="A498">
        <v>31</v>
      </c>
      <c r="B498" t="s">
        <v>8</v>
      </c>
      <c r="C498">
        <v>23.6</v>
      </c>
      <c r="D498">
        <v>2</v>
      </c>
      <c r="E498" t="s">
        <v>12</v>
      </c>
      <c r="F498" t="s">
        <v>10</v>
      </c>
      <c r="G498">
        <v>4931.65</v>
      </c>
      <c r="H498" s="11" t="str" cm="1">
        <f t="array" ref="H498">_xlfn.IFS(Table1[[#This Row],[age]]&lt;=30,"Young Adults",Table1[[#This Row],[age]]&lt;=45,"Adults",Table1[[#This Row],[age]]&lt;=60,"Seniors",Table1[[#This Row],[age]]&gt;=61,"Elderly")</f>
        <v>Adults</v>
      </c>
    </row>
    <row r="499" spans="1:8">
      <c r="A499">
        <v>45</v>
      </c>
      <c r="B499" t="s">
        <v>11</v>
      </c>
      <c r="C499">
        <v>28.7</v>
      </c>
      <c r="D499">
        <v>2</v>
      </c>
      <c r="E499" t="s">
        <v>12</v>
      </c>
      <c r="F499" t="s">
        <v>10</v>
      </c>
      <c r="G499">
        <v>8027.97</v>
      </c>
      <c r="H499" s="11" t="str" cm="1">
        <f t="array" ref="H499">_xlfn.IFS(Table1[[#This Row],[age]]&lt;=30,"Young Adults",Table1[[#This Row],[age]]&lt;=45,"Adults",Table1[[#This Row],[age]]&lt;=60,"Seniors",Table1[[#This Row],[age]]&gt;=61,"Elderly")</f>
        <v>Adults</v>
      </c>
    </row>
    <row r="500" spans="1:8">
      <c r="A500">
        <v>44</v>
      </c>
      <c r="B500" t="s">
        <v>8</v>
      </c>
      <c r="C500">
        <v>23.98</v>
      </c>
      <c r="D500">
        <v>2</v>
      </c>
      <c r="E500" t="s">
        <v>12</v>
      </c>
      <c r="F500" t="s">
        <v>13</v>
      </c>
      <c r="G500">
        <v>8211.1</v>
      </c>
      <c r="H500" s="11" t="str" cm="1">
        <f t="array" ref="H500">_xlfn.IFS(Table1[[#This Row],[age]]&lt;=30,"Young Adults",Table1[[#This Row],[age]]&lt;=45,"Adults",Table1[[#This Row],[age]]&lt;=60,"Seniors",Table1[[#This Row],[age]]&gt;=61,"Elderly")</f>
        <v>Adults</v>
      </c>
    </row>
    <row r="501" spans="1:8">
      <c r="A501">
        <v>62</v>
      </c>
      <c r="B501" t="s">
        <v>8</v>
      </c>
      <c r="C501">
        <v>39.2</v>
      </c>
      <c r="D501">
        <v>0</v>
      </c>
      <c r="E501" t="s">
        <v>12</v>
      </c>
      <c r="F501" t="s">
        <v>10</v>
      </c>
      <c r="G501">
        <v>13470.86</v>
      </c>
      <c r="H501" s="11" t="str" cm="1">
        <f t="array" ref="H501">_xlfn.IFS(Table1[[#This Row],[age]]&lt;=30,"Young Adults",Table1[[#This Row],[age]]&lt;=45,"Adults",Table1[[#This Row],[age]]&lt;=60,"Seniors",Table1[[#This Row],[age]]&gt;=61,"Elderly")</f>
        <v>Elderly</v>
      </c>
    </row>
    <row r="502" spans="1:8">
      <c r="A502">
        <v>29</v>
      </c>
      <c r="B502" t="s">
        <v>11</v>
      </c>
      <c r="C502">
        <v>34.4</v>
      </c>
      <c r="D502">
        <v>0</v>
      </c>
      <c r="E502" t="s">
        <v>9</v>
      </c>
      <c r="F502" t="s">
        <v>10</v>
      </c>
      <c r="G502">
        <v>36197.7</v>
      </c>
      <c r="H502" s="11" t="str" cm="1">
        <f t="array" ref="H502">_xlfn.IFS(Table1[[#This Row],[age]]&lt;=30,"Young Adults",Table1[[#This Row],[age]]&lt;=45,"Adults",Table1[[#This Row],[age]]&lt;=60,"Seniors",Table1[[#This Row],[age]]&gt;=61,"Elderly")</f>
        <v>Young Adults</v>
      </c>
    </row>
    <row r="503" spans="1:8">
      <c r="A503">
        <v>43</v>
      </c>
      <c r="B503" t="s">
        <v>11</v>
      </c>
      <c r="C503">
        <v>26.03</v>
      </c>
      <c r="D503">
        <v>0</v>
      </c>
      <c r="E503" t="s">
        <v>12</v>
      </c>
      <c r="F503" t="s">
        <v>15</v>
      </c>
      <c r="G503">
        <v>6837.37</v>
      </c>
      <c r="H503" s="11" t="str" cm="1">
        <f t="array" ref="H503">_xlfn.IFS(Table1[[#This Row],[age]]&lt;=30,"Young Adults",Table1[[#This Row],[age]]&lt;=45,"Adults",Table1[[#This Row],[age]]&lt;=60,"Seniors",Table1[[#This Row],[age]]&gt;=61,"Elderly")</f>
        <v>Adults</v>
      </c>
    </row>
    <row r="504" spans="1:8">
      <c r="A504">
        <v>51</v>
      </c>
      <c r="B504" t="s">
        <v>11</v>
      </c>
      <c r="C504">
        <v>23.21</v>
      </c>
      <c r="D504">
        <v>1</v>
      </c>
      <c r="E504" t="s">
        <v>9</v>
      </c>
      <c r="F504" t="s">
        <v>13</v>
      </c>
      <c r="G504">
        <v>22218.11</v>
      </c>
      <c r="H504" s="11" t="str" cm="1">
        <f t="array" ref="H504">_xlfn.IFS(Table1[[#This Row],[age]]&lt;=30,"Young Adults",Table1[[#This Row],[age]]&lt;=45,"Adults",Table1[[#This Row],[age]]&lt;=60,"Seniors",Table1[[#This Row],[age]]&gt;=61,"Elderly")</f>
        <v>Seniors</v>
      </c>
    </row>
    <row r="505" spans="1:8">
      <c r="A505">
        <v>19</v>
      </c>
      <c r="B505" t="s">
        <v>11</v>
      </c>
      <c r="C505">
        <v>30.25</v>
      </c>
      <c r="D505">
        <v>0</v>
      </c>
      <c r="E505" t="s">
        <v>9</v>
      </c>
      <c r="F505" t="s">
        <v>13</v>
      </c>
      <c r="G505">
        <v>32548.34</v>
      </c>
      <c r="H505" s="11" t="str" cm="1">
        <f t="array" ref="H505">_xlfn.IFS(Table1[[#This Row],[age]]&lt;=30,"Young Adults",Table1[[#This Row],[age]]&lt;=45,"Adults",Table1[[#This Row],[age]]&lt;=60,"Seniors",Table1[[#This Row],[age]]&gt;=61,"Elderly")</f>
        <v>Young Adults</v>
      </c>
    </row>
    <row r="506" spans="1:8">
      <c r="A506">
        <v>38</v>
      </c>
      <c r="B506" t="s">
        <v>8</v>
      </c>
      <c r="C506">
        <v>28.93</v>
      </c>
      <c r="D506">
        <v>1</v>
      </c>
      <c r="E506" t="s">
        <v>12</v>
      </c>
      <c r="F506" t="s">
        <v>13</v>
      </c>
      <c r="G506">
        <v>5974.38</v>
      </c>
      <c r="H506" s="11" t="str" cm="1">
        <f t="array" ref="H506">_xlfn.IFS(Table1[[#This Row],[age]]&lt;=30,"Young Adults",Table1[[#This Row],[age]]&lt;=45,"Adults",Table1[[#This Row],[age]]&lt;=60,"Seniors",Table1[[#This Row],[age]]&gt;=61,"Elderly")</f>
        <v>Adults</v>
      </c>
    </row>
    <row r="507" spans="1:8">
      <c r="A507">
        <v>37</v>
      </c>
      <c r="B507" t="s">
        <v>11</v>
      </c>
      <c r="C507">
        <v>30.875</v>
      </c>
      <c r="D507">
        <v>3</v>
      </c>
      <c r="E507" t="s">
        <v>12</v>
      </c>
      <c r="F507" t="s">
        <v>14</v>
      </c>
      <c r="G507">
        <v>6796.86</v>
      </c>
      <c r="H507" s="11" t="str" cm="1">
        <f t="array" ref="H507">_xlfn.IFS(Table1[[#This Row],[age]]&lt;=30,"Young Adults",Table1[[#This Row],[age]]&lt;=45,"Adults",Table1[[#This Row],[age]]&lt;=60,"Seniors",Table1[[#This Row],[age]]&gt;=61,"Elderly")</f>
        <v>Adults</v>
      </c>
    </row>
    <row r="508" spans="1:8">
      <c r="A508">
        <v>22</v>
      </c>
      <c r="B508" t="s">
        <v>11</v>
      </c>
      <c r="C508">
        <v>31.35</v>
      </c>
      <c r="D508">
        <v>1</v>
      </c>
      <c r="E508" t="s">
        <v>12</v>
      </c>
      <c r="F508" t="s">
        <v>14</v>
      </c>
      <c r="G508">
        <v>2643.27</v>
      </c>
      <c r="H508" s="11" t="str" cm="1">
        <f t="array" ref="H508">_xlfn.IFS(Table1[[#This Row],[age]]&lt;=30,"Young Adults",Table1[[#This Row],[age]]&lt;=45,"Adults",Table1[[#This Row],[age]]&lt;=60,"Seniors",Table1[[#This Row],[age]]&gt;=61,"Elderly")</f>
        <v>Young Adults</v>
      </c>
    </row>
    <row r="509" spans="1:8">
      <c r="A509">
        <v>21</v>
      </c>
      <c r="B509" t="s">
        <v>11</v>
      </c>
      <c r="C509">
        <v>23.75</v>
      </c>
      <c r="D509">
        <v>2</v>
      </c>
      <c r="E509" t="s">
        <v>12</v>
      </c>
      <c r="F509" t="s">
        <v>14</v>
      </c>
      <c r="G509">
        <v>3077.1</v>
      </c>
      <c r="H509" s="11" t="str" cm="1">
        <f t="array" ref="H509">_xlfn.IFS(Table1[[#This Row],[age]]&lt;=30,"Young Adults",Table1[[#This Row],[age]]&lt;=45,"Adults",Table1[[#This Row],[age]]&lt;=60,"Seniors",Table1[[#This Row],[age]]&gt;=61,"Elderly")</f>
        <v>Young Adults</v>
      </c>
    </row>
    <row r="510" spans="1:8">
      <c r="A510">
        <v>24</v>
      </c>
      <c r="B510" t="s">
        <v>8</v>
      </c>
      <c r="C510">
        <v>25.27</v>
      </c>
      <c r="D510">
        <v>0</v>
      </c>
      <c r="E510" t="s">
        <v>12</v>
      </c>
      <c r="F510" t="s">
        <v>15</v>
      </c>
      <c r="G510">
        <v>3044.21</v>
      </c>
      <c r="H510" s="11" t="str" cm="1">
        <f t="array" ref="H510">_xlfn.IFS(Table1[[#This Row],[age]]&lt;=30,"Young Adults",Table1[[#This Row],[age]]&lt;=45,"Adults",Table1[[#This Row],[age]]&lt;=60,"Seniors",Table1[[#This Row],[age]]&gt;=61,"Elderly")</f>
        <v>Young Adults</v>
      </c>
    </row>
    <row r="511" spans="1:8">
      <c r="A511">
        <v>57</v>
      </c>
      <c r="B511" t="s">
        <v>8</v>
      </c>
      <c r="C511">
        <v>28.7</v>
      </c>
      <c r="D511">
        <v>0</v>
      </c>
      <c r="E511" t="s">
        <v>12</v>
      </c>
      <c r="F511" t="s">
        <v>10</v>
      </c>
      <c r="G511">
        <v>11455.28</v>
      </c>
      <c r="H511" s="11" t="str" cm="1">
        <f t="array" ref="H511">_xlfn.IFS(Table1[[#This Row],[age]]&lt;=30,"Young Adults",Table1[[#This Row],[age]]&lt;=45,"Adults",Table1[[#This Row],[age]]&lt;=60,"Seniors",Table1[[#This Row],[age]]&gt;=61,"Elderly")</f>
        <v>Seniors</v>
      </c>
    </row>
    <row r="512" spans="1:8">
      <c r="A512">
        <v>56</v>
      </c>
      <c r="B512" t="s">
        <v>11</v>
      </c>
      <c r="C512">
        <v>32.11</v>
      </c>
      <c r="D512">
        <v>1</v>
      </c>
      <c r="E512" t="s">
        <v>12</v>
      </c>
      <c r="F512" t="s">
        <v>15</v>
      </c>
      <c r="G512">
        <v>11763</v>
      </c>
      <c r="H512" s="11" t="str" cm="1">
        <f t="array" ref="H512">_xlfn.IFS(Table1[[#This Row],[age]]&lt;=30,"Young Adults",Table1[[#This Row],[age]]&lt;=45,"Adults",Table1[[#This Row],[age]]&lt;=60,"Seniors",Table1[[#This Row],[age]]&gt;=61,"Elderly")</f>
        <v>Seniors</v>
      </c>
    </row>
    <row r="513" spans="1:8">
      <c r="A513">
        <v>27</v>
      </c>
      <c r="B513" t="s">
        <v>11</v>
      </c>
      <c r="C513">
        <v>33.66</v>
      </c>
      <c r="D513">
        <v>0</v>
      </c>
      <c r="E513" t="s">
        <v>12</v>
      </c>
      <c r="F513" t="s">
        <v>13</v>
      </c>
      <c r="G513">
        <v>2498.41</v>
      </c>
      <c r="H513" s="11" t="str" cm="1">
        <f t="array" ref="H513">_xlfn.IFS(Table1[[#This Row],[age]]&lt;=30,"Young Adults",Table1[[#This Row],[age]]&lt;=45,"Adults",Table1[[#This Row],[age]]&lt;=60,"Seniors",Table1[[#This Row],[age]]&gt;=61,"Elderly")</f>
        <v>Young Adults</v>
      </c>
    </row>
    <row r="514" spans="1:8">
      <c r="A514">
        <v>51</v>
      </c>
      <c r="B514" t="s">
        <v>11</v>
      </c>
      <c r="C514">
        <v>22.42</v>
      </c>
      <c r="D514">
        <v>0</v>
      </c>
      <c r="E514" t="s">
        <v>12</v>
      </c>
      <c r="F514" t="s">
        <v>15</v>
      </c>
      <c r="G514">
        <v>9361.33</v>
      </c>
      <c r="H514" s="11" t="str" cm="1">
        <f t="array" ref="H514">_xlfn.IFS(Table1[[#This Row],[age]]&lt;=30,"Young Adults",Table1[[#This Row],[age]]&lt;=45,"Adults",Table1[[#This Row],[age]]&lt;=60,"Seniors",Table1[[#This Row],[age]]&gt;=61,"Elderly")</f>
        <v>Seniors</v>
      </c>
    </row>
    <row r="515" spans="1:8">
      <c r="A515">
        <v>19</v>
      </c>
      <c r="B515" t="s">
        <v>11</v>
      </c>
      <c r="C515">
        <v>30.4</v>
      </c>
      <c r="D515">
        <v>0</v>
      </c>
      <c r="E515" t="s">
        <v>12</v>
      </c>
      <c r="F515" t="s">
        <v>10</v>
      </c>
      <c r="G515">
        <v>1256.3</v>
      </c>
      <c r="H515" s="11" t="str" cm="1">
        <f t="array" ref="H515">_xlfn.IFS(Table1[[#This Row],[age]]&lt;=30,"Young Adults",Table1[[#This Row],[age]]&lt;=45,"Adults",Table1[[#This Row],[age]]&lt;=60,"Seniors",Table1[[#This Row],[age]]&gt;=61,"Elderly")</f>
        <v>Young Adults</v>
      </c>
    </row>
    <row r="516" spans="1:8">
      <c r="A516">
        <v>39</v>
      </c>
      <c r="B516" t="s">
        <v>11</v>
      </c>
      <c r="C516">
        <v>28.3</v>
      </c>
      <c r="D516">
        <v>1</v>
      </c>
      <c r="E516" t="s">
        <v>9</v>
      </c>
      <c r="F516" t="s">
        <v>10</v>
      </c>
      <c r="G516">
        <v>21082.16</v>
      </c>
      <c r="H516" s="11" t="str" cm="1">
        <f t="array" ref="H516">_xlfn.IFS(Table1[[#This Row],[age]]&lt;=30,"Young Adults",Table1[[#This Row],[age]]&lt;=45,"Adults",Table1[[#This Row],[age]]&lt;=60,"Seniors",Table1[[#This Row],[age]]&gt;=61,"Elderly")</f>
        <v>Adults</v>
      </c>
    </row>
    <row r="517" spans="1:8">
      <c r="A517">
        <v>58</v>
      </c>
      <c r="B517" t="s">
        <v>11</v>
      </c>
      <c r="C517">
        <v>35.7</v>
      </c>
      <c r="D517">
        <v>0</v>
      </c>
      <c r="E517" t="s">
        <v>12</v>
      </c>
      <c r="F517" t="s">
        <v>10</v>
      </c>
      <c r="G517">
        <v>11362.76</v>
      </c>
      <c r="H517" s="11" t="str" cm="1">
        <f t="array" ref="H517">_xlfn.IFS(Table1[[#This Row],[age]]&lt;=30,"Young Adults",Table1[[#This Row],[age]]&lt;=45,"Adults",Table1[[#This Row],[age]]&lt;=60,"Seniors",Table1[[#This Row],[age]]&gt;=61,"Elderly")</f>
        <v>Seniors</v>
      </c>
    </row>
    <row r="518" spans="1:8">
      <c r="A518">
        <v>20</v>
      </c>
      <c r="B518" t="s">
        <v>11</v>
      </c>
      <c r="C518">
        <v>35.31</v>
      </c>
      <c r="D518">
        <v>1</v>
      </c>
      <c r="E518" t="s">
        <v>12</v>
      </c>
      <c r="F518" t="s">
        <v>13</v>
      </c>
      <c r="G518">
        <v>27724.29</v>
      </c>
      <c r="H518" s="11" t="str" cm="1">
        <f t="array" ref="H518">_xlfn.IFS(Table1[[#This Row],[age]]&lt;=30,"Young Adults",Table1[[#This Row],[age]]&lt;=45,"Adults",Table1[[#This Row],[age]]&lt;=60,"Seniors",Table1[[#This Row],[age]]&gt;=61,"Elderly")</f>
        <v>Young Adults</v>
      </c>
    </row>
    <row r="519" spans="1:8">
      <c r="A519">
        <v>45</v>
      </c>
      <c r="B519" t="s">
        <v>11</v>
      </c>
      <c r="C519">
        <v>30.495</v>
      </c>
      <c r="D519">
        <v>2</v>
      </c>
      <c r="E519" t="s">
        <v>12</v>
      </c>
      <c r="F519" t="s">
        <v>14</v>
      </c>
      <c r="G519">
        <v>8413.46</v>
      </c>
      <c r="H519" s="11" t="str" cm="1">
        <f t="array" ref="H519">_xlfn.IFS(Table1[[#This Row],[age]]&lt;=30,"Young Adults",Table1[[#This Row],[age]]&lt;=45,"Adults",Table1[[#This Row],[age]]&lt;=60,"Seniors",Table1[[#This Row],[age]]&gt;=61,"Elderly")</f>
        <v>Adults</v>
      </c>
    </row>
    <row r="520" spans="1:8">
      <c r="A520">
        <v>35</v>
      </c>
      <c r="B520" t="s">
        <v>8</v>
      </c>
      <c r="C520">
        <v>31</v>
      </c>
      <c r="D520">
        <v>1</v>
      </c>
      <c r="E520" t="s">
        <v>12</v>
      </c>
      <c r="F520" t="s">
        <v>10</v>
      </c>
      <c r="G520">
        <v>5240.77</v>
      </c>
      <c r="H520" s="11" t="str" cm="1">
        <f t="array" ref="H520">_xlfn.IFS(Table1[[#This Row],[age]]&lt;=30,"Young Adults",Table1[[#This Row],[age]]&lt;=45,"Adults",Table1[[#This Row],[age]]&lt;=60,"Seniors",Table1[[#This Row],[age]]&gt;=61,"Elderly")</f>
        <v>Adults</v>
      </c>
    </row>
    <row r="521" spans="1:8">
      <c r="A521">
        <v>31</v>
      </c>
      <c r="B521" t="s">
        <v>11</v>
      </c>
      <c r="C521">
        <v>30.875</v>
      </c>
      <c r="D521">
        <v>0</v>
      </c>
      <c r="E521" t="s">
        <v>12</v>
      </c>
      <c r="F521" t="s">
        <v>15</v>
      </c>
      <c r="G521">
        <v>3857.76</v>
      </c>
      <c r="H521" s="11" t="str" cm="1">
        <f t="array" ref="H521">_xlfn.IFS(Table1[[#This Row],[age]]&lt;=30,"Young Adults",Table1[[#This Row],[age]]&lt;=45,"Adults",Table1[[#This Row],[age]]&lt;=60,"Seniors",Table1[[#This Row],[age]]&gt;=61,"Elderly")</f>
        <v>Adults</v>
      </c>
    </row>
    <row r="522" spans="1:8">
      <c r="A522">
        <v>50</v>
      </c>
      <c r="B522" t="s">
        <v>8</v>
      </c>
      <c r="C522">
        <v>27.36</v>
      </c>
      <c r="D522">
        <v>0</v>
      </c>
      <c r="E522" t="s">
        <v>12</v>
      </c>
      <c r="F522" t="s">
        <v>15</v>
      </c>
      <c r="G522">
        <v>25656.58</v>
      </c>
      <c r="H522" s="11" t="str" cm="1">
        <f t="array" ref="H522">_xlfn.IFS(Table1[[#This Row],[age]]&lt;=30,"Young Adults",Table1[[#This Row],[age]]&lt;=45,"Adults",Table1[[#This Row],[age]]&lt;=60,"Seniors",Table1[[#This Row],[age]]&gt;=61,"Elderly")</f>
        <v>Seniors</v>
      </c>
    </row>
    <row r="523" spans="1:8">
      <c r="A523">
        <v>32</v>
      </c>
      <c r="B523" t="s">
        <v>8</v>
      </c>
      <c r="C523">
        <v>44.22</v>
      </c>
      <c r="D523">
        <v>0</v>
      </c>
      <c r="E523" t="s">
        <v>12</v>
      </c>
      <c r="F523" t="s">
        <v>13</v>
      </c>
      <c r="G523">
        <v>3994.18</v>
      </c>
      <c r="H523" s="11" t="str" cm="1">
        <f t="array" ref="H523">_xlfn.IFS(Table1[[#This Row],[age]]&lt;=30,"Young Adults",Table1[[#This Row],[age]]&lt;=45,"Adults",Table1[[#This Row],[age]]&lt;=60,"Seniors",Table1[[#This Row],[age]]&gt;=61,"Elderly")</f>
        <v>Adults</v>
      </c>
    </row>
    <row r="524" spans="1:8">
      <c r="A524">
        <v>51</v>
      </c>
      <c r="B524" t="s">
        <v>8</v>
      </c>
      <c r="C524">
        <v>33.915</v>
      </c>
      <c r="D524">
        <v>0</v>
      </c>
      <c r="E524" t="s">
        <v>12</v>
      </c>
      <c r="F524" t="s">
        <v>15</v>
      </c>
      <c r="G524">
        <v>9866.3</v>
      </c>
      <c r="H524" s="11" t="str" cm="1">
        <f t="array" ref="H524">_xlfn.IFS(Table1[[#This Row],[age]]&lt;=30,"Young Adults",Table1[[#This Row],[age]]&lt;=45,"Adults",Table1[[#This Row],[age]]&lt;=60,"Seniors",Table1[[#This Row],[age]]&gt;=61,"Elderly")</f>
        <v>Seniors</v>
      </c>
    </row>
    <row r="525" spans="1:8">
      <c r="A525">
        <v>38</v>
      </c>
      <c r="B525" t="s">
        <v>8</v>
      </c>
      <c r="C525">
        <v>37.73</v>
      </c>
      <c r="D525">
        <v>0</v>
      </c>
      <c r="E525" t="s">
        <v>12</v>
      </c>
      <c r="F525" t="s">
        <v>13</v>
      </c>
      <c r="G525">
        <v>5397.62</v>
      </c>
      <c r="H525" s="11" t="str" cm="1">
        <f t="array" ref="H525">_xlfn.IFS(Table1[[#This Row],[age]]&lt;=30,"Young Adults",Table1[[#This Row],[age]]&lt;=45,"Adults",Table1[[#This Row],[age]]&lt;=60,"Seniors",Table1[[#This Row],[age]]&gt;=61,"Elderly")</f>
        <v>Adults</v>
      </c>
    </row>
    <row r="526" spans="1:8">
      <c r="A526">
        <v>42</v>
      </c>
      <c r="B526" t="s">
        <v>11</v>
      </c>
      <c r="C526">
        <v>26.07</v>
      </c>
      <c r="D526">
        <v>1</v>
      </c>
      <c r="E526" t="s">
        <v>9</v>
      </c>
      <c r="F526" t="s">
        <v>13</v>
      </c>
      <c r="G526">
        <v>38245.59</v>
      </c>
      <c r="H526" s="11" t="str" cm="1">
        <f t="array" ref="H526">_xlfn.IFS(Table1[[#This Row],[age]]&lt;=30,"Young Adults",Table1[[#This Row],[age]]&lt;=45,"Adults",Table1[[#This Row],[age]]&lt;=60,"Seniors",Table1[[#This Row],[age]]&gt;=61,"Elderly")</f>
        <v>Adults</v>
      </c>
    </row>
    <row r="527" spans="1:8">
      <c r="A527">
        <v>18</v>
      </c>
      <c r="B527" t="s">
        <v>8</v>
      </c>
      <c r="C527">
        <v>33.88</v>
      </c>
      <c r="D527">
        <v>0</v>
      </c>
      <c r="E527" t="s">
        <v>12</v>
      </c>
      <c r="F527" t="s">
        <v>13</v>
      </c>
      <c r="G527">
        <v>11482.63</v>
      </c>
      <c r="H527" s="11" t="str" cm="1">
        <f t="array" ref="H527">_xlfn.IFS(Table1[[#This Row],[age]]&lt;=30,"Young Adults",Table1[[#This Row],[age]]&lt;=45,"Adults",Table1[[#This Row],[age]]&lt;=60,"Seniors",Table1[[#This Row],[age]]&gt;=61,"Elderly")</f>
        <v>Young Adults</v>
      </c>
    </row>
    <row r="528" spans="1:8">
      <c r="A528">
        <v>19</v>
      </c>
      <c r="B528" t="s">
        <v>8</v>
      </c>
      <c r="C528">
        <v>30.59</v>
      </c>
      <c r="D528">
        <v>2</v>
      </c>
      <c r="E528" t="s">
        <v>12</v>
      </c>
      <c r="F528" t="s">
        <v>14</v>
      </c>
      <c r="G528">
        <v>24059.68</v>
      </c>
      <c r="H528" s="11" t="str" cm="1">
        <f t="array" ref="H528">_xlfn.IFS(Table1[[#This Row],[age]]&lt;=30,"Young Adults",Table1[[#This Row],[age]]&lt;=45,"Adults",Table1[[#This Row],[age]]&lt;=60,"Seniors",Table1[[#This Row],[age]]&gt;=61,"Elderly")</f>
        <v>Young Adults</v>
      </c>
    </row>
    <row r="529" spans="1:8">
      <c r="A529">
        <v>51</v>
      </c>
      <c r="B529" t="s">
        <v>8</v>
      </c>
      <c r="C529">
        <v>25.8</v>
      </c>
      <c r="D529">
        <v>1</v>
      </c>
      <c r="E529" t="s">
        <v>12</v>
      </c>
      <c r="F529" t="s">
        <v>10</v>
      </c>
      <c r="G529">
        <v>9861.03</v>
      </c>
      <c r="H529" s="11" t="str" cm="1">
        <f t="array" ref="H529">_xlfn.IFS(Table1[[#This Row],[age]]&lt;=30,"Young Adults",Table1[[#This Row],[age]]&lt;=45,"Adults",Table1[[#This Row],[age]]&lt;=60,"Seniors",Table1[[#This Row],[age]]&gt;=61,"Elderly")</f>
        <v>Seniors</v>
      </c>
    </row>
    <row r="530" spans="1:8">
      <c r="A530">
        <v>46</v>
      </c>
      <c r="B530" t="s">
        <v>11</v>
      </c>
      <c r="C530">
        <v>39.425</v>
      </c>
      <c r="D530">
        <v>1</v>
      </c>
      <c r="E530" t="s">
        <v>12</v>
      </c>
      <c r="F530" t="s">
        <v>15</v>
      </c>
      <c r="G530">
        <v>8342.91</v>
      </c>
      <c r="H530" s="11" t="str" cm="1">
        <f t="array" ref="H530">_xlfn.IFS(Table1[[#This Row],[age]]&lt;=30,"Young Adults",Table1[[#This Row],[age]]&lt;=45,"Adults",Table1[[#This Row],[age]]&lt;=60,"Seniors",Table1[[#This Row],[age]]&gt;=61,"Elderly")</f>
        <v>Seniors</v>
      </c>
    </row>
    <row r="531" spans="1:8">
      <c r="A531">
        <v>18</v>
      </c>
      <c r="B531" t="s">
        <v>11</v>
      </c>
      <c r="C531">
        <v>25.46</v>
      </c>
      <c r="D531">
        <v>0</v>
      </c>
      <c r="E531" t="s">
        <v>12</v>
      </c>
      <c r="F531" t="s">
        <v>15</v>
      </c>
      <c r="G531">
        <v>1708</v>
      </c>
      <c r="H531" s="11" t="str" cm="1">
        <f t="array" ref="H531">_xlfn.IFS(Table1[[#This Row],[age]]&lt;=30,"Young Adults",Table1[[#This Row],[age]]&lt;=45,"Adults",Table1[[#This Row],[age]]&lt;=60,"Seniors",Table1[[#This Row],[age]]&gt;=61,"Elderly")</f>
        <v>Young Adults</v>
      </c>
    </row>
    <row r="532" spans="1:8">
      <c r="A532">
        <v>57</v>
      </c>
      <c r="B532" t="s">
        <v>11</v>
      </c>
      <c r="C532">
        <v>42.13</v>
      </c>
      <c r="D532">
        <v>1</v>
      </c>
      <c r="E532" t="s">
        <v>9</v>
      </c>
      <c r="F532" t="s">
        <v>13</v>
      </c>
      <c r="G532">
        <v>48675.52</v>
      </c>
      <c r="H532" s="11" t="str" cm="1">
        <f t="array" ref="H532">_xlfn.IFS(Table1[[#This Row],[age]]&lt;=30,"Young Adults",Table1[[#This Row],[age]]&lt;=45,"Adults",Table1[[#This Row],[age]]&lt;=60,"Seniors",Table1[[#This Row],[age]]&gt;=61,"Elderly")</f>
        <v>Seniors</v>
      </c>
    </row>
    <row r="533" spans="1:8">
      <c r="A533">
        <v>62</v>
      </c>
      <c r="B533" t="s">
        <v>8</v>
      </c>
      <c r="C533">
        <v>31.73</v>
      </c>
      <c r="D533">
        <v>0</v>
      </c>
      <c r="E533" t="s">
        <v>12</v>
      </c>
      <c r="F533" t="s">
        <v>15</v>
      </c>
      <c r="G533">
        <v>14043.48</v>
      </c>
      <c r="H533" s="11" t="str" cm="1">
        <f t="array" ref="H533">_xlfn.IFS(Table1[[#This Row],[age]]&lt;=30,"Young Adults",Table1[[#This Row],[age]]&lt;=45,"Adults",Table1[[#This Row],[age]]&lt;=60,"Seniors",Table1[[#This Row],[age]]&gt;=61,"Elderly")</f>
        <v>Elderly</v>
      </c>
    </row>
    <row r="534" spans="1:8">
      <c r="A534">
        <v>59</v>
      </c>
      <c r="B534" t="s">
        <v>11</v>
      </c>
      <c r="C534">
        <v>29.7</v>
      </c>
      <c r="D534">
        <v>2</v>
      </c>
      <c r="E534" t="s">
        <v>12</v>
      </c>
      <c r="F534" t="s">
        <v>13</v>
      </c>
      <c r="G534">
        <v>12925.89</v>
      </c>
      <c r="H534" s="11" t="str" cm="1">
        <f t="array" ref="H534">_xlfn.IFS(Table1[[#This Row],[age]]&lt;=30,"Young Adults",Table1[[#This Row],[age]]&lt;=45,"Adults",Table1[[#This Row],[age]]&lt;=60,"Seniors",Table1[[#This Row],[age]]&gt;=61,"Elderly")</f>
        <v>Seniors</v>
      </c>
    </row>
    <row r="535" spans="1:8">
      <c r="A535">
        <v>37</v>
      </c>
      <c r="B535" t="s">
        <v>11</v>
      </c>
      <c r="C535">
        <v>36.19</v>
      </c>
      <c r="D535">
        <v>0</v>
      </c>
      <c r="E535" t="s">
        <v>12</v>
      </c>
      <c r="F535" t="s">
        <v>13</v>
      </c>
      <c r="G535">
        <v>19214.71</v>
      </c>
      <c r="H535" s="11" t="str" cm="1">
        <f t="array" ref="H535">_xlfn.IFS(Table1[[#This Row],[age]]&lt;=30,"Young Adults",Table1[[#This Row],[age]]&lt;=45,"Adults",Table1[[#This Row],[age]]&lt;=60,"Seniors",Table1[[#This Row],[age]]&gt;=61,"Elderly")</f>
        <v>Adults</v>
      </c>
    </row>
    <row r="536" spans="1:8">
      <c r="A536">
        <v>64</v>
      </c>
      <c r="B536" t="s">
        <v>11</v>
      </c>
      <c r="C536">
        <v>40.48</v>
      </c>
      <c r="D536">
        <v>0</v>
      </c>
      <c r="E536" t="s">
        <v>12</v>
      </c>
      <c r="F536" t="s">
        <v>13</v>
      </c>
      <c r="G536">
        <v>13831.12</v>
      </c>
      <c r="H536" s="11" t="str" cm="1">
        <f t="array" ref="H536">_xlfn.IFS(Table1[[#This Row],[age]]&lt;=30,"Young Adults",Table1[[#This Row],[age]]&lt;=45,"Adults",Table1[[#This Row],[age]]&lt;=60,"Seniors",Table1[[#This Row],[age]]&gt;=61,"Elderly")</f>
        <v>Elderly</v>
      </c>
    </row>
    <row r="537" spans="1:8">
      <c r="A537">
        <v>38</v>
      </c>
      <c r="B537" t="s">
        <v>11</v>
      </c>
      <c r="C537">
        <v>28.025</v>
      </c>
      <c r="D537">
        <v>1</v>
      </c>
      <c r="E537" t="s">
        <v>12</v>
      </c>
      <c r="F537" t="s">
        <v>15</v>
      </c>
      <c r="G537">
        <v>6067.13</v>
      </c>
      <c r="H537" s="11" t="str" cm="1">
        <f t="array" ref="H537">_xlfn.IFS(Table1[[#This Row],[age]]&lt;=30,"Young Adults",Table1[[#This Row],[age]]&lt;=45,"Adults",Table1[[#This Row],[age]]&lt;=60,"Seniors",Table1[[#This Row],[age]]&gt;=61,"Elderly")</f>
        <v>Adults</v>
      </c>
    </row>
    <row r="538" spans="1:8">
      <c r="A538">
        <v>33</v>
      </c>
      <c r="B538" t="s">
        <v>8</v>
      </c>
      <c r="C538">
        <v>38.9</v>
      </c>
      <c r="D538">
        <v>3</v>
      </c>
      <c r="E538" t="s">
        <v>12</v>
      </c>
      <c r="F538" t="s">
        <v>10</v>
      </c>
      <c r="G538">
        <v>5972.38</v>
      </c>
      <c r="H538" s="11" t="str" cm="1">
        <f t="array" ref="H538">_xlfn.IFS(Table1[[#This Row],[age]]&lt;=30,"Young Adults",Table1[[#This Row],[age]]&lt;=45,"Adults",Table1[[#This Row],[age]]&lt;=60,"Seniors",Table1[[#This Row],[age]]&gt;=61,"Elderly")</f>
        <v>Adults</v>
      </c>
    </row>
    <row r="539" spans="1:8">
      <c r="A539">
        <v>46</v>
      </c>
      <c r="B539" t="s">
        <v>8</v>
      </c>
      <c r="C539">
        <v>30.2</v>
      </c>
      <c r="D539">
        <v>2</v>
      </c>
      <c r="E539" t="s">
        <v>12</v>
      </c>
      <c r="F539" t="s">
        <v>10</v>
      </c>
      <c r="G539">
        <v>8825.09</v>
      </c>
      <c r="H539" s="11" t="str" cm="1">
        <f t="array" ref="H539">_xlfn.IFS(Table1[[#This Row],[age]]&lt;=30,"Young Adults",Table1[[#This Row],[age]]&lt;=45,"Adults",Table1[[#This Row],[age]]&lt;=60,"Seniors",Table1[[#This Row],[age]]&gt;=61,"Elderly")</f>
        <v>Seniors</v>
      </c>
    </row>
    <row r="540" spans="1:8">
      <c r="A540">
        <v>46</v>
      </c>
      <c r="B540" t="s">
        <v>8</v>
      </c>
      <c r="C540">
        <v>28.05</v>
      </c>
      <c r="D540">
        <v>1</v>
      </c>
      <c r="E540" t="s">
        <v>12</v>
      </c>
      <c r="F540" t="s">
        <v>13</v>
      </c>
      <c r="G540">
        <v>8233.1</v>
      </c>
      <c r="H540" s="11" t="str" cm="1">
        <f t="array" ref="H540">_xlfn.IFS(Table1[[#This Row],[age]]&lt;=30,"Young Adults",Table1[[#This Row],[age]]&lt;=45,"Adults",Table1[[#This Row],[age]]&lt;=60,"Seniors",Table1[[#This Row],[age]]&gt;=61,"Elderly")</f>
        <v>Seniors</v>
      </c>
    </row>
    <row r="541" spans="1:8">
      <c r="A541">
        <v>53</v>
      </c>
      <c r="B541" t="s">
        <v>11</v>
      </c>
      <c r="C541">
        <v>31.35</v>
      </c>
      <c r="D541">
        <v>0</v>
      </c>
      <c r="E541" t="s">
        <v>12</v>
      </c>
      <c r="F541" t="s">
        <v>13</v>
      </c>
      <c r="G541">
        <v>27346.04</v>
      </c>
      <c r="H541" s="11" t="str" cm="1">
        <f t="array" ref="H541">_xlfn.IFS(Table1[[#This Row],[age]]&lt;=30,"Young Adults",Table1[[#This Row],[age]]&lt;=45,"Adults",Table1[[#This Row],[age]]&lt;=60,"Seniors",Table1[[#This Row],[age]]&gt;=61,"Elderly")</f>
        <v>Seniors</v>
      </c>
    </row>
    <row r="542" spans="1:8">
      <c r="A542">
        <v>34</v>
      </c>
      <c r="B542" t="s">
        <v>8</v>
      </c>
      <c r="C542">
        <v>38</v>
      </c>
      <c r="D542">
        <v>3</v>
      </c>
      <c r="E542" t="s">
        <v>12</v>
      </c>
      <c r="F542" t="s">
        <v>10</v>
      </c>
      <c r="G542">
        <v>6196.45</v>
      </c>
      <c r="H542" s="11" t="str" cm="1">
        <f t="array" ref="H542">_xlfn.IFS(Table1[[#This Row],[age]]&lt;=30,"Young Adults",Table1[[#This Row],[age]]&lt;=45,"Adults",Table1[[#This Row],[age]]&lt;=60,"Seniors",Table1[[#This Row],[age]]&gt;=61,"Elderly")</f>
        <v>Adults</v>
      </c>
    </row>
    <row r="543" spans="1:8">
      <c r="A543">
        <v>20</v>
      </c>
      <c r="B543" t="s">
        <v>8</v>
      </c>
      <c r="C543">
        <v>31.79</v>
      </c>
      <c r="D543">
        <v>2</v>
      </c>
      <c r="E543" t="s">
        <v>12</v>
      </c>
      <c r="F543" t="s">
        <v>13</v>
      </c>
      <c r="G543">
        <v>3056.39</v>
      </c>
      <c r="H543" s="11" t="str" cm="1">
        <f t="array" ref="H543">_xlfn.IFS(Table1[[#This Row],[age]]&lt;=30,"Young Adults",Table1[[#This Row],[age]]&lt;=45,"Adults",Table1[[#This Row],[age]]&lt;=60,"Seniors",Table1[[#This Row],[age]]&gt;=61,"Elderly")</f>
        <v>Young Adults</v>
      </c>
    </row>
    <row r="544" spans="1:8">
      <c r="A544">
        <v>63</v>
      </c>
      <c r="B544" t="s">
        <v>8</v>
      </c>
      <c r="C544">
        <v>36.3</v>
      </c>
      <c r="D544">
        <v>0</v>
      </c>
      <c r="E544" t="s">
        <v>12</v>
      </c>
      <c r="F544" t="s">
        <v>13</v>
      </c>
      <c r="G544">
        <v>13887.2</v>
      </c>
      <c r="H544" s="11" t="str" cm="1">
        <f t="array" ref="H544">_xlfn.IFS(Table1[[#This Row],[age]]&lt;=30,"Young Adults",Table1[[#This Row],[age]]&lt;=45,"Adults",Table1[[#This Row],[age]]&lt;=60,"Seniors",Table1[[#This Row],[age]]&gt;=61,"Elderly")</f>
        <v>Elderly</v>
      </c>
    </row>
    <row r="545" spans="1:8">
      <c r="A545">
        <v>54</v>
      </c>
      <c r="B545" t="s">
        <v>8</v>
      </c>
      <c r="C545">
        <v>47.41</v>
      </c>
      <c r="D545">
        <v>0</v>
      </c>
      <c r="E545" t="s">
        <v>9</v>
      </c>
      <c r="F545" t="s">
        <v>13</v>
      </c>
      <c r="G545">
        <v>63770.43</v>
      </c>
      <c r="H545" s="11" t="str" cm="1">
        <f t="array" ref="H545">_xlfn.IFS(Table1[[#This Row],[age]]&lt;=30,"Young Adults",Table1[[#This Row],[age]]&lt;=45,"Adults",Table1[[#This Row],[age]]&lt;=60,"Seniors",Table1[[#This Row],[age]]&gt;=61,"Elderly")</f>
        <v>Seniors</v>
      </c>
    </row>
    <row r="546" spans="1:8">
      <c r="A546">
        <v>54</v>
      </c>
      <c r="B546" t="s">
        <v>11</v>
      </c>
      <c r="C546">
        <v>30.21</v>
      </c>
      <c r="D546">
        <v>0</v>
      </c>
      <c r="E546" t="s">
        <v>12</v>
      </c>
      <c r="F546" t="s">
        <v>14</v>
      </c>
      <c r="G546">
        <v>10231.5</v>
      </c>
      <c r="H546" s="11" t="str" cm="1">
        <f t="array" ref="H546">_xlfn.IFS(Table1[[#This Row],[age]]&lt;=30,"Young Adults",Table1[[#This Row],[age]]&lt;=45,"Adults",Table1[[#This Row],[age]]&lt;=60,"Seniors",Table1[[#This Row],[age]]&gt;=61,"Elderly")</f>
        <v>Seniors</v>
      </c>
    </row>
    <row r="547" spans="1:8">
      <c r="A547">
        <v>49</v>
      </c>
      <c r="B547" t="s">
        <v>11</v>
      </c>
      <c r="C547">
        <v>25.84</v>
      </c>
      <c r="D547">
        <v>2</v>
      </c>
      <c r="E547" t="s">
        <v>9</v>
      </c>
      <c r="F547" t="s">
        <v>14</v>
      </c>
      <c r="G547">
        <v>23807.24</v>
      </c>
      <c r="H547" s="11" t="str" cm="1">
        <f t="array" ref="H547">_xlfn.IFS(Table1[[#This Row],[age]]&lt;=30,"Young Adults",Table1[[#This Row],[age]]&lt;=45,"Adults",Table1[[#This Row],[age]]&lt;=60,"Seniors",Table1[[#This Row],[age]]&gt;=61,"Elderly")</f>
        <v>Seniors</v>
      </c>
    </row>
    <row r="548" spans="1:8">
      <c r="A548">
        <v>28</v>
      </c>
      <c r="B548" t="s">
        <v>11</v>
      </c>
      <c r="C548">
        <v>35.435</v>
      </c>
      <c r="D548">
        <v>0</v>
      </c>
      <c r="E548" t="s">
        <v>12</v>
      </c>
      <c r="F548" t="s">
        <v>15</v>
      </c>
      <c r="G548">
        <v>3268.85</v>
      </c>
      <c r="H548" s="11" t="str" cm="1">
        <f t="array" ref="H548">_xlfn.IFS(Table1[[#This Row],[age]]&lt;=30,"Young Adults",Table1[[#This Row],[age]]&lt;=45,"Adults",Table1[[#This Row],[age]]&lt;=60,"Seniors",Table1[[#This Row],[age]]&gt;=61,"Elderly")</f>
        <v>Young Adults</v>
      </c>
    </row>
    <row r="549" spans="1:8">
      <c r="A549">
        <v>54</v>
      </c>
      <c r="B549" t="s">
        <v>8</v>
      </c>
      <c r="C549">
        <v>46.7</v>
      </c>
      <c r="D549">
        <v>2</v>
      </c>
      <c r="E549" t="s">
        <v>12</v>
      </c>
      <c r="F549" t="s">
        <v>10</v>
      </c>
      <c r="G549">
        <v>11538.42</v>
      </c>
      <c r="H549" s="11" t="str" cm="1">
        <f t="array" ref="H549">_xlfn.IFS(Table1[[#This Row],[age]]&lt;=30,"Young Adults",Table1[[#This Row],[age]]&lt;=45,"Adults",Table1[[#This Row],[age]]&lt;=60,"Seniors",Table1[[#This Row],[age]]&gt;=61,"Elderly")</f>
        <v>Seniors</v>
      </c>
    </row>
    <row r="550" spans="1:8">
      <c r="A550">
        <v>25</v>
      </c>
      <c r="B550" t="s">
        <v>8</v>
      </c>
      <c r="C550">
        <v>28.595</v>
      </c>
      <c r="D550">
        <v>0</v>
      </c>
      <c r="E550" t="s">
        <v>12</v>
      </c>
      <c r="F550" t="s">
        <v>15</v>
      </c>
      <c r="G550">
        <v>3213.62</v>
      </c>
      <c r="H550" s="11" t="str" cm="1">
        <f t="array" ref="H550">_xlfn.IFS(Table1[[#This Row],[age]]&lt;=30,"Young Adults",Table1[[#This Row],[age]]&lt;=45,"Adults",Table1[[#This Row],[age]]&lt;=60,"Seniors",Table1[[#This Row],[age]]&gt;=61,"Elderly")</f>
        <v>Young Adults</v>
      </c>
    </row>
    <row r="551" spans="1:8">
      <c r="A551">
        <v>43</v>
      </c>
      <c r="B551" t="s">
        <v>8</v>
      </c>
      <c r="C551">
        <v>46.2</v>
      </c>
      <c r="D551">
        <v>0</v>
      </c>
      <c r="E551" t="s">
        <v>9</v>
      </c>
      <c r="F551" t="s">
        <v>13</v>
      </c>
      <c r="G551">
        <v>45863.21</v>
      </c>
      <c r="H551" s="11" t="str" cm="1">
        <f t="array" ref="H551">_xlfn.IFS(Table1[[#This Row],[age]]&lt;=30,"Young Adults",Table1[[#This Row],[age]]&lt;=45,"Adults",Table1[[#This Row],[age]]&lt;=60,"Seniors",Table1[[#This Row],[age]]&gt;=61,"Elderly")</f>
        <v>Adults</v>
      </c>
    </row>
    <row r="552" spans="1:8">
      <c r="A552">
        <v>63</v>
      </c>
      <c r="B552" t="s">
        <v>11</v>
      </c>
      <c r="C552">
        <v>30.8</v>
      </c>
      <c r="D552">
        <v>0</v>
      </c>
      <c r="E552" t="s">
        <v>12</v>
      </c>
      <c r="F552" t="s">
        <v>10</v>
      </c>
      <c r="G552">
        <v>13390.56</v>
      </c>
      <c r="H552" s="11" t="str" cm="1">
        <f t="array" ref="H552">_xlfn.IFS(Table1[[#This Row],[age]]&lt;=30,"Young Adults",Table1[[#This Row],[age]]&lt;=45,"Adults",Table1[[#This Row],[age]]&lt;=60,"Seniors",Table1[[#This Row],[age]]&gt;=61,"Elderly")</f>
        <v>Elderly</v>
      </c>
    </row>
    <row r="553" spans="1:8">
      <c r="A553">
        <v>32</v>
      </c>
      <c r="B553" t="s">
        <v>8</v>
      </c>
      <c r="C553">
        <v>28.93</v>
      </c>
      <c r="D553">
        <v>0</v>
      </c>
      <c r="E553" t="s">
        <v>12</v>
      </c>
      <c r="F553" t="s">
        <v>13</v>
      </c>
      <c r="G553">
        <v>3972.92</v>
      </c>
      <c r="H553" s="11" t="str" cm="1">
        <f t="array" ref="H553">_xlfn.IFS(Table1[[#This Row],[age]]&lt;=30,"Young Adults",Table1[[#This Row],[age]]&lt;=45,"Adults",Table1[[#This Row],[age]]&lt;=60,"Seniors",Table1[[#This Row],[age]]&gt;=61,"Elderly")</f>
        <v>Adults</v>
      </c>
    </row>
    <row r="554" spans="1:8">
      <c r="A554">
        <v>62</v>
      </c>
      <c r="B554" t="s">
        <v>11</v>
      </c>
      <c r="C554">
        <v>21.4</v>
      </c>
      <c r="D554">
        <v>0</v>
      </c>
      <c r="E554" t="s">
        <v>12</v>
      </c>
      <c r="F554" t="s">
        <v>10</v>
      </c>
      <c r="G554">
        <v>12957.12</v>
      </c>
      <c r="H554" s="11" t="str" cm="1">
        <f t="array" ref="H554">_xlfn.IFS(Table1[[#This Row],[age]]&lt;=30,"Young Adults",Table1[[#This Row],[age]]&lt;=45,"Adults",Table1[[#This Row],[age]]&lt;=60,"Seniors",Table1[[#This Row],[age]]&gt;=61,"Elderly")</f>
        <v>Elderly</v>
      </c>
    </row>
    <row r="555" spans="1:8">
      <c r="A555">
        <v>52</v>
      </c>
      <c r="B555" t="s">
        <v>8</v>
      </c>
      <c r="C555">
        <v>31.73</v>
      </c>
      <c r="D555">
        <v>2</v>
      </c>
      <c r="E555" t="s">
        <v>12</v>
      </c>
      <c r="F555" t="s">
        <v>14</v>
      </c>
      <c r="G555">
        <v>11187.66</v>
      </c>
      <c r="H555" s="11" t="str" cm="1">
        <f t="array" ref="H555">_xlfn.IFS(Table1[[#This Row],[age]]&lt;=30,"Young Adults",Table1[[#This Row],[age]]&lt;=45,"Adults",Table1[[#This Row],[age]]&lt;=60,"Seniors",Table1[[#This Row],[age]]&gt;=61,"Elderly")</f>
        <v>Seniors</v>
      </c>
    </row>
    <row r="556" spans="1:8">
      <c r="A556">
        <v>25</v>
      </c>
      <c r="B556" t="s">
        <v>8</v>
      </c>
      <c r="C556">
        <v>41.325</v>
      </c>
      <c r="D556">
        <v>0</v>
      </c>
      <c r="E556" t="s">
        <v>12</v>
      </c>
      <c r="F556" t="s">
        <v>15</v>
      </c>
      <c r="G556">
        <v>17878.9</v>
      </c>
      <c r="H556" s="11" t="str" cm="1">
        <f t="array" ref="H556">_xlfn.IFS(Table1[[#This Row],[age]]&lt;=30,"Young Adults",Table1[[#This Row],[age]]&lt;=45,"Adults",Table1[[#This Row],[age]]&lt;=60,"Seniors",Table1[[#This Row],[age]]&gt;=61,"Elderly")</f>
        <v>Young Adults</v>
      </c>
    </row>
    <row r="557" spans="1:8">
      <c r="A557">
        <v>28</v>
      </c>
      <c r="B557" t="s">
        <v>11</v>
      </c>
      <c r="C557">
        <v>23.8</v>
      </c>
      <c r="D557">
        <v>2</v>
      </c>
      <c r="E557" t="s">
        <v>12</v>
      </c>
      <c r="F557" t="s">
        <v>10</v>
      </c>
      <c r="G557">
        <v>3847.67</v>
      </c>
      <c r="H557" s="11" t="str" cm="1">
        <f t="array" ref="H557">_xlfn.IFS(Table1[[#This Row],[age]]&lt;=30,"Young Adults",Table1[[#This Row],[age]]&lt;=45,"Adults",Table1[[#This Row],[age]]&lt;=60,"Seniors",Table1[[#This Row],[age]]&gt;=61,"Elderly")</f>
        <v>Young Adults</v>
      </c>
    </row>
    <row r="558" spans="1:8">
      <c r="A558">
        <v>46</v>
      </c>
      <c r="B558" t="s">
        <v>11</v>
      </c>
      <c r="C558">
        <v>33.44</v>
      </c>
      <c r="D558">
        <v>1</v>
      </c>
      <c r="E558" t="s">
        <v>12</v>
      </c>
      <c r="F558" t="s">
        <v>15</v>
      </c>
      <c r="G558">
        <v>8334.59</v>
      </c>
      <c r="H558" s="11" t="str" cm="1">
        <f t="array" ref="H558">_xlfn.IFS(Table1[[#This Row],[age]]&lt;=30,"Young Adults",Table1[[#This Row],[age]]&lt;=45,"Adults",Table1[[#This Row],[age]]&lt;=60,"Seniors",Table1[[#This Row],[age]]&gt;=61,"Elderly")</f>
        <v>Seniors</v>
      </c>
    </row>
    <row r="559" spans="1:8">
      <c r="A559">
        <v>34</v>
      </c>
      <c r="B559" t="s">
        <v>11</v>
      </c>
      <c r="C559">
        <v>34.21</v>
      </c>
      <c r="D559">
        <v>0</v>
      </c>
      <c r="E559" t="s">
        <v>12</v>
      </c>
      <c r="F559" t="s">
        <v>13</v>
      </c>
      <c r="G559">
        <v>3935.18</v>
      </c>
      <c r="H559" s="11" t="str" cm="1">
        <f t="array" ref="H559">_xlfn.IFS(Table1[[#This Row],[age]]&lt;=30,"Young Adults",Table1[[#This Row],[age]]&lt;=45,"Adults",Table1[[#This Row],[age]]&lt;=60,"Seniors",Table1[[#This Row],[age]]&gt;=61,"Elderly")</f>
        <v>Adults</v>
      </c>
    </row>
    <row r="560" spans="1:8">
      <c r="A560">
        <v>35</v>
      </c>
      <c r="B560" t="s">
        <v>8</v>
      </c>
      <c r="C560">
        <v>34.105</v>
      </c>
      <c r="D560">
        <v>3</v>
      </c>
      <c r="E560" t="s">
        <v>9</v>
      </c>
      <c r="F560" t="s">
        <v>14</v>
      </c>
      <c r="G560">
        <v>39983.43</v>
      </c>
      <c r="H560" s="11" t="str" cm="1">
        <f t="array" ref="H560">_xlfn.IFS(Table1[[#This Row],[age]]&lt;=30,"Young Adults",Table1[[#This Row],[age]]&lt;=45,"Adults",Table1[[#This Row],[age]]&lt;=60,"Seniors",Table1[[#This Row],[age]]&gt;=61,"Elderly")</f>
        <v>Adults</v>
      </c>
    </row>
    <row r="561" spans="1:8">
      <c r="A561">
        <v>19</v>
      </c>
      <c r="B561" t="s">
        <v>11</v>
      </c>
      <c r="C561">
        <v>35.53</v>
      </c>
      <c r="D561">
        <v>0</v>
      </c>
      <c r="E561" t="s">
        <v>12</v>
      </c>
      <c r="F561" t="s">
        <v>14</v>
      </c>
      <c r="G561">
        <v>1646.43</v>
      </c>
      <c r="H561" s="11" t="str" cm="1">
        <f t="array" ref="H561">_xlfn.IFS(Table1[[#This Row],[age]]&lt;=30,"Young Adults",Table1[[#This Row],[age]]&lt;=45,"Adults",Table1[[#This Row],[age]]&lt;=60,"Seniors",Table1[[#This Row],[age]]&gt;=61,"Elderly")</f>
        <v>Young Adults</v>
      </c>
    </row>
    <row r="562" spans="1:8">
      <c r="A562">
        <v>46</v>
      </c>
      <c r="B562" t="s">
        <v>8</v>
      </c>
      <c r="C562">
        <v>19.95</v>
      </c>
      <c r="D562">
        <v>2</v>
      </c>
      <c r="E562" t="s">
        <v>12</v>
      </c>
      <c r="F562" t="s">
        <v>14</v>
      </c>
      <c r="G562">
        <v>9193.84</v>
      </c>
      <c r="H562" s="11" t="str" cm="1">
        <f t="array" ref="H562">_xlfn.IFS(Table1[[#This Row],[age]]&lt;=30,"Young Adults",Table1[[#This Row],[age]]&lt;=45,"Adults",Table1[[#This Row],[age]]&lt;=60,"Seniors",Table1[[#This Row],[age]]&gt;=61,"Elderly")</f>
        <v>Seniors</v>
      </c>
    </row>
    <row r="563" spans="1:8">
      <c r="A563">
        <v>54</v>
      </c>
      <c r="B563" t="s">
        <v>8</v>
      </c>
      <c r="C563">
        <v>32.68</v>
      </c>
      <c r="D563">
        <v>0</v>
      </c>
      <c r="E563" t="s">
        <v>12</v>
      </c>
      <c r="F563" t="s">
        <v>15</v>
      </c>
      <c r="G563">
        <v>10923.93</v>
      </c>
      <c r="H563" s="11" t="str" cm="1">
        <f t="array" ref="H563">_xlfn.IFS(Table1[[#This Row],[age]]&lt;=30,"Young Adults",Table1[[#This Row],[age]]&lt;=45,"Adults",Table1[[#This Row],[age]]&lt;=60,"Seniors",Table1[[#This Row],[age]]&gt;=61,"Elderly")</f>
        <v>Seniors</v>
      </c>
    </row>
    <row r="564" spans="1:8">
      <c r="A564">
        <v>27</v>
      </c>
      <c r="B564" t="s">
        <v>11</v>
      </c>
      <c r="C564">
        <v>30.5</v>
      </c>
      <c r="D564">
        <v>0</v>
      </c>
      <c r="E564" t="s">
        <v>12</v>
      </c>
      <c r="F564" t="s">
        <v>10</v>
      </c>
      <c r="G564">
        <v>2494.02</v>
      </c>
      <c r="H564" s="11" t="str" cm="1">
        <f t="array" ref="H564">_xlfn.IFS(Table1[[#This Row],[age]]&lt;=30,"Young Adults",Table1[[#This Row],[age]]&lt;=45,"Adults",Table1[[#This Row],[age]]&lt;=60,"Seniors",Table1[[#This Row],[age]]&gt;=61,"Elderly")</f>
        <v>Young Adults</v>
      </c>
    </row>
    <row r="565" spans="1:8">
      <c r="A565">
        <v>50</v>
      </c>
      <c r="B565" t="s">
        <v>11</v>
      </c>
      <c r="C565">
        <v>44.77</v>
      </c>
      <c r="D565">
        <v>1</v>
      </c>
      <c r="E565" t="s">
        <v>12</v>
      </c>
      <c r="F565" t="s">
        <v>13</v>
      </c>
      <c r="G565">
        <v>9058.73</v>
      </c>
      <c r="H565" s="11" t="str" cm="1">
        <f t="array" ref="H565">_xlfn.IFS(Table1[[#This Row],[age]]&lt;=30,"Young Adults",Table1[[#This Row],[age]]&lt;=45,"Adults",Table1[[#This Row],[age]]&lt;=60,"Seniors",Table1[[#This Row],[age]]&gt;=61,"Elderly")</f>
        <v>Seniors</v>
      </c>
    </row>
    <row r="566" spans="1:8">
      <c r="A566">
        <v>18</v>
      </c>
      <c r="B566" t="s">
        <v>8</v>
      </c>
      <c r="C566">
        <v>32.12</v>
      </c>
      <c r="D566">
        <v>2</v>
      </c>
      <c r="E566" t="s">
        <v>12</v>
      </c>
      <c r="F566" t="s">
        <v>13</v>
      </c>
      <c r="G566">
        <v>2801.26</v>
      </c>
      <c r="H566" s="11" t="str" cm="1">
        <f t="array" ref="H566">_xlfn.IFS(Table1[[#This Row],[age]]&lt;=30,"Young Adults",Table1[[#This Row],[age]]&lt;=45,"Adults",Table1[[#This Row],[age]]&lt;=60,"Seniors",Table1[[#This Row],[age]]&gt;=61,"Elderly")</f>
        <v>Young Adults</v>
      </c>
    </row>
    <row r="567" spans="1:8">
      <c r="A567">
        <v>19</v>
      </c>
      <c r="B567" t="s">
        <v>8</v>
      </c>
      <c r="C567">
        <v>30.495</v>
      </c>
      <c r="D567">
        <v>0</v>
      </c>
      <c r="E567" t="s">
        <v>12</v>
      </c>
      <c r="F567" t="s">
        <v>14</v>
      </c>
      <c r="G567">
        <v>2128.43</v>
      </c>
      <c r="H567" s="11" t="str" cm="1">
        <f t="array" ref="H567">_xlfn.IFS(Table1[[#This Row],[age]]&lt;=30,"Young Adults",Table1[[#This Row],[age]]&lt;=45,"Adults",Table1[[#This Row],[age]]&lt;=60,"Seniors",Table1[[#This Row],[age]]&gt;=61,"Elderly")</f>
        <v>Young Adults</v>
      </c>
    </row>
    <row r="568" spans="1:8">
      <c r="A568">
        <v>38</v>
      </c>
      <c r="B568" t="s">
        <v>8</v>
      </c>
      <c r="C568">
        <v>40.565</v>
      </c>
      <c r="D568">
        <v>1</v>
      </c>
      <c r="E568" t="s">
        <v>12</v>
      </c>
      <c r="F568" t="s">
        <v>14</v>
      </c>
      <c r="G568">
        <v>6373.56</v>
      </c>
      <c r="H568" s="11" t="str" cm="1">
        <f t="array" ref="H568">_xlfn.IFS(Table1[[#This Row],[age]]&lt;=30,"Young Adults",Table1[[#This Row],[age]]&lt;=45,"Adults",Table1[[#This Row],[age]]&lt;=60,"Seniors",Table1[[#This Row],[age]]&gt;=61,"Elderly")</f>
        <v>Adults</v>
      </c>
    </row>
    <row r="569" spans="1:8">
      <c r="A569">
        <v>41</v>
      </c>
      <c r="B569" t="s">
        <v>11</v>
      </c>
      <c r="C569">
        <v>30.59</v>
      </c>
      <c r="D569">
        <v>2</v>
      </c>
      <c r="E569" t="s">
        <v>12</v>
      </c>
      <c r="F569" t="s">
        <v>14</v>
      </c>
      <c r="G569">
        <v>7256.72</v>
      </c>
      <c r="H569" s="11" t="str" cm="1">
        <f t="array" ref="H569">_xlfn.IFS(Table1[[#This Row],[age]]&lt;=30,"Young Adults",Table1[[#This Row],[age]]&lt;=45,"Adults",Table1[[#This Row],[age]]&lt;=60,"Seniors",Table1[[#This Row],[age]]&gt;=61,"Elderly")</f>
        <v>Adults</v>
      </c>
    </row>
    <row r="570" spans="1:8">
      <c r="A570">
        <v>49</v>
      </c>
      <c r="B570" t="s">
        <v>8</v>
      </c>
      <c r="C570">
        <v>31.9</v>
      </c>
      <c r="D570">
        <v>5</v>
      </c>
      <c r="E570" t="s">
        <v>12</v>
      </c>
      <c r="F570" t="s">
        <v>10</v>
      </c>
      <c r="G570">
        <v>11552.9</v>
      </c>
      <c r="H570" s="11" t="str" cm="1">
        <f t="array" ref="H570">_xlfn.IFS(Table1[[#This Row],[age]]&lt;=30,"Young Adults",Table1[[#This Row],[age]]&lt;=45,"Adults",Table1[[#This Row],[age]]&lt;=60,"Seniors",Table1[[#This Row],[age]]&gt;=61,"Elderly")</f>
        <v>Seniors</v>
      </c>
    </row>
    <row r="571" spans="1:8">
      <c r="A571">
        <v>48</v>
      </c>
      <c r="B571" t="s">
        <v>11</v>
      </c>
      <c r="C571">
        <v>40.565</v>
      </c>
      <c r="D571">
        <v>2</v>
      </c>
      <c r="E571" t="s">
        <v>9</v>
      </c>
      <c r="F571" t="s">
        <v>14</v>
      </c>
      <c r="G571">
        <v>45702.02</v>
      </c>
      <c r="H571" s="11" t="str" cm="1">
        <f t="array" ref="H571">_xlfn.IFS(Table1[[#This Row],[age]]&lt;=30,"Young Adults",Table1[[#This Row],[age]]&lt;=45,"Adults",Table1[[#This Row],[age]]&lt;=60,"Seniors",Table1[[#This Row],[age]]&gt;=61,"Elderly")</f>
        <v>Seniors</v>
      </c>
    </row>
    <row r="572" spans="1:8">
      <c r="A572">
        <v>31</v>
      </c>
      <c r="B572" t="s">
        <v>8</v>
      </c>
      <c r="C572">
        <v>29.1</v>
      </c>
      <c r="D572">
        <v>0</v>
      </c>
      <c r="E572" t="s">
        <v>12</v>
      </c>
      <c r="F572" t="s">
        <v>10</v>
      </c>
      <c r="G572">
        <v>3761.29</v>
      </c>
      <c r="H572" s="11" t="str" cm="1">
        <f t="array" ref="H572">_xlfn.IFS(Table1[[#This Row],[age]]&lt;=30,"Young Adults",Table1[[#This Row],[age]]&lt;=45,"Adults",Table1[[#This Row],[age]]&lt;=60,"Seniors",Table1[[#This Row],[age]]&gt;=61,"Elderly")</f>
        <v>Adults</v>
      </c>
    </row>
    <row r="573" spans="1:8">
      <c r="A573">
        <v>18</v>
      </c>
      <c r="B573" t="s">
        <v>8</v>
      </c>
      <c r="C573">
        <v>37.29</v>
      </c>
      <c r="D573">
        <v>1</v>
      </c>
      <c r="E573" t="s">
        <v>12</v>
      </c>
      <c r="F573" t="s">
        <v>13</v>
      </c>
      <c r="G573">
        <v>2219.45</v>
      </c>
      <c r="H573" s="11" t="str" cm="1">
        <f t="array" ref="H573">_xlfn.IFS(Table1[[#This Row],[age]]&lt;=30,"Young Adults",Table1[[#This Row],[age]]&lt;=45,"Adults",Table1[[#This Row],[age]]&lt;=60,"Seniors",Table1[[#This Row],[age]]&gt;=61,"Elderly")</f>
        <v>Young Adults</v>
      </c>
    </row>
    <row r="574" spans="1:8">
      <c r="A574">
        <v>30</v>
      </c>
      <c r="B574" t="s">
        <v>8</v>
      </c>
      <c r="C574">
        <v>43.12</v>
      </c>
      <c r="D574">
        <v>2</v>
      </c>
      <c r="E574" t="s">
        <v>12</v>
      </c>
      <c r="F574" t="s">
        <v>13</v>
      </c>
      <c r="G574">
        <v>4753.64</v>
      </c>
      <c r="H574" s="11" t="str" cm="1">
        <f t="array" ref="H574">_xlfn.IFS(Table1[[#This Row],[age]]&lt;=30,"Young Adults",Table1[[#This Row],[age]]&lt;=45,"Adults",Table1[[#This Row],[age]]&lt;=60,"Seniors",Table1[[#This Row],[age]]&gt;=61,"Elderly")</f>
        <v>Young Adults</v>
      </c>
    </row>
    <row r="575" spans="1:8">
      <c r="A575">
        <v>62</v>
      </c>
      <c r="B575" t="s">
        <v>8</v>
      </c>
      <c r="C575">
        <v>36.86</v>
      </c>
      <c r="D575">
        <v>1</v>
      </c>
      <c r="E575" t="s">
        <v>12</v>
      </c>
      <c r="F575" t="s">
        <v>15</v>
      </c>
      <c r="G575">
        <v>31620</v>
      </c>
      <c r="H575" s="11" t="str" cm="1">
        <f t="array" ref="H575">_xlfn.IFS(Table1[[#This Row],[age]]&lt;=30,"Young Adults",Table1[[#This Row],[age]]&lt;=45,"Adults",Table1[[#This Row],[age]]&lt;=60,"Seniors",Table1[[#This Row],[age]]&gt;=61,"Elderly")</f>
        <v>Elderly</v>
      </c>
    </row>
    <row r="576" spans="1:8">
      <c r="A576">
        <v>57</v>
      </c>
      <c r="B576" t="s">
        <v>8</v>
      </c>
      <c r="C576">
        <v>34.295</v>
      </c>
      <c r="D576">
        <v>2</v>
      </c>
      <c r="E576" t="s">
        <v>12</v>
      </c>
      <c r="F576" t="s">
        <v>15</v>
      </c>
      <c r="G576">
        <v>13224.06</v>
      </c>
      <c r="H576" s="11" t="str" cm="1">
        <f t="array" ref="H576">_xlfn.IFS(Table1[[#This Row],[age]]&lt;=30,"Young Adults",Table1[[#This Row],[age]]&lt;=45,"Adults",Table1[[#This Row],[age]]&lt;=60,"Seniors",Table1[[#This Row],[age]]&gt;=61,"Elderly")</f>
        <v>Seniors</v>
      </c>
    </row>
    <row r="577" spans="1:8">
      <c r="A577">
        <v>58</v>
      </c>
      <c r="B577" t="s">
        <v>8</v>
      </c>
      <c r="C577">
        <v>27.17</v>
      </c>
      <c r="D577">
        <v>0</v>
      </c>
      <c r="E577" t="s">
        <v>12</v>
      </c>
      <c r="F577" t="s">
        <v>14</v>
      </c>
      <c r="G577">
        <v>12222.9</v>
      </c>
      <c r="H577" s="11" t="str" cm="1">
        <f t="array" ref="H577">_xlfn.IFS(Table1[[#This Row],[age]]&lt;=30,"Young Adults",Table1[[#This Row],[age]]&lt;=45,"Adults",Table1[[#This Row],[age]]&lt;=60,"Seniors",Table1[[#This Row],[age]]&gt;=61,"Elderly")</f>
        <v>Seniors</v>
      </c>
    </row>
    <row r="578" spans="1:8">
      <c r="A578">
        <v>22</v>
      </c>
      <c r="B578" t="s">
        <v>11</v>
      </c>
      <c r="C578">
        <v>26.84</v>
      </c>
      <c r="D578">
        <v>0</v>
      </c>
      <c r="E578" t="s">
        <v>12</v>
      </c>
      <c r="F578" t="s">
        <v>13</v>
      </c>
      <c r="G578">
        <v>1665</v>
      </c>
      <c r="H578" s="11" t="str" cm="1">
        <f t="array" ref="H578">_xlfn.IFS(Table1[[#This Row],[age]]&lt;=30,"Young Adults",Table1[[#This Row],[age]]&lt;=45,"Adults",Table1[[#This Row],[age]]&lt;=60,"Seniors",Table1[[#This Row],[age]]&gt;=61,"Elderly")</f>
        <v>Young Adults</v>
      </c>
    </row>
    <row r="579" spans="1:8">
      <c r="A579">
        <v>31</v>
      </c>
      <c r="B579" t="s">
        <v>8</v>
      </c>
      <c r="C579">
        <v>38.095</v>
      </c>
      <c r="D579">
        <v>1</v>
      </c>
      <c r="E579" t="s">
        <v>9</v>
      </c>
      <c r="F579" t="s">
        <v>15</v>
      </c>
      <c r="G579">
        <v>58571.07</v>
      </c>
      <c r="H579" s="11" t="str" cm="1">
        <f t="array" ref="H579">_xlfn.IFS(Table1[[#This Row],[age]]&lt;=30,"Young Adults",Table1[[#This Row],[age]]&lt;=45,"Adults",Table1[[#This Row],[age]]&lt;=60,"Seniors",Table1[[#This Row],[age]]&gt;=61,"Elderly")</f>
        <v>Adults</v>
      </c>
    </row>
    <row r="580" spans="1:8">
      <c r="A580">
        <v>52</v>
      </c>
      <c r="B580" t="s">
        <v>11</v>
      </c>
      <c r="C580">
        <v>30.2</v>
      </c>
      <c r="D580">
        <v>1</v>
      </c>
      <c r="E580" t="s">
        <v>12</v>
      </c>
      <c r="F580" t="s">
        <v>10</v>
      </c>
      <c r="G580">
        <v>9724.53</v>
      </c>
      <c r="H580" s="11" t="str" cm="1">
        <f t="array" ref="H580">_xlfn.IFS(Table1[[#This Row],[age]]&lt;=30,"Young Adults",Table1[[#This Row],[age]]&lt;=45,"Adults",Table1[[#This Row],[age]]&lt;=60,"Seniors",Table1[[#This Row],[age]]&gt;=61,"Elderly")</f>
        <v>Seniors</v>
      </c>
    </row>
    <row r="581" spans="1:8">
      <c r="A581">
        <v>25</v>
      </c>
      <c r="B581" t="s">
        <v>8</v>
      </c>
      <c r="C581">
        <v>23.465</v>
      </c>
      <c r="D581">
        <v>0</v>
      </c>
      <c r="E581" t="s">
        <v>12</v>
      </c>
      <c r="F581" t="s">
        <v>15</v>
      </c>
      <c r="G581">
        <v>3206.49</v>
      </c>
      <c r="H581" s="11" t="str" cm="1">
        <f t="array" ref="H581">_xlfn.IFS(Table1[[#This Row],[age]]&lt;=30,"Young Adults",Table1[[#This Row],[age]]&lt;=45,"Adults",Table1[[#This Row],[age]]&lt;=60,"Seniors",Table1[[#This Row],[age]]&gt;=61,"Elderly")</f>
        <v>Young Adults</v>
      </c>
    </row>
    <row r="582" spans="1:8">
      <c r="A582">
        <v>59</v>
      </c>
      <c r="B582" t="s">
        <v>11</v>
      </c>
      <c r="C582">
        <v>25.46</v>
      </c>
      <c r="D582">
        <v>1</v>
      </c>
      <c r="E582" t="s">
        <v>12</v>
      </c>
      <c r="F582" t="s">
        <v>15</v>
      </c>
      <c r="G582">
        <v>12913.99</v>
      </c>
      <c r="H582" s="11" t="str" cm="1">
        <f t="array" ref="H582">_xlfn.IFS(Table1[[#This Row],[age]]&lt;=30,"Young Adults",Table1[[#This Row],[age]]&lt;=45,"Adults",Table1[[#This Row],[age]]&lt;=60,"Seniors",Table1[[#This Row],[age]]&gt;=61,"Elderly")</f>
        <v>Seniors</v>
      </c>
    </row>
    <row r="583" spans="1:8">
      <c r="A583">
        <v>19</v>
      </c>
      <c r="B583" t="s">
        <v>11</v>
      </c>
      <c r="C583">
        <v>30.59</v>
      </c>
      <c r="D583">
        <v>0</v>
      </c>
      <c r="E583" t="s">
        <v>12</v>
      </c>
      <c r="F583" t="s">
        <v>14</v>
      </c>
      <c r="G583">
        <v>1639.56</v>
      </c>
      <c r="H583" s="11" t="str" cm="1">
        <f t="array" ref="H583">_xlfn.IFS(Table1[[#This Row],[age]]&lt;=30,"Young Adults",Table1[[#This Row],[age]]&lt;=45,"Adults",Table1[[#This Row],[age]]&lt;=60,"Seniors",Table1[[#This Row],[age]]&gt;=61,"Elderly")</f>
        <v>Young Adults</v>
      </c>
    </row>
    <row r="584" spans="1:8">
      <c r="A584">
        <v>39</v>
      </c>
      <c r="B584" t="s">
        <v>11</v>
      </c>
      <c r="C584">
        <v>45.43</v>
      </c>
      <c r="D584">
        <v>2</v>
      </c>
      <c r="E584" t="s">
        <v>12</v>
      </c>
      <c r="F584" t="s">
        <v>13</v>
      </c>
      <c r="G584">
        <v>6356.27</v>
      </c>
      <c r="H584" s="11" t="str" cm="1">
        <f t="array" ref="H584">_xlfn.IFS(Table1[[#This Row],[age]]&lt;=30,"Young Adults",Table1[[#This Row],[age]]&lt;=45,"Adults",Table1[[#This Row],[age]]&lt;=60,"Seniors",Table1[[#This Row],[age]]&gt;=61,"Elderly")</f>
        <v>Adults</v>
      </c>
    </row>
    <row r="585" spans="1:8">
      <c r="A585">
        <v>32</v>
      </c>
      <c r="B585" t="s">
        <v>8</v>
      </c>
      <c r="C585">
        <v>23.65</v>
      </c>
      <c r="D585">
        <v>1</v>
      </c>
      <c r="E585" t="s">
        <v>12</v>
      </c>
      <c r="F585" t="s">
        <v>13</v>
      </c>
      <c r="G585">
        <v>17626.24</v>
      </c>
      <c r="H585" s="11" t="str" cm="1">
        <f t="array" ref="H585">_xlfn.IFS(Table1[[#This Row],[age]]&lt;=30,"Young Adults",Table1[[#This Row],[age]]&lt;=45,"Adults",Table1[[#This Row],[age]]&lt;=60,"Seniors",Table1[[#This Row],[age]]&gt;=61,"Elderly")</f>
        <v>Adults</v>
      </c>
    </row>
    <row r="586" spans="1:8">
      <c r="A586">
        <v>19</v>
      </c>
      <c r="B586" t="s">
        <v>11</v>
      </c>
      <c r="C586">
        <v>20.7</v>
      </c>
      <c r="D586">
        <v>0</v>
      </c>
      <c r="E586" t="s">
        <v>12</v>
      </c>
      <c r="F586" t="s">
        <v>10</v>
      </c>
      <c r="G586">
        <v>1242.82</v>
      </c>
      <c r="H586" s="11" t="str" cm="1">
        <f t="array" ref="H586">_xlfn.IFS(Table1[[#This Row],[age]]&lt;=30,"Young Adults",Table1[[#This Row],[age]]&lt;=45,"Adults",Table1[[#This Row],[age]]&lt;=60,"Seniors",Table1[[#This Row],[age]]&gt;=61,"Elderly")</f>
        <v>Young Adults</v>
      </c>
    </row>
    <row r="587" spans="1:8">
      <c r="A587">
        <v>33</v>
      </c>
      <c r="B587" t="s">
        <v>8</v>
      </c>
      <c r="C587">
        <v>28.27</v>
      </c>
      <c r="D587">
        <v>1</v>
      </c>
      <c r="E587" t="s">
        <v>12</v>
      </c>
      <c r="F587" t="s">
        <v>13</v>
      </c>
      <c r="G587">
        <v>4779.6</v>
      </c>
      <c r="H587" s="11" t="str" cm="1">
        <f t="array" ref="H587">_xlfn.IFS(Table1[[#This Row],[age]]&lt;=30,"Young Adults",Table1[[#This Row],[age]]&lt;=45,"Adults",Table1[[#This Row],[age]]&lt;=60,"Seniors",Table1[[#This Row],[age]]&gt;=61,"Elderly")</f>
        <v>Adults</v>
      </c>
    </row>
    <row r="588" spans="1:8">
      <c r="A588">
        <v>21</v>
      </c>
      <c r="B588" t="s">
        <v>11</v>
      </c>
      <c r="C588">
        <v>20.235</v>
      </c>
      <c r="D588">
        <v>3</v>
      </c>
      <c r="E588" t="s">
        <v>12</v>
      </c>
      <c r="F588" t="s">
        <v>15</v>
      </c>
      <c r="G588">
        <v>3861.21</v>
      </c>
      <c r="H588" s="11" t="str" cm="1">
        <f t="array" ref="H588">_xlfn.IFS(Table1[[#This Row],[age]]&lt;=30,"Young Adults",Table1[[#This Row],[age]]&lt;=45,"Adults",Table1[[#This Row],[age]]&lt;=60,"Seniors",Table1[[#This Row],[age]]&gt;=61,"Elderly")</f>
        <v>Young Adults</v>
      </c>
    </row>
    <row r="589" spans="1:8">
      <c r="A589">
        <v>34</v>
      </c>
      <c r="B589" t="s">
        <v>8</v>
      </c>
      <c r="C589">
        <v>30.21</v>
      </c>
      <c r="D589">
        <v>1</v>
      </c>
      <c r="E589" t="s">
        <v>9</v>
      </c>
      <c r="F589" t="s">
        <v>14</v>
      </c>
      <c r="G589">
        <v>43943.88</v>
      </c>
      <c r="H589" s="11" t="str" cm="1">
        <f t="array" ref="H589">_xlfn.IFS(Table1[[#This Row],[age]]&lt;=30,"Young Adults",Table1[[#This Row],[age]]&lt;=45,"Adults",Table1[[#This Row],[age]]&lt;=60,"Seniors",Table1[[#This Row],[age]]&gt;=61,"Elderly")</f>
        <v>Adults</v>
      </c>
    </row>
    <row r="590" spans="1:8">
      <c r="A590">
        <v>61</v>
      </c>
      <c r="B590" t="s">
        <v>8</v>
      </c>
      <c r="C590">
        <v>35.91</v>
      </c>
      <c r="D590">
        <v>0</v>
      </c>
      <c r="E590" t="s">
        <v>12</v>
      </c>
      <c r="F590" t="s">
        <v>15</v>
      </c>
      <c r="G590">
        <v>13635.64</v>
      </c>
      <c r="H590" s="11" t="str" cm="1">
        <f t="array" ref="H590">_xlfn.IFS(Table1[[#This Row],[age]]&lt;=30,"Young Adults",Table1[[#This Row],[age]]&lt;=45,"Adults",Table1[[#This Row],[age]]&lt;=60,"Seniors",Table1[[#This Row],[age]]&gt;=61,"Elderly")</f>
        <v>Elderly</v>
      </c>
    </row>
    <row r="591" spans="1:8">
      <c r="A591">
        <v>38</v>
      </c>
      <c r="B591" t="s">
        <v>8</v>
      </c>
      <c r="C591">
        <v>30.69</v>
      </c>
      <c r="D591">
        <v>1</v>
      </c>
      <c r="E591" t="s">
        <v>12</v>
      </c>
      <c r="F591" t="s">
        <v>13</v>
      </c>
      <c r="G591">
        <v>5976.83</v>
      </c>
      <c r="H591" s="11" t="str" cm="1">
        <f t="array" ref="H591">_xlfn.IFS(Table1[[#This Row],[age]]&lt;=30,"Young Adults",Table1[[#This Row],[age]]&lt;=45,"Adults",Table1[[#This Row],[age]]&lt;=60,"Seniors",Table1[[#This Row],[age]]&gt;=61,"Elderly")</f>
        <v>Adults</v>
      </c>
    </row>
    <row r="592" spans="1:8">
      <c r="A592">
        <v>58</v>
      </c>
      <c r="B592" t="s">
        <v>8</v>
      </c>
      <c r="C592">
        <v>29</v>
      </c>
      <c r="D592">
        <v>0</v>
      </c>
      <c r="E592" t="s">
        <v>12</v>
      </c>
      <c r="F592" t="s">
        <v>10</v>
      </c>
      <c r="G592">
        <v>11842.44</v>
      </c>
      <c r="H592" s="11" t="str" cm="1">
        <f t="array" ref="H592">_xlfn.IFS(Table1[[#This Row],[age]]&lt;=30,"Young Adults",Table1[[#This Row],[age]]&lt;=45,"Adults",Table1[[#This Row],[age]]&lt;=60,"Seniors",Table1[[#This Row],[age]]&gt;=61,"Elderly")</f>
        <v>Seniors</v>
      </c>
    </row>
    <row r="593" spans="1:8">
      <c r="A593">
        <v>47</v>
      </c>
      <c r="B593" t="s">
        <v>11</v>
      </c>
      <c r="C593">
        <v>19.57</v>
      </c>
      <c r="D593">
        <v>1</v>
      </c>
      <c r="E593" t="s">
        <v>12</v>
      </c>
      <c r="F593" t="s">
        <v>14</v>
      </c>
      <c r="G593">
        <v>8428.07</v>
      </c>
      <c r="H593" s="11" t="str" cm="1">
        <f t="array" ref="H593">_xlfn.IFS(Table1[[#This Row],[age]]&lt;=30,"Young Adults",Table1[[#This Row],[age]]&lt;=45,"Adults",Table1[[#This Row],[age]]&lt;=60,"Seniors",Table1[[#This Row],[age]]&gt;=61,"Elderly")</f>
        <v>Seniors</v>
      </c>
    </row>
    <row r="594" spans="1:8">
      <c r="A594">
        <v>20</v>
      </c>
      <c r="B594" t="s">
        <v>11</v>
      </c>
      <c r="C594">
        <v>31.13</v>
      </c>
      <c r="D594">
        <v>2</v>
      </c>
      <c r="E594" t="s">
        <v>12</v>
      </c>
      <c r="F594" t="s">
        <v>13</v>
      </c>
      <c r="G594">
        <v>2566.47</v>
      </c>
      <c r="H594" s="11" t="str" cm="1">
        <f t="array" ref="H594">_xlfn.IFS(Table1[[#This Row],[age]]&lt;=30,"Young Adults",Table1[[#This Row],[age]]&lt;=45,"Adults",Table1[[#This Row],[age]]&lt;=60,"Seniors",Table1[[#This Row],[age]]&gt;=61,"Elderly")</f>
        <v>Young Adults</v>
      </c>
    </row>
    <row r="595" spans="1:8">
      <c r="A595">
        <v>21</v>
      </c>
      <c r="B595" t="s">
        <v>8</v>
      </c>
      <c r="C595">
        <v>21.85</v>
      </c>
      <c r="D595">
        <v>1</v>
      </c>
      <c r="E595" t="s">
        <v>9</v>
      </c>
      <c r="F595" t="s">
        <v>15</v>
      </c>
      <c r="G595">
        <v>15359.1</v>
      </c>
      <c r="H595" s="11" t="str" cm="1">
        <f t="array" ref="H595">_xlfn.IFS(Table1[[#This Row],[age]]&lt;=30,"Young Adults",Table1[[#This Row],[age]]&lt;=45,"Adults",Table1[[#This Row],[age]]&lt;=60,"Seniors",Table1[[#This Row],[age]]&gt;=61,"Elderly")</f>
        <v>Young Adults</v>
      </c>
    </row>
    <row r="596" spans="1:8">
      <c r="A596">
        <v>41</v>
      </c>
      <c r="B596" t="s">
        <v>11</v>
      </c>
      <c r="C596">
        <v>40.26</v>
      </c>
      <c r="D596">
        <v>0</v>
      </c>
      <c r="E596" t="s">
        <v>12</v>
      </c>
      <c r="F596" t="s">
        <v>13</v>
      </c>
      <c r="G596">
        <v>5709.16</v>
      </c>
      <c r="H596" s="11" t="str" cm="1">
        <f t="array" ref="H596">_xlfn.IFS(Table1[[#This Row],[age]]&lt;=30,"Young Adults",Table1[[#This Row],[age]]&lt;=45,"Adults",Table1[[#This Row],[age]]&lt;=60,"Seniors",Table1[[#This Row],[age]]&gt;=61,"Elderly")</f>
        <v>Adults</v>
      </c>
    </row>
    <row r="597" spans="1:8">
      <c r="A597">
        <v>46</v>
      </c>
      <c r="B597" t="s">
        <v>8</v>
      </c>
      <c r="C597">
        <v>33.725</v>
      </c>
      <c r="D597">
        <v>1</v>
      </c>
      <c r="E597" t="s">
        <v>12</v>
      </c>
      <c r="F597" t="s">
        <v>15</v>
      </c>
      <c r="G597">
        <v>8823.99</v>
      </c>
      <c r="H597" s="11" t="str" cm="1">
        <f t="array" ref="H597">_xlfn.IFS(Table1[[#This Row],[age]]&lt;=30,"Young Adults",Table1[[#This Row],[age]]&lt;=45,"Adults",Table1[[#This Row],[age]]&lt;=60,"Seniors",Table1[[#This Row],[age]]&gt;=61,"Elderly")</f>
        <v>Seniors</v>
      </c>
    </row>
    <row r="598" spans="1:8">
      <c r="A598">
        <v>42</v>
      </c>
      <c r="B598" t="s">
        <v>8</v>
      </c>
      <c r="C598">
        <v>29.48</v>
      </c>
      <c r="D598">
        <v>2</v>
      </c>
      <c r="E598" t="s">
        <v>12</v>
      </c>
      <c r="F598" t="s">
        <v>13</v>
      </c>
      <c r="G598">
        <v>7640.31</v>
      </c>
      <c r="H598" s="11" t="str" cm="1">
        <f t="array" ref="H598">_xlfn.IFS(Table1[[#This Row],[age]]&lt;=30,"Young Adults",Table1[[#This Row],[age]]&lt;=45,"Adults",Table1[[#This Row],[age]]&lt;=60,"Seniors",Table1[[#This Row],[age]]&gt;=61,"Elderly")</f>
        <v>Adults</v>
      </c>
    </row>
    <row r="599" spans="1:8">
      <c r="A599">
        <v>34</v>
      </c>
      <c r="B599" t="s">
        <v>8</v>
      </c>
      <c r="C599">
        <v>33.25</v>
      </c>
      <c r="D599">
        <v>1</v>
      </c>
      <c r="E599" t="s">
        <v>12</v>
      </c>
      <c r="F599" t="s">
        <v>15</v>
      </c>
      <c r="G599">
        <v>5594.85</v>
      </c>
      <c r="H599" s="11" t="str" cm="1">
        <f t="array" ref="H599">_xlfn.IFS(Table1[[#This Row],[age]]&lt;=30,"Young Adults",Table1[[#This Row],[age]]&lt;=45,"Adults",Table1[[#This Row],[age]]&lt;=60,"Seniors",Table1[[#This Row],[age]]&gt;=61,"Elderly")</f>
        <v>Adults</v>
      </c>
    </row>
    <row r="600" spans="1:8">
      <c r="A600">
        <v>43</v>
      </c>
      <c r="B600" t="s">
        <v>11</v>
      </c>
      <c r="C600">
        <v>32.6</v>
      </c>
      <c r="D600">
        <v>2</v>
      </c>
      <c r="E600" t="s">
        <v>12</v>
      </c>
      <c r="F600" t="s">
        <v>10</v>
      </c>
      <c r="G600">
        <v>7441.5</v>
      </c>
      <c r="H600" s="11" t="str" cm="1">
        <f t="array" ref="H600">_xlfn.IFS(Table1[[#This Row],[age]]&lt;=30,"Young Adults",Table1[[#This Row],[age]]&lt;=45,"Adults",Table1[[#This Row],[age]]&lt;=60,"Seniors",Table1[[#This Row],[age]]&gt;=61,"Elderly")</f>
        <v>Adults</v>
      </c>
    </row>
    <row r="601" spans="1:8">
      <c r="A601">
        <v>52</v>
      </c>
      <c r="B601" t="s">
        <v>8</v>
      </c>
      <c r="C601">
        <v>37.525</v>
      </c>
      <c r="D601">
        <v>2</v>
      </c>
      <c r="E601" t="s">
        <v>12</v>
      </c>
      <c r="F601" t="s">
        <v>14</v>
      </c>
      <c r="G601">
        <v>33471.97</v>
      </c>
      <c r="H601" s="11" t="str" cm="1">
        <f t="array" ref="H601">_xlfn.IFS(Table1[[#This Row],[age]]&lt;=30,"Young Adults",Table1[[#This Row],[age]]&lt;=45,"Adults",Table1[[#This Row],[age]]&lt;=60,"Seniors",Table1[[#This Row],[age]]&gt;=61,"Elderly")</f>
        <v>Seniors</v>
      </c>
    </row>
    <row r="602" spans="1:8">
      <c r="A602">
        <v>18</v>
      </c>
      <c r="B602" t="s">
        <v>8</v>
      </c>
      <c r="C602">
        <v>39.16</v>
      </c>
      <c r="D602">
        <v>0</v>
      </c>
      <c r="E602" t="s">
        <v>12</v>
      </c>
      <c r="F602" t="s">
        <v>13</v>
      </c>
      <c r="G602">
        <v>1633.04</v>
      </c>
      <c r="H602" s="11" t="str" cm="1">
        <f t="array" ref="H602">_xlfn.IFS(Table1[[#This Row],[age]]&lt;=30,"Young Adults",Table1[[#This Row],[age]]&lt;=45,"Adults",Table1[[#This Row],[age]]&lt;=60,"Seniors",Table1[[#This Row],[age]]&gt;=61,"Elderly")</f>
        <v>Young Adults</v>
      </c>
    </row>
    <row r="603" spans="1:8">
      <c r="A603">
        <v>51</v>
      </c>
      <c r="B603" t="s">
        <v>11</v>
      </c>
      <c r="C603">
        <v>31.635</v>
      </c>
      <c r="D603">
        <v>0</v>
      </c>
      <c r="E603" t="s">
        <v>12</v>
      </c>
      <c r="F603" t="s">
        <v>14</v>
      </c>
      <c r="G603">
        <v>9174.14</v>
      </c>
      <c r="H603" s="11" t="str" cm="1">
        <f t="array" ref="H603">_xlfn.IFS(Table1[[#This Row],[age]]&lt;=30,"Young Adults",Table1[[#This Row],[age]]&lt;=45,"Adults",Table1[[#This Row],[age]]&lt;=60,"Seniors",Table1[[#This Row],[age]]&gt;=61,"Elderly")</f>
        <v>Seniors</v>
      </c>
    </row>
    <row r="604" spans="1:8">
      <c r="A604">
        <v>56</v>
      </c>
      <c r="B604" t="s">
        <v>8</v>
      </c>
      <c r="C604">
        <v>25.3</v>
      </c>
      <c r="D604">
        <v>0</v>
      </c>
      <c r="E604" t="s">
        <v>12</v>
      </c>
      <c r="F604" t="s">
        <v>10</v>
      </c>
      <c r="G604">
        <v>11070.54</v>
      </c>
      <c r="H604" s="11" t="str" cm="1">
        <f t="array" ref="H604">_xlfn.IFS(Table1[[#This Row],[age]]&lt;=30,"Young Adults",Table1[[#This Row],[age]]&lt;=45,"Adults",Table1[[#This Row],[age]]&lt;=60,"Seniors",Table1[[#This Row],[age]]&gt;=61,"Elderly")</f>
        <v>Seniors</v>
      </c>
    </row>
    <row r="605" spans="1:8">
      <c r="A605">
        <v>64</v>
      </c>
      <c r="B605" t="s">
        <v>8</v>
      </c>
      <c r="C605">
        <v>39.05</v>
      </c>
      <c r="D605">
        <v>3</v>
      </c>
      <c r="E605" t="s">
        <v>12</v>
      </c>
      <c r="F605" t="s">
        <v>13</v>
      </c>
      <c r="G605">
        <v>16085.13</v>
      </c>
      <c r="H605" s="11" t="str" cm="1">
        <f t="array" ref="H605">_xlfn.IFS(Table1[[#This Row],[age]]&lt;=30,"Young Adults",Table1[[#This Row],[age]]&lt;=45,"Adults",Table1[[#This Row],[age]]&lt;=60,"Seniors",Table1[[#This Row],[age]]&gt;=61,"Elderly")</f>
        <v>Elderly</v>
      </c>
    </row>
    <row r="606" spans="1:8">
      <c r="A606">
        <v>19</v>
      </c>
      <c r="B606" t="s">
        <v>8</v>
      </c>
      <c r="C606">
        <v>28.31</v>
      </c>
      <c r="D606">
        <v>0</v>
      </c>
      <c r="E606" t="s">
        <v>9</v>
      </c>
      <c r="F606" t="s">
        <v>14</v>
      </c>
      <c r="G606">
        <v>17468.98</v>
      </c>
      <c r="H606" s="11" t="str" cm="1">
        <f t="array" ref="H606">_xlfn.IFS(Table1[[#This Row],[age]]&lt;=30,"Young Adults",Table1[[#This Row],[age]]&lt;=45,"Adults",Table1[[#This Row],[age]]&lt;=60,"Seniors",Table1[[#This Row],[age]]&gt;=61,"Elderly")</f>
        <v>Young Adults</v>
      </c>
    </row>
    <row r="607" spans="1:8">
      <c r="A607">
        <v>51</v>
      </c>
      <c r="B607" t="s">
        <v>8</v>
      </c>
      <c r="C607">
        <v>34.1</v>
      </c>
      <c r="D607">
        <v>0</v>
      </c>
      <c r="E607" t="s">
        <v>12</v>
      </c>
      <c r="F607" t="s">
        <v>13</v>
      </c>
      <c r="G607">
        <v>9283.56</v>
      </c>
      <c r="H607" s="11" t="str" cm="1">
        <f t="array" ref="H607">_xlfn.IFS(Table1[[#This Row],[age]]&lt;=30,"Young Adults",Table1[[#This Row],[age]]&lt;=45,"Adults",Table1[[#This Row],[age]]&lt;=60,"Seniors",Table1[[#This Row],[age]]&gt;=61,"Elderly")</f>
        <v>Seniors</v>
      </c>
    </row>
    <row r="608" spans="1:8">
      <c r="A608">
        <v>27</v>
      </c>
      <c r="B608" t="s">
        <v>8</v>
      </c>
      <c r="C608">
        <v>25.175</v>
      </c>
      <c r="D608">
        <v>0</v>
      </c>
      <c r="E608" t="s">
        <v>12</v>
      </c>
      <c r="F608" t="s">
        <v>15</v>
      </c>
      <c r="G608">
        <v>3558.62</v>
      </c>
      <c r="H608" s="11" t="str" cm="1">
        <f t="array" ref="H608">_xlfn.IFS(Table1[[#This Row],[age]]&lt;=30,"Young Adults",Table1[[#This Row],[age]]&lt;=45,"Adults",Table1[[#This Row],[age]]&lt;=60,"Seniors",Table1[[#This Row],[age]]&gt;=61,"Elderly")</f>
        <v>Young Adults</v>
      </c>
    </row>
    <row r="609" spans="1:8">
      <c r="A609">
        <v>59</v>
      </c>
      <c r="B609" t="s">
        <v>8</v>
      </c>
      <c r="C609">
        <v>23.655</v>
      </c>
      <c r="D609">
        <v>0</v>
      </c>
      <c r="E609" t="s">
        <v>9</v>
      </c>
      <c r="F609" t="s">
        <v>14</v>
      </c>
      <c r="G609">
        <v>25678.78</v>
      </c>
      <c r="H609" s="11" t="str" cm="1">
        <f t="array" ref="H609">_xlfn.IFS(Table1[[#This Row],[age]]&lt;=30,"Young Adults",Table1[[#This Row],[age]]&lt;=45,"Adults",Table1[[#This Row],[age]]&lt;=60,"Seniors",Table1[[#This Row],[age]]&gt;=61,"Elderly")</f>
        <v>Seniors</v>
      </c>
    </row>
    <row r="610" spans="1:8">
      <c r="A610">
        <v>28</v>
      </c>
      <c r="B610" t="s">
        <v>11</v>
      </c>
      <c r="C610">
        <v>26.98</v>
      </c>
      <c r="D610">
        <v>2</v>
      </c>
      <c r="E610" t="s">
        <v>12</v>
      </c>
      <c r="F610" t="s">
        <v>15</v>
      </c>
      <c r="G610">
        <v>4435.09</v>
      </c>
      <c r="H610" s="11" t="str" cm="1">
        <f t="array" ref="H610">_xlfn.IFS(Table1[[#This Row],[age]]&lt;=30,"Young Adults",Table1[[#This Row],[age]]&lt;=45,"Adults",Table1[[#This Row],[age]]&lt;=60,"Seniors",Table1[[#This Row],[age]]&gt;=61,"Elderly")</f>
        <v>Young Adults</v>
      </c>
    </row>
    <row r="611" spans="1:8">
      <c r="A611">
        <v>30</v>
      </c>
      <c r="B611" t="s">
        <v>11</v>
      </c>
      <c r="C611">
        <v>37.8</v>
      </c>
      <c r="D611">
        <v>2</v>
      </c>
      <c r="E611" t="s">
        <v>9</v>
      </c>
      <c r="F611" t="s">
        <v>10</v>
      </c>
      <c r="G611">
        <v>39241.44</v>
      </c>
      <c r="H611" s="11" t="str" cm="1">
        <f t="array" ref="H611">_xlfn.IFS(Table1[[#This Row],[age]]&lt;=30,"Young Adults",Table1[[#This Row],[age]]&lt;=45,"Adults",Table1[[#This Row],[age]]&lt;=60,"Seniors",Table1[[#This Row],[age]]&gt;=61,"Elderly")</f>
        <v>Young Adults</v>
      </c>
    </row>
    <row r="612" spans="1:8">
      <c r="A612">
        <v>47</v>
      </c>
      <c r="B612" t="s">
        <v>8</v>
      </c>
      <c r="C612">
        <v>29.37</v>
      </c>
      <c r="D612">
        <v>1</v>
      </c>
      <c r="E612" t="s">
        <v>12</v>
      </c>
      <c r="F612" t="s">
        <v>13</v>
      </c>
      <c r="G612">
        <v>8547.69</v>
      </c>
      <c r="H612" s="11" t="str" cm="1">
        <f t="array" ref="H612">_xlfn.IFS(Table1[[#This Row],[age]]&lt;=30,"Young Adults",Table1[[#This Row],[age]]&lt;=45,"Adults",Table1[[#This Row],[age]]&lt;=60,"Seniors",Table1[[#This Row],[age]]&gt;=61,"Elderly")</f>
        <v>Seniors</v>
      </c>
    </row>
    <row r="613" spans="1:8">
      <c r="A613">
        <v>38</v>
      </c>
      <c r="B613" t="s">
        <v>8</v>
      </c>
      <c r="C613">
        <v>34.8</v>
      </c>
      <c r="D613">
        <v>2</v>
      </c>
      <c r="E613" t="s">
        <v>12</v>
      </c>
      <c r="F613" t="s">
        <v>10</v>
      </c>
      <c r="G613">
        <v>6571.54</v>
      </c>
      <c r="H613" s="11" t="str" cm="1">
        <f t="array" ref="H613">_xlfn.IFS(Table1[[#This Row],[age]]&lt;=30,"Young Adults",Table1[[#This Row],[age]]&lt;=45,"Adults",Table1[[#This Row],[age]]&lt;=60,"Seniors",Table1[[#This Row],[age]]&gt;=61,"Elderly")</f>
        <v>Adults</v>
      </c>
    </row>
    <row r="614" spans="1:8">
      <c r="A614">
        <v>18</v>
      </c>
      <c r="B614" t="s">
        <v>8</v>
      </c>
      <c r="C614">
        <v>33.155</v>
      </c>
      <c r="D614">
        <v>0</v>
      </c>
      <c r="E614" t="s">
        <v>12</v>
      </c>
      <c r="F614" t="s">
        <v>15</v>
      </c>
      <c r="G614">
        <v>2207.7</v>
      </c>
      <c r="H614" s="11" t="str" cm="1">
        <f t="array" ref="H614">_xlfn.IFS(Table1[[#This Row],[age]]&lt;=30,"Young Adults",Table1[[#This Row],[age]]&lt;=45,"Adults",Table1[[#This Row],[age]]&lt;=60,"Seniors",Table1[[#This Row],[age]]&gt;=61,"Elderly")</f>
        <v>Young Adults</v>
      </c>
    </row>
    <row r="615" spans="1:8">
      <c r="A615">
        <v>34</v>
      </c>
      <c r="B615" t="s">
        <v>8</v>
      </c>
      <c r="C615">
        <v>19</v>
      </c>
      <c r="D615">
        <v>3</v>
      </c>
      <c r="E615" t="s">
        <v>12</v>
      </c>
      <c r="F615" t="s">
        <v>15</v>
      </c>
      <c r="G615">
        <v>6753.04</v>
      </c>
      <c r="H615" s="11" t="str" cm="1">
        <f t="array" ref="H615">_xlfn.IFS(Table1[[#This Row],[age]]&lt;=30,"Young Adults",Table1[[#This Row],[age]]&lt;=45,"Adults",Table1[[#This Row],[age]]&lt;=60,"Seniors",Table1[[#This Row],[age]]&gt;=61,"Elderly")</f>
        <v>Adults</v>
      </c>
    </row>
    <row r="616" spans="1:8">
      <c r="A616">
        <v>20</v>
      </c>
      <c r="B616" t="s">
        <v>8</v>
      </c>
      <c r="C616">
        <v>33</v>
      </c>
      <c r="D616">
        <v>0</v>
      </c>
      <c r="E616" t="s">
        <v>12</v>
      </c>
      <c r="F616" t="s">
        <v>13</v>
      </c>
      <c r="G616">
        <v>1880.07</v>
      </c>
      <c r="H616" s="11" t="str" cm="1">
        <f t="array" ref="H616">_xlfn.IFS(Table1[[#This Row],[age]]&lt;=30,"Young Adults",Table1[[#This Row],[age]]&lt;=45,"Adults",Table1[[#This Row],[age]]&lt;=60,"Seniors",Table1[[#This Row],[age]]&gt;=61,"Elderly")</f>
        <v>Young Adults</v>
      </c>
    </row>
    <row r="617" spans="1:8">
      <c r="A617">
        <v>47</v>
      </c>
      <c r="B617" t="s">
        <v>8</v>
      </c>
      <c r="C617">
        <v>36.63</v>
      </c>
      <c r="D617">
        <v>1</v>
      </c>
      <c r="E617" t="s">
        <v>9</v>
      </c>
      <c r="F617" t="s">
        <v>13</v>
      </c>
      <c r="G617">
        <v>42969.85</v>
      </c>
      <c r="H617" s="11" t="str" cm="1">
        <f t="array" ref="H617">_xlfn.IFS(Table1[[#This Row],[age]]&lt;=30,"Young Adults",Table1[[#This Row],[age]]&lt;=45,"Adults",Table1[[#This Row],[age]]&lt;=60,"Seniors",Table1[[#This Row],[age]]&gt;=61,"Elderly")</f>
        <v>Seniors</v>
      </c>
    </row>
    <row r="618" spans="1:8">
      <c r="A618">
        <v>56</v>
      </c>
      <c r="B618" t="s">
        <v>8</v>
      </c>
      <c r="C618">
        <v>28.595</v>
      </c>
      <c r="D618">
        <v>0</v>
      </c>
      <c r="E618" t="s">
        <v>12</v>
      </c>
      <c r="F618" t="s">
        <v>15</v>
      </c>
      <c r="G618">
        <v>11658.12</v>
      </c>
      <c r="H618" s="11" t="str" cm="1">
        <f t="array" ref="H618">_xlfn.IFS(Table1[[#This Row],[age]]&lt;=30,"Young Adults",Table1[[#This Row],[age]]&lt;=45,"Adults",Table1[[#This Row],[age]]&lt;=60,"Seniors",Table1[[#This Row],[age]]&gt;=61,"Elderly")</f>
        <v>Seniors</v>
      </c>
    </row>
    <row r="619" spans="1:8">
      <c r="A619">
        <v>49</v>
      </c>
      <c r="B619" t="s">
        <v>11</v>
      </c>
      <c r="C619">
        <v>25.6</v>
      </c>
      <c r="D619">
        <v>2</v>
      </c>
      <c r="E619" t="s">
        <v>9</v>
      </c>
      <c r="F619" t="s">
        <v>10</v>
      </c>
      <c r="G619">
        <v>23306.55</v>
      </c>
      <c r="H619" s="11" t="str" cm="1">
        <f t="array" ref="H619">_xlfn.IFS(Table1[[#This Row],[age]]&lt;=30,"Young Adults",Table1[[#This Row],[age]]&lt;=45,"Adults",Table1[[#This Row],[age]]&lt;=60,"Seniors",Table1[[#This Row],[age]]&gt;=61,"Elderly")</f>
        <v>Seniors</v>
      </c>
    </row>
    <row r="620" spans="1:8">
      <c r="A620">
        <v>19</v>
      </c>
      <c r="B620" t="s">
        <v>8</v>
      </c>
      <c r="C620">
        <v>33.11</v>
      </c>
      <c r="D620">
        <v>0</v>
      </c>
      <c r="E620" t="s">
        <v>9</v>
      </c>
      <c r="F620" t="s">
        <v>13</v>
      </c>
      <c r="G620">
        <v>34439.86</v>
      </c>
      <c r="H620" s="11" t="str" cm="1">
        <f t="array" ref="H620">_xlfn.IFS(Table1[[#This Row],[age]]&lt;=30,"Young Adults",Table1[[#This Row],[age]]&lt;=45,"Adults",Table1[[#This Row],[age]]&lt;=60,"Seniors",Table1[[#This Row],[age]]&gt;=61,"Elderly")</f>
        <v>Young Adults</v>
      </c>
    </row>
    <row r="621" spans="1:8">
      <c r="A621">
        <v>55</v>
      </c>
      <c r="B621" t="s">
        <v>8</v>
      </c>
      <c r="C621">
        <v>37.1</v>
      </c>
      <c r="D621">
        <v>0</v>
      </c>
      <c r="E621" t="s">
        <v>12</v>
      </c>
      <c r="F621" t="s">
        <v>10</v>
      </c>
      <c r="G621">
        <v>10713.64</v>
      </c>
      <c r="H621" s="11" t="str" cm="1">
        <f t="array" ref="H621">_xlfn.IFS(Table1[[#This Row],[age]]&lt;=30,"Young Adults",Table1[[#This Row],[age]]&lt;=45,"Adults",Table1[[#This Row],[age]]&lt;=60,"Seniors",Table1[[#This Row],[age]]&gt;=61,"Elderly")</f>
        <v>Seniors</v>
      </c>
    </row>
    <row r="622" spans="1:8">
      <c r="A622">
        <v>30</v>
      </c>
      <c r="B622" t="s">
        <v>11</v>
      </c>
      <c r="C622">
        <v>31.4</v>
      </c>
      <c r="D622">
        <v>1</v>
      </c>
      <c r="E622" t="s">
        <v>12</v>
      </c>
      <c r="F622" t="s">
        <v>10</v>
      </c>
      <c r="G622">
        <v>3659.35</v>
      </c>
      <c r="H622" s="11" t="str" cm="1">
        <f t="array" ref="H622">_xlfn.IFS(Table1[[#This Row],[age]]&lt;=30,"Young Adults",Table1[[#This Row],[age]]&lt;=45,"Adults",Table1[[#This Row],[age]]&lt;=60,"Seniors",Table1[[#This Row],[age]]&gt;=61,"Elderly")</f>
        <v>Young Adults</v>
      </c>
    </row>
    <row r="623" spans="1:8">
      <c r="A623">
        <v>37</v>
      </c>
      <c r="B623" t="s">
        <v>11</v>
      </c>
      <c r="C623">
        <v>34.1</v>
      </c>
      <c r="D623">
        <v>4</v>
      </c>
      <c r="E623" t="s">
        <v>9</v>
      </c>
      <c r="F623" t="s">
        <v>10</v>
      </c>
      <c r="G623">
        <v>40182.25</v>
      </c>
      <c r="H623" s="11" t="str" cm="1">
        <f t="array" ref="H623">_xlfn.IFS(Table1[[#This Row],[age]]&lt;=30,"Young Adults",Table1[[#This Row],[age]]&lt;=45,"Adults",Table1[[#This Row],[age]]&lt;=60,"Seniors",Table1[[#This Row],[age]]&gt;=61,"Elderly")</f>
        <v>Adults</v>
      </c>
    </row>
    <row r="624" spans="1:8">
      <c r="A624">
        <v>49</v>
      </c>
      <c r="B624" t="s">
        <v>8</v>
      </c>
      <c r="C624">
        <v>21.3</v>
      </c>
      <c r="D624">
        <v>1</v>
      </c>
      <c r="E624" t="s">
        <v>12</v>
      </c>
      <c r="F624" t="s">
        <v>10</v>
      </c>
      <c r="G624">
        <v>9182.17</v>
      </c>
      <c r="H624" s="11" t="str" cm="1">
        <f t="array" ref="H624">_xlfn.IFS(Table1[[#This Row],[age]]&lt;=30,"Young Adults",Table1[[#This Row],[age]]&lt;=45,"Adults",Table1[[#This Row],[age]]&lt;=60,"Seniors",Table1[[#This Row],[age]]&gt;=61,"Elderly")</f>
        <v>Seniors</v>
      </c>
    </row>
    <row r="625" spans="1:8">
      <c r="A625">
        <v>18</v>
      </c>
      <c r="B625" t="s">
        <v>11</v>
      </c>
      <c r="C625">
        <v>33.535</v>
      </c>
      <c r="D625">
        <v>0</v>
      </c>
      <c r="E625" t="s">
        <v>9</v>
      </c>
      <c r="F625" t="s">
        <v>15</v>
      </c>
      <c r="G625">
        <v>34617.84</v>
      </c>
      <c r="H625" s="11" t="str" cm="1">
        <f t="array" ref="H625">_xlfn.IFS(Table1[[#This Row],[age]]&lt;=30,"Young Adults",Table1[[#This Row],[age]]&lt;=45,"Adults",Table1[[#This Row],[age]]&lt;=60,"Seniors",Table1[[#This Row],[age]]&gt;=61,"Elderly")</f>
        <v>Young Adults</v>
      </c>
    </row>
    <row r="626" spans="1:8">
      <c r="A626">
        <v>59</v>
      </c>
      <c r="B626" t="s">
        <v>11</v>
      </c>
      <c r="C626">
        <v>28.785</v>
      </c>
      <c r="D626">
        <v>0</v>
      </c>
      <c r="E626" t="s">
        <v>12</v>
      </c>
      <c r="F626" t="s">
        <v>14</v>
      </c>
      <c r="G626">
        <v>12129.61</v>
      </c>
      <c r="H626" s="11" t="str" cm="1">
        <f t="array" ref="H626">_xlfn.IFS(Table1[[#This Row],[age]]&lt;=30,"Young Adults",Table1[[#This Row],[age]]&lt;=45,"Adults",Table1[[#This Row],[age]]&lt;=60,"Seniors",Table1[[#This Row],[age]]&gt;=61,"Elderly")</f>
        <v>Seniors</v>
      </c>
    </row>
    <row r="627" spans="1:8">
      <c r="A627">
        <v>29</v>
      </c>
      <c r="B627" t="s">
        <v>8</v>
      </c>
      <c r="C627">
        <v>26.03</v>
      </c>
      <c r="D627">
        <v>0</v>
      </c>
      <c r="E627" t="s">
        <v>12</v>
      </c>
      <c r="F627" t="s">
        <v>14</v>
      </c>
      <c r="G627">
        <v>3736.46</v>
      </c>
      <c r="H627" s="11" t="str" cm="1">
        <f t="array" ref="H627">_xlfn.IFS(Table1[[#This Row],[age]]&lt;=30,"Young Adults",Table1[[#This Row],[age]]&lt;=45,"Adults",Table1[[#This Row],[age]]&lt;=60,"Seniors",Table1[[#This Row],[age]]&gt;=61,"Elderly")</f>
        <v>Young Adults</v>
      </c>
    </row>
    <row r="628" spans="1:8">
      <c r="A628">
        <v>36</v>
      </c>
      <c r="B628" t="s">
        <v>11</v>
      </c>
      <c r="C628">
        <v>28.88</v>
      </c>
      <c r="D628">
        <v>3</v>
      </c>
      <c r="E628" t="s">
        <v>12</v>
      </c>
      <c r="F628" t="s">
        <v>15</v>
      </c>
      <c r="G628">
        <v>6748.59</v>
      </c>
      <c r="H628" s="11" t="str" cm="1">
        <f t="array" ref="H628">_xlfn.IFS(Table1[[#This Row],[age]]&lt;=30,"Young Adults",Table1[[#This Row],[age]]&lt;=45,"Adults",Table1[[#This Row],[age]]&lt;=60,"Seniors",Table1[[#This Row],[age]]&gt;=61,"Elderly")</f>
        <v>Adults</v>
      </c>
    </row>
    <row r="629" spans="1:8">
      <c r="A629">
        <v>33</v>
      </c>
      <c r="B629" t="s">
        <v>11</v>
      </c>
      <c r="C629">
        <v>42.46</v>
      </c>
      <c r="D629">
        <v>1</v>
      </c>
      <c r="E629" t="s">
        <v>12</v>
      </c>
      <c r="F629" t="s">
        <v>13</v>
      </c>
      <c r="G629">
        <v>11326.71</v>
      </c>
      <c r="H629" s="11" t="str" cm="1">
        <f t="array" ref="H629">_xlfn.IFS(Table1[[#This Row],[age]]&lt;=30,"Young Adults",Table1[[#This Row],[age]]&lt;=45,"Adults",Table1[[#This Row],[age]]&lt;=60,"Seniors",Table1[[#This Row],[age]]&gt;=61,"Elderly")</f>
        <v>Adults</v>
      </c>
    </row>
    <row r="630" spans="1:8">
      <c r="A630">
        <v>58</v>
      </c>
      <c r="B630" t="s">
        <v>11</v>
      </c>
      <c r="C630">
        <v>38</v>
      </c>
      <c r="D630">
        <v>0</v>
      </c>
      <c r="E630" t="s">
        <v>12</v>
      </c>
      <c r="F630" t="s">
        <v>10</v>
      </c>
      <c r="G630">
        <v>11365.95</v>
      </c>
      <c r="H630" s="11" t="str" cm="1">
        <f t="array" ref="H630">_xlfn.IFS(Table1[[#This Row],[age]]&lt;=30,"Young Adults",Table1[[#This Row],[age]]&lt;=45,"Adults",Table1[[#This Row],[age]]&lt;=60,"Seniors",Table1[[#This Row],[age]]&gt;=61,"Elderly")</f>
        <v>Seniors</v>
      </c>
    </row>
    <row r="631" spans="1:8">
      <c r="A631">
        <v>44</v>
      </c>
      <c r="B631" t="s">
        <v>8</v>
      </c>
      <c r="C631">
        <v>38.95</v>
      </c>
      <c r="D631">
        <v>0</v>
      </c>
      <c r="E631" t="s">
        <v>9</v>
      </c>
      <c r="F631" t="s">
        <v>14</v>
      </c>
      <c r="G631">
        <v>42983.46</v>
      </c>
      <c r="H631" s="11" t="str" cm="1">
        <f t="array" ref="H631">_xlfn.IFS(Table1[[#This Row],[age]]&lt;=30,"Young Adults",Table1[[#This Row],[age]]&lt;=45,"Adults",Table1[[#This Row],[age]]&lt;=60,"Seniors",Table1[[#This Row],[age]]&gt;=61,"Elderly")</f>
        <v>Adults</v>
      </c>
    </row>
    <row r="632" spans="1:8">
      <c r="A632">
        <v>53</v>
      </c>
      <c r="B632" t="s">
        <v>11</v>
      </c>
      <c r="C632">
        <v>36.1</v>
      </c>
      <c r="D632">
        <v>1</v>
      </c>
      <c r="E632" t="s">
        <v>12</v>
      </c>
      <c r="F632" t="s">
        <v>10</v>
      </c>
      <c r="G632">
        <v>10085.85</v>
      </c>
      <c r="H632" s="11" t="str" cm="1">
        <f t="array" ref="H632">_xlfn.IFS(Table1[[#This Row],[age]]&lt;=30,"Young Adults",Table1[[#This Row],[age]]&lt;=45,"Adults",Table1[[#This Row],[age]]&lt;=60,"Seniors",Table1[[#This Row],[age]]&gt;=61,"Elderly")</f>
        <v>Seniors</v>
      </c>
    </row>
    <row r="633" spans="1:8">
      <c r="A633">
        <v>24</v>
      </c>
      <c r="B633" t="s">
        <v>11</v>
      </c>
      <c r="C633">
        <v>29.3</v>
      </c>
      <c r="D633">
        <v>0</v>
      </c>
      <c r="E633" t="s">
        <v>12</v>
      </c>
      <c r="F633" t="s">
        <v>10</v>
      </c>
      <c r="G633">
        <v>1977.82</v>
      </c>
      <c r="H633" s="11" t="str" cm="1">
        <f t="array" ref="H633">_xlfn.IFS(Table1[[#This Row],[age]]&lt;=30,"Young Adults",Table1[[#This Row],[age]]&lt;=45,"Adults",Table1[[#This Row],[age]]&lt;=60,"Seniors",Table1[[#This Row],[age]]&gt;=61,"Elderly")</f>
        <v>Young Adults</v>
      </c>
    </row>
    <row r="634" spans="1:8">
      <c r="A634">
        <v>29</v>
      </c>
      <c r="B634" t="s">
        <v>8</v>
      </c>
      <c r="C634">
        <v>35.53</v>
      </c>
      <c r="D634">
        <v>0</v>
      </c>
      <c r="E634" t="s">
        <v>12</v>
      </c>
      <c r="F634" t="s">
        <v>13</v>
      </c>
      <c r="G634">
        <v>3366.67</v>
      </c>
      <c r="H634" s="11" t="str" cm="1">
        <f t="array" ref="H634">_xlfn.IFS(Table1[[#This Row],[age]]&lt;=30,"Young Adults",Table1[[#This Row],[age]]&lt;=45,"Adults",Table1[[#This Row],[age]]&lt;=60,"Seniors",Table1[[#This Row],[age]]&gt;=61,"Elderly")</f>
        <v>Young Adults</v>
      </c>
    </row>
    <row r="635" spans="1:8">
      <c r="A635">
        <v>40</v>
      </c>
      <c r="B635" t="s">
        <v>11</v>
      </c>
      <c r="C635">
        <v>22.705</v>
      </c>
      <c r="D635">
        <v>2</v>
      </c>
      <c r="E635" t="s">
        <v>12</v>
      </c>
      <c r="F635" t="s">
        <v>15</v>
      </c>
      <c r="G635">
        <v>7173.36</v>
      </c>
      <c r="H635" s="11" t="str" cm="1">
        <f t="array" ref="H635">_xlfn.IFS(Table1[[#This Row],[age]]&lt;=30,"Young Adults",Table1[[#This Row],[age]]&lt;=45,"Adults",Table1[[#This Row],[age]]&lt;=60,"Seniors",Table1[[#This Row],[age]]&gt;=61,"Elderly")</f>
        <v>Adults</v>
      </c>
    </row>
    <row r="636" spans="1:8">
      <c r="A636">
        <v>51</v>
      </c>
      <c r="B636" t="s">
        <v>11</v>
      </c>
      <c r="C636">
        <v>39.7</v>
      </c>
      <c r="D636">
        <v>1</v>
      </c>
      <c r="E636" t="s">
        <v>12</v>
      </c>
      <c r="F636" t="s">
        <v>10</v>
      </c>
      <c r="G636">
        <v>9391.35</v>
      </c>
      <c r="H636" s="11" t="str" cm="1">
        <f t="array" ref="H636">_xlfn.IFS(Table1[[#This Row],[age]]&lt;=30,"Young Adults",Table1[[#This Row],[age]]&lt;=45,"Adults",Table1[[#This Row],[age]]&lt;=60,"Seniors",Table1[[#This Row],[age]]&gt;=61,"Elderly")</f>
        <v>Seniors</v>
      </c>
    </row>
    <row r="637" spans="1:8">
      <c r="A637">
        <v>64</v>
      </c>
      <c r="B637" t="s">
        <v>11</v>
      </c>
      <c r="C637">
        <v>38.19</v>
      </c>
      <c r="D637">
        <v>0</v>
      </c>
      <c r="E637" t="s">
        <v>12</v>
      </c>
      <c r="F637" t="s">
        <v>15</v>
      </c>
      <c r="G637">
        <v>14410.93</v>
      </c>
      <c r="H637" s="11" t="str" cm="1">
        <f t="array" ref="H637">_xlfn.IFS(Table1[[#This Row],[age]]&lt;=30,"Young Adults",Table1[[#This Row],[age]]&lt;=45,"Adults",Table1[[#This Row],[age]]&lt;=60,"Seniors",Table1[[#This Row],[age]]&gt;=61,"Elderly")</f>
        <v>Elderly</v>
      </c>
    </row>
    <row r="638" spans="1:8">
      <c r="A638">
        <v>19</v>
      </c>
      <c r="B638" t="s">
        <v>8</v>
      </c>
      <c r="C638">
        <v>24.51</v>
      </c>
      <c r="D638">
        <v>1</v>
      </c>
      <c r="E638" t="s">
        <v>12</v>
      </c>
      <c r="F638" t="s">
        <v>14</v>
      </c>
      <c r="G638">
        <v>2709.11</v>
      </c>
      <c r="H638" s="11" t="str" cm="1">
        <f t="array" ref="H638">_xlfn.IFS(Table1[[#This Row],[age]]&lt;=30,"Young Adults",Table1[[#This Row],[age]]&lt;=45,"Adults",Table1[[#This Row],[age]]&lt;=60,"Seniors",Table1[[#This Row],[age]]&gt;=61,"Elderly")</f>
        <v>Young Adults</v>
      </c>
    </row>
    <row r="639" spans="1:8">
      <c r="A639">
        <v>35</v>
      </c>
      <c r="B639" t="s">
        <v>8</v>
      </c>
      <c r="C639">
        <v>38.095</v>
      </c>
      <c r="D639">
        <v>2</v>
      </c>
      <c r="E639" t="s">
        <v>12</v>
      </c>
      <c r="F639" t="s">
        <v>15</v>
      </c>
      <c r="G639">
        <v>24915.05</v>
      </c>
      <c r="H639" s="11" t="str" cm="1">
        <f t="array" ref="H639">_xlfn.IFS(Table1[[#This Row],[age]]&lt;=30,"Young Adults",Table1[[#This Row],[age]]&lt;=45,"Adults",Table1[[#This Row],[age]]&lt;=60,"Seniors",Table1[[#This Row],[age]]&gt;=61,"Elderly")</f>
        <v>Adults</v>
      </c>
    </row>
    <row r="640" spans="1:8">
      <c r="A640">
        <v>39</v>
      </c>
      <c r="B640" t="s">
        <v>11</v>
      </c>
      <c r="C640">
        <v>26.41</v>
      </c>
      <c r="D640">
        <v>0</v>
      </c>
      <c r="E640" t="s">
        <v>9</v>
      </c>
      <c r="F640" t="s">
        <v>15</v>
      </c>
      <c r="G640">
        <v>20149.32</v>
      </c>
      <c r="H640" s="11" t="str" cm="1">
        <f t="array" ref="H640">_xlfn.IFS(Table1[[#This Row],[age]]&lt;=30,"Young Adults",Table1[[#This Row],[age]]&lt;=45,"Adults",Table1[[#This Row],[age]]&lt;=60,"Seniors",Table1[[#This Row],[age]]&gt;=61,"Elderly")</f>
        <v>Adults</v>
      </c>
    </row>
    <row r="641" spans="1:8">
      <c r="A641">
        <v>56</v>
      </c>
      <c r="B641" t="s">
        <v>11</v>
      </c>
      <c r="C641">
        <v>33.66</v>
      </c>
      <c r="D641">
        <v>4</v>
      </c>
      <c r="E641" t="s">
        <v>12</v>
      </c>
      <c r="F641" t="s">
        <v>13</v>
      </c>
      <c r="G641">
        <v>12949.16</v>
      </c>
      <c r="H641" s="11" t="str" cm="1">
        <f t="array" ref="H641">_xlfn.IFS(Table1[[#This Row],[age]]&lt;=30,"Young Adults",Table1[[#This Row],[age]]&lt;=45,"Adults",Table1[[#This Row],[age]]&lt;=60,"Seniors",Table1[[#This Row],[age]]&gt;=61,"Elderly")</f>
        <v>Seniors</v>
      </c>
    </row>
    <row r="642" spans="1:8">
      <c r="A642">
        <v>33</v>
      </c>
      <c r="B642" t="s">
        <v>11</v>
      </c>
      <c r="C642">
        <v>42.4</v>
      </c>
      <c r="D642">
        <v>5</v>
      </c>
      <c r="E642" t="s">
        <v>12</v>
      </c>
      <c r="F642" t="s">
        <v>10</v>
      </c>
      <c r="G642">
        <v>6666.24</v>
      </c>
      <c r="H642" s="11" t="str" cm="1">
        <f t="array" ref="H642">_xlfn.IFS(Table1[[#This Row],[age]]&lt;=30,"Young Adults",Table1[[#This Row],[age]]&lt;=45,"Adults",Table1[[#This Row],[age]]&lt;=60,"Seniors",Table1[[#This Row],[age]]&gt;=61,"Elderly")</f>
        <v>Adults</v>
      </c>
    </row>
    <row r="643" spans="1:8">
      <c r="A643">
        <v>42</v>
      </c>
      <c r="B643" t="s">
        <v>11</v>
      </c>
      <c r="C643">
        <v>28.31</v>
      </c>
      <c r="D643">
        <v>3</v>
      </c>
      <c r="E643" t="s">
        <v>9</v>
      </c>
      <c r="F643" t="s">
        <v>14</v>
      </c>
      <c r="G643">
        <v>32787.46</v>
      </c>
      <c r="H643" s="11" t="str" cm="1">
        <f t="array" ref="H643">_xlfn.IFS(Table1[[#This Row],[age]]&lt;=30,"Young Adults",Table1[[#This Row],[age]]&lt;=45,"Adults",Table1[[#This Row],[age]]&lt;=60,"Seniors",Table1[[#This Row],[age]]&gt;=61,"Elderly")</f>
        <v>Adults</v>
      </c>
    </row>
    <row r="644" spans="1:8">
      <c r="A644">
        <v>61</v>
      </c>
      <c r="B644" t="s">
        <v>11</v>
      </c>
      <c r="C644">
        <v>33.915</v>
      </c>
      <c r="D644">
        <v>0</v>
      </c>
      <c r="E644" t="s">
        <v>12</v>
      </c>
      <c r="F644" t="s">
        <v>15</v>
      </c>
      <c r="G644">
        <v>13143.86</v>
      </c>
      <c r="H644" s="11" t="str" cm="1">
        <f t="array" ref="H644">_xlfn.IFS(Table1[[#This Row],[age]]&lt;=30,"Young Adults",Table1[[#This Row],[age]]&lt;=45,"Adults",Table1[[#This Row],[age]]&lt;=60,"Seniors",Table1[[#This Row],[age]]&gt;=61,"Elderly")</f>
        <v>Elderly</v>
      </c>
    </row>
    <row r="645" spans="1:8">
      <c r="A645">
        <v>23</v>
      </c>
      <c r="B645" t="s">
        <v>8</v>
      </c>
      <c r="C645">
        <v>34.96</v>
      </c>
      <c r="D645">
        <v>3</v>
      </c>
      <c r="E645" t="s">
        <v>12</v>
      </c>
      <c r="F645" t="s">
        <v>14</v>
      </c>
      <c r="G645">
        <v>4466.62</v>
      </c>
      <c r="H645" s="11" t="str" cm="1">
        <f t="array" ref="H645">_xlfn.IFS(Table1[[#This Row],[age]]&lt;=30,"Young Adults",Table1[[#This Row],[age]]&lt;=45,"Adults",Table1[[#This Row],[age]]&lt;=60,"Seniors",Table1[[#This Row],[age]]&gt;=61,"Elderly")</f>
        <v>Young Adults</v>
      </c>
    </row>
    <row r="646" spans="1:8">
      <c r="A646">
        <v>43</v>
      </c>
      <c r="B646" t="s">
        <v>11</v>
      </c>
      <c r="C646">
        <v>35.31</v>
      </c>
      <c r="D646">
        <v>2</v>
      </c>
      <c r="E646" t="s">
        <v>12</v>
      </c>
      <c r="F646" t="s">
        <v>13</v>
      </c>
      <c r="G646">
        <v>18806.15</v>
      </c>
      <c r="H646" s="11" t="str" cm="1">
        <f t="array" ref="H646">_xlfn.IFS(Table1[[#This Row],[age]]&lt;=30,"Young Adults",Table1[[#This Row],[age]]&lt;=45,"Adults",Table1[[#This Row],[age]]&lt;=60,"Seniors",Table1[[#This Row],[age]]&gt;=61,"Elderly")</f>
        <v>Adults</v>
      </c>
    </row>
    <row r="647" spans="1:8">
      <c r="A647">
        <v>48</v>
      </c>
      <c r="B647" t="s">
        <v>11</v>
      </c>
      <c r="C647">
        <v>30.78</v>
      </c>
      <c r="D647">
        <v>3</v>
      </c>
      <c r="E647" t="s">
        <v>12</v>
      </c>
      <c r="F647" t="s">
        <v>15</v>
      </c>
      <c r="G647">
        <v>10141.14</v>
      </c>
      <c r="H647" s="11" t="str" cm="1">
        <f t="array" ref="H647">_xlfn.IFS(Table1[[#This Row],[age]]&lt;=30,"Young Adults",Table1[[#This Row],[age]]&lt;=45,"Adults",Table1[[#This Row],[age]]&lt;=60,"Seniors",Table1[[#This Row],[age]]&gt;=61,"Elderly")</f>
        <v>Seniors</v>
      </c>
    </row>
    <row r="648" spans="1:8">
      <c r="A648">
        <v>39</v>
      </c>
      <c r="B648" t="s">
        <v>11</v>
      </c>
      <c r="C648">
        <v>26.22</v>
      </c>
      <c r="D648">
        <v>1</v>
      </c>
      <c r="E648" t="s">
        <v>12</v>
      </c>
      <c r="F648" t="s">
        <v>14</v>
      </c>
      <c r="G648">
        <v>6123.57</v>
      </c>
      <c r="H648" s="11" t="str" cm="1">
        <f t="array" ref="H648">_xlfn.IFS(Table1[[#This Row],[age]]&lt;=30,"Young Adults",Table1[[#This Row],[age]]&lt;=45,"Adults",Table1[[#This Row],[age]]&lt;=60,"Seniors",Table1[[#This Row],[age]]&gt;=61,"Elderly")</f>
        <v>Adults</v>
      </c>
    </row>
    <row r="649" spans="1:8">
      <c r="A649">
        <v>40</v>
      </c>
      <c r="B649" t="s">
        <v>8</v>
      </c>
      <c r="C649">
        <v>23.37</v>
      </c>
      <c r="D649">
        <v>3</v>
      </c>
      <c r="E649" t="s">
        <v>12</v>
      </c>
      <c r="F649" t="s">
        <v>15</v>
      </c>
      <c r="G649">
        <v>8252.28</v>
      </c>
      <c r="H649" s="11" t="str" cm="1">
        <f t="array" ref="H649">_xlfn.IFS(Table1[[#This Row],[age]]&lt;=30,"Young Adults",Table1[[#This Row],[age]]&lt;=45,"Adults",Table1[[#This Row],[age]]&lt;=60,"Seniors",Table1[[#This Row],[age]]&gt;=61,"Elderly")</f>
        <v>Adults</v>
      </c>
    </row>
    <row r="650" spans="1:8">
      <c r="A650">
        <v>18</v>
      </c>
      <c r="B650" t="s">
        <v>11</v>
      </c>
      <c r="C650">
        <v>28.5</v>
      </c>
      <c r="D650">
        <v>0</v>
      </c>
      <c r="E650" t="s">
        <v>12</v>
      </c>
      <c r="F650" t="s">
        <v>15</v>
      </c>
      <c r="G650">
        <v>1712.23</v>
      </c>
      <c r="H650" s="11" t="str" cm="1">
        <f t="array" ref="H650">_xlfn.IFS(Table1[[#This Row],[age]]&lt;=30,"Young Adults",Table1[[#This Row],[age]]&lt;=45,"Adults",Table1[[#This Row],[age]]&lt;=60,"Seniors",Table1[[#This Row],[age]]&gt;=61,"Elderly")</f>
        <v>Young Adults</v>
      </c>
    </row>
    <row r="651" spans="1:8">
      <c r="A651">
        <v>58</v>
      </c>
      <c r="B651" t="s">
        <v>8</v>
      </c>
      <c r="C651">
        <v>32.965</v>
      </c>
      <c r="D651">
        <v>0</v>
      </c>
      <c r="E651" t="s">
        <v>12</v>
      </c>
      <c r="F651" t="s">
        <v>15</v>
      </c>
      <c r="G651">
        <v>12430.95</v>
      </c>
      <c r="H651" s="11" t="str" cm="1">
        <f t="array" ref="H651">_xlfn.IFS(Table1[[#This Row],[age]]&lt;=30,"Young Adults",Table1[[#This Row],[age]]&lt;=45,"Adults",Table1[[#This Row],[age]]&lt;=60,"Seniors",Table1[[#This Row],[age]]&gt;=61,"Elderly")</f>
        <v>Seniors</v>
      </c>
    </row>
    <row r="652" spans="1:8">
      <c r="A652">
        <v>49</v>
      </c>
      <c r="B652" t="s">
        <v>8</v>
      </c>
      <c r="C652">
        <v>42.68</v>
      </c>
      <c r="D652">
        <v>2</v>
      </c>
      <c r="E652" t="s">
        <v>12</v>
      </c>
      <c r="F652" t="s">
        <v>13</v>
      </c>
      <c r="G652">
        <v>9800.89</v>
      </c>
      <c r="H652" s="11" t="str" cm="1">
        <f t="array" ref="H652">_xlfn.IFS(Table1[[#This Row],[age]]&lt;=30,"Young Adults",Table1[[#This Row],[age]]&lt;=45,"Adults",Table1[[#This Row],[age]]&lt;=60,"Seniors",Table1[[#This Row],[age]]&gt;=61,"Elderly")</f>
        <v>Seniors</v>
      </c>
    </row>
    <row r="653" spans="1:8">
      <c r="A653">
        <v>53</v>
      </c>
      <c r="B653" t="s">
        <v>8</v>
      </c>
      <c r="C653">
        <v>39.6</v>
      </c>
      <c r="D653">
        <v>1</v>
      </c>
      <c r="E653" t="s">
        <v>12</v>
      </c>
      <c r="F653" t="s">
        <v>13</v>
      </c>
      <c r="G653">
        <v>10579.71</v>
      </c>
      <c r="H653" s="11" t="str" cm="1">
        <f t="array" ref="H653">_xlfn.IFS(Table1[[#This Row],[age]]&lt;=30,"Young Adults",Table1[[#This Row],[age]]&lt;=45,"Adults",Table1[[#This Row],[age]]&lt;=60,"Seniors",Table1[[#This Row],[age]]&gt;=61,"Elderly")</f>
        <v>Seniors</v>
      </c>
    </row>
    <row r="654" spans="1:8">
      <c r="A654">
        <v>48</v>
      </c>
      <c r="B654" t="s">
        <v>8</v>
      </c>
      <c r="C654">
        <v>31.13</v>
      </c>
      <c r="D654">
        <v>0</v>
      </c>
      <c r="E654" t="s">
        <v>12</v>
      </c>
      <c r="F654" t="s">
        <v>13</v>
      </c>
      <c r="G654">
        <v>8280.62</v>
      </c>
      <c r="H654" s="11" t="str" cm="1">
        <f t="array" ref="H654">_xlfn.IFS(Table1[[#This Row],[age]]&lt;=30,"Young Adults",Table1[[#This Row],[age]]&lt;=45,"Adults",Table1[[#This Row],[age]]&lt;=60,"Seniors",Table1[[#This Row],[age]]&gt;=61,"Elderly")</f>
        <v>Seniors</v>
      </c>
    </row>
    <row r="655" spans="1:8">
      <c r="A655">
        <v>45</v>
      </c>
      <c r="B655" t="s">
        <v>8</v>
      </c>
      <c r="C655">
        <v>36.3</v>
      </c>
      <c r="D655">
        <v>2</v>
      </c>
      <c r="E655" t="s">
        <v>12</v>
      </c>
      <c r="F655" t="s">
        <v>13</v>
      </c>
      <c r="G655">
        <v>8527.53</v>
      </c>
      <c r="H655" s="11" t="str" cm="1">
        <f t="array" ref="H655">_xlfn.IFS(Table1[[#This Row],[age]]&lt;=30,"Young Adults",Table1[[#This Row],[age]]&lt;=45,"Adults",Table1[[#This Row],[age]]&lt;=60,"Seniors",Table1[[#This Row],[age]]&gt;=61,"Elderly")</f>
        <v>Adults</v>
      </c>
    </row>
    <row r="656" spans="1:8">
      <c r="A656">
        <v>59</v>
      </c>
      <c r="B656" t="s">
        <v>8</v>
      </c>
      <c r="C656">
        <v>35.2</v>
      </c>
      <c r="D656">
        <v>0</v>
      </c>
      <c r="E656" t="s">
        <v>12</v>
      </c>
      <c r="F656" t="s">
        <v>13</v>
      </c>
      <c r="G656">
        <v>12244.53</v>
      </c>
      <c r="H656" s="11" t="str" cm="1">
        <f t="array" ref="H656">_xlfn.IFS(Table1[[#This Row],[age]]&lt;=30,"Young Adults",Table1[[#This Row],[age]]&lt;=45,"Adults",Table1[[#This Row],[age]]&lt;=60,"Seniors",Table1[[#This Row],[age]]&gt;=61,"Elderly")</f>
        <v>Seniors</v>
      </c>
    </row>
    <row r="657" spans="1:8">
      <c r="A657">
        <v>52</v>
      </c>
      <c r="B657" t="s">
        <v>8</v>
      </c>
      <c r="C657">
        <v>25.3</v>
      </c>
      <c r="D657">
        <v>2</v>
      </c>
      <c r="E657" t="s">
        <v>9</v>
      </c>
      <c r="F657" t="s">
        <v>13</v>
      </c>
      <c r="G657">
        <v>24667.42</v>
      </c>
      <c r="H657" s="11" t="str" cm="1">
        <f t="array" ref="H657">_xlfn.IFS(Table1[[#This Row],[age]]&lt;=30,"Young Adults",Table1[[#This Row],[age]]&lt;=45,"Adults",Table1[[#This Row],[age]]&lt;=60,"Seniors",Table1[[#This Row],[age]]&gt;=61,"Elderly")</f>
        <v>Seniors</v>
      </c>
    </row>
    <row r="658" spans="1:8">
      <c r="A658">
        <v>26</v>
      </c>
      <c r="B658" t="s">
        <v>8</v>
      </c>
      <c r="C658">
        <v>42.4</v>
      </c>
      <c r="D658">
        <v>1</v>
      </c>
      <c r="E658" t="s">
        <v>12</v>
      </c>
      <c r="F658" t="s">
        <v>10</v>
      </c>
      <c r="G658">
        <v>3410.32</v>
      </c>
      <c r="H658" s="11" t="str" cm="1">
        <f t="array" ref="H658">_xlfn.IFS(Table1[[#This Row],[age]]&lt;=30,"Young Adults",Table1[[#This Row],[age]]&lt;=45,"Adults",Table1[[#This Row],[age]]&lt;=60,"Seniors",Table1[[#This Row],[age]]&gt;=61,"Elderly")</f>
        <v>Young Adults</v>
      </c>
    </row>
    <row r="659" spans="1:8">
      <c r="A659">
        <v>27</v>
      </c>
      <c r="B659" t="s">
        <v>11</v>
      </c>
      <c r="C659">
        <v>33.155</v>
      </c>
      <c r="D659">
        <v>2</v>
      </c>
      <c r="E659" t="s">
        <v>12</v>
      </c>
      <c r="F659" t="s">
        <v>14</v>
      </c>
      <c r="G659">
        <v>4058.71</v>
      </c>
      <c r="H659" s="11" t="str" cm="1">
        <f t="array" ref="H659">_xlfn.IFS(Table1[[#This Row],[age]]&lt;=30,"Young Adults",Table1[[#This Row],[age]]&lt;=45,"Adults",Table1[[#This Row],[age]]&lt;=60,"Seniors",Table1[[#This Row],[age]]&gt;=61,"Elderly")</f>
        <v>Young Adults</v>
      </c>
    </row>
    <row r="660" spans="1:8">
      <c r="A660">
        <v>48</v>
      </c>
      <c r="B660" t="s">
        <v>8</v>
      </c>
      <c r="C660">
        <v>35.91</v>
      </c>
      <c r="D660">
        <v>1</v>
      </c>
      <c r="E660" t="s">
        <v>12</v>
      </c>
      <c r="F660" t="s">
        <v>15</v>
      </c>
      <c r="G660">
        <v>26392.26</v>
      </c>
      <c r="H660" s="11" t="str" cm="1">
        <f t="array" ref="H660">_xlfn.IFS(Table1[[#This Row],[age]]&lt;=30,"Young Adults",Table1[[#This Row],[age]]&lt;=45,"Adults",Table1[[#This Row],[age]]&lt;=60,"Seniors",Table1[[#This Row],[age]]&gt;=61,"Elderly")</f>
        <v>Seniors</v>
      </c>
    </row>
    <row r="661" spans="1:8">
      <c r="A661">
        <v>57</v>
      </c>
      <c r="B661" t="s">
        <v>8</v>
      </c>
      <c r="C661">
        <v>28.785</v>
      </c>
      <c r="D661">
        <v>4</v>
      </c>
      <c r="E661" t="s">
        <v>12</v>
      </c>
      <c r="F661" t="s">
        <v>15</v>
      </c>
      <c r="G661">
        <v>14394.4</v>
      </c>
      <c r="H661" s="11" t="str" cm="1">
        <f t="array" ref="H661">_xlfn.IFS(Table1[[#This Row],[age]]&lt;=30,"Young Adults",Table1[[#This Row],[age]]&lt;=45,"Adults",Table1[[#This Row],[age]]&lt;=60,"Seniors",Table1[[#This Row],[age]]&gt;=61,"Elderly")</f>
        <v>Seniors</v>
      </c>
    </row>
    <row r="662" spans="1:8">
      <c r="A662">
        <v>37</v>
      </c>
      <c r="B662" t="s">
        <v>11</v>
      </c>
      <c r="C662">
        <v>46.53</v>
      </c>
      <c r="D662">
        <v>3</v>
      </c>
      <c r="E662" t="s">
        <v>12</v>
      </c>
      <c r="F662" t="s">
        <v>13</v>
      </c>
      <c r="G662">
        <v>6435.62</v>
      </c>
      <c r="H662" s="11" t="str" cm="1">
        <f t="array" ref="H662">_xlfn.IFS(Table1[[#This Row],[age]]&lt;=30,"Young Adults",Table1[[#This Row],[age]]&lt;=45,"Adults",Table1[[#This Row],[age]]&lt;=60,"Seniors",Table1[[#This Row],[age]]&gt;=61,"Elderly")</f>
        <v>Adults</v>
      </c>
    </row>
    <row r="663" spans="1:8">
      <c r="A663">
        <v>57</v>
      </c>
      <c r="B663" t="s">
        <v>8</v>
      </c>
      <c r="C663">
        <v>23.98</v>
      </c>
      <c r="D663">
        <v>1</v>
      </c>
      <c r="E663" t="s">
        <v>12</v>
      </c>
      <c r="F663" t="s">
        <v>13</v>
      </c>
      <c r="G663">
        <v>22192.44</v>
      </c>
      <c r="H663" s="11" t="str" cm="1">
        <f t="array" ref="H663">_xlfn.IFS(Table1[[#This Row],[age]]&lt;=30,"Young Adults",Table1[[#This Row],[age]]&lt;=45,"Adults",Table1[[#This Row],[age]]&lt;=60,"Seniors",Table1[[#This Row],[age]]&gt;=61,"Elderly")</f>
        <v>Seniors</v>
      </c>
    </row>
    <row r="664" spans="1:8">
      <c r="A664">
        <v>32</v>
      </c>
      <c r="B664" t="s">
        <v>8</v>
      </c>
      <c r="C664">
        <v>31.54</v>
      </c>
      <c r="D664">
        <v>1</v>
      </c>
      <c r="E664" t="s">
        <v>12</v>
      </c>
      <c r="F664" t="s">
        <v>15</v>
      </c>
      <c r="G664">
        <v>5148.55</v>
      </c>
      <c r="H664" s="11" t="str" cm="1">
        <f t="array" ref="H664">_xlfn.IFS(Table1[[#This Row],[age]]&lt;=30,"Young Adults",Table1[[#This Row],[age]]&lt;=45,"Adults",Table1[[#This Row],[age]]&lt;=60,"Seniors",Table1[[#This Row],[age]]&gt;=61,"Elderly")</f>
        <v>Adults</v>
      </c>
    </row>
    <row r="665" spans="1:8">
      <c r="A665">
        <v>18</v>
      </c>
      <c r="B665" t="s">
        <v>11</v>
      </c>
      <c r="C665">
        <v>33.66</v>
      </c>
      <c r="D665">
        <v>0</v>
      </c>
      <c r="E665" t="s">
        <v>12</v>
      </c>
      <c r="F665" t="s">
        <v>13</v>
      </c>
      <c r="G665">
        <v>1136.4</v>
      </c>
      <c r="H665" s="11" t="str" cm="1">
        <f t="array" ref="H665">_xlfn.IFS(Table1[[#This Row],[age]]&lt;=30,"Young Adults",Table1[[#This Row],[age]]&lt;=45,"Adults",Table1[[#This Row],[age]]&lt;=60,"Seniors",Table1[[#This Row],[age]]&gt;=61,"Elderly")</f>
        <v>Young Adults</v>
      </c>
    </row>
    <row r="666" spans="1:8">
      <c r="A666">
        <v>64</v>
      </c>
      <c r="B666" t="s">
        <v>8</v>
      </c>
      <c r="C666">
        <v>22.99</v>
      </c>
      <c r="D666">
        <v>0</v>
      </c>
      <c r="E666" t="s">
        <v>9</v>
      </c>
      <c r="F666" t="s">
        <v>13</v>
      </c>
      <c r="G666">
        <v>27037.91</v>
      </c>
      <c r="H666" s="11" t="str" cm="1">
        <f t="array" ref="H666">_xlfn.IFS(Table1[[#This Row],[age]]&lt;=30,"Young Adults",Table1[[#This Row],[age]]&lt;=45,"Adults",Table1[[#This Row],[age]]&lt;=60,"Seniors",Table1[[#This Row],[age]]&gt;=61,"Elderly")</f>
        <v>Elderly</v>
      </c>
    </row>
    <row r="667" spans="1:8">
      <c r="A667">
        <v>43</v>
      </c>
      <c r="B667" t="s">
        <v>11</v>
      </c>
      <c r="C667">
        <v>38.06</v>
      </c>
      <c r="D667">
        <v>2</v>
      </c>
      <c r="E667" t="s">
        <v>9</v>
      </c>
      <c r="F667" t="s">
        <v>13</v>
      </c>
      <c r="G667">
        <v>42560.43</v>
      </c>
      <c r="H667" s="11" t="str" cm="1">
        <f t="array" ref="H667">_xlfn.IFS(Table1[[#This Row],[age]]&lt;=30,"Young Adults",Table1[[#This Row],[age]]&lt;=45,"Adults",Table1[[#This Row],[age]]&lt;=60,"Seniors",Table1[[#This Row],[age]]&gt;=61,"Elderly")</f>
        <v>Adults</v>
      </c>
    </row>
    <row r="668" spans="1:8">
      <c r="A668">
        <v>49</v>
      </c>
      <c r="B668" t="s">
        <v>11</v>
      </c>
      <c r="C668">
        <v>28.7</v>
      </c>
      <c r="D668">
        <v>1</v>
      </c>
      <c r="E668" t="s">
        <v>12</v>
      </c>
      <c r="F668" t="s">
        <v>10</v>
      </c>
      <c r="G668">
        <v>8703.46</v>
      </c>
      <c r="H668" s="11" t="str" cm="1">
        <f t="array" ref="H668">_xlfn.IFS(Table1[[#This Row],[age]]&lt;=30,"Young Adults",Table1[[#This Row],[age]]&lt;=45,"Adults",Table1[[#This Row],[age]]&lt;=60,"Seniors",Table1[[#This Row],[age]]&gt;=61,"Elderly")</f>
        <v>Seniors</v>
      </c>
    </row>
    <row r="669" spans="1:8">
      <c r="A669">
        <v>40</v>
      </c>
      <c r="B669" t="s">
        <v>8</v>
      </c>
      <c r="C669">
        <v>32.775</v>
      </c>
      <c r="D669">
        <v>2</v>
      </c>
      <c r="E669" t="s">
        <v>9</v>
      </c>
      <c r="F669" t="s">
        <v>14</v>
      </c>
      <c r="G669">
        <v>40003.33</v>
      </c>
      <c r="H669" s="11" t="str" cm="1">
        <f t="array" ref="H669">_xlfn.IFS(Table1[[#This Row],[age]]&lt;=30,"Young Adults",Table1[[#This Row],[age]]&lt;=45,"Adults",Table1[[#This Row],[age]]&lt;=60,"Seniors",Table1[[#This Row],[age]]&gt;=61,"Elderly")</f>
        <v>Adults</v>
      </c>
    </row>
    <row r="670" spans="1:8">
      <c r="A670">
        <v>62</v>
      </c>
      <c r="B670" t="s">
        <v>11</v>
      </c>
      <c r="C670">
        <v>32.015</v>
      </c>
      <c r="D670">
        <v>0</v>
      </c>
      <c r="E670" t="s">
        <v>9</v>
      </c>
      <c r="F670" t="s">
        <v>15</v>
      </c>
      <c r="G670">
        <v>45710.21</v>
      </c>
      <c r="H670" s="11" t="str" cm="1">
        <f t="array" ref="H670">_xlfn.IFS(Table1[[#This Row],[age]]&lt;=30,"Young Adults",Table1[[#This Row],[age]]&lt;=45,"Adults",Table1[[#This Row],[age]]&lt;=60,"Seniors",Table1[[#This Row],[age]]&gt;=61,"Elderly")</f>
        <v>Elderly</v>
      </c>
    </row>
    <row r="671" spans="1:8">
      <c r="A671">
        <v>40</v>
      </c>
      <c r="B671" t="s">
        <v>8</v>
      </c>
      <c r="C671">
        <v>29.81</v>
      </c>
      <c r="D671">
        <v>1</v>
      </c>
      <c r="E671" t="s">
        <v>12</v>
      </c>
      <c r="F671" t="s">
        <v>13</v>
      </c>
      <c r="G671">
        <v>6500.24</v>
      </c>
      <c r="H671" s="11" t="str" cm="1">
        <f t="array" ref="H671">_xlfn.IFS(Table1[[#This Row],[age]]&lt;=30,"Young Adults",Table1[[#This Row],[age]]&lt;=45,"Adults",Table1[[#This Row],[age]]&lt;=60,"Seniors",Table1[[#This Row],[age]]&gt;=61,"Elderly")</f>
        <v>Adults</v>
      </c>
    </row>
    <row r="672" spans="1:8">
      <c r="A672">
        <v>30</v>
      </c>
      <c r="B672" t="s">
        <v>11</v>
      </c>
      <c r="C672">
        <v>31.57</v>
      </c>
      <c r="D672">
        <v>3</v>
      </c>
      <c r="E672" t="s">
        <v>12</v>
      </c>
      <c r="F672" t="s">
        <v>13</v>
      </c>
      <c r="G672">
        <v>4837.58</v>
      </c>
      <c r="H672" s="11" t="str" cm="1">
        <f t="array" ref="H672">_xlfn.IFS(Table1[[#This Row],[age]]&lt;=30,"Young Adults",Table1[[#This Row],[age]]&lt;=45,"Adults",Table1[[#This Row],[age]]&lt;=60,"Seniors",Table1[[#This Row],[age]]&gt;=61,"Elderly")</f>
        <v>Young Adults</v>
      </c>
    </row>
    <row r="673" spans="1:8">
      <c r="A673">
        <v>29</v>
      </c>
      <c r="B673" t="s">
        <v>8</v>
      </c>
      <c r="C673">
        <v>31.16</v>
      </c>
      <c r="D673">
        <v>0</v>
      </c>
      <c r="E673" t="s">
        <v>12</v>
      </c>
      <c r="F673" t="s">
        <v>15</v>
      </c>
      <c r="G673">
        <v>3943.6</v>
      </c>
      <c r="H673" s="11" t="str" cm="1">
        <f t="array" ref="H673">_xlfn.IFS(Table1[[#This Row],[age]]&lt;=30,"Young Adults",Table1[[#This Row],[age]]&lt;=45,"Adults",Table1[[#This Row],[age]]&lt;=60,"Seniors",Table1[[#This Row],[age]]&gt;=61,"Elderly")</f>
        <v>Young Adults</v>
      </c>
    </row>
    <row r="674" spans="1:8">
      <c r="A674">
        <v>36</v>
      </c>
      <c r="B674" t="s">
        <v>11</v>
      </c>
      <c r="C674">
        <v>29.7</v>
      </c>
      <c r="D674">
        <v>0</v>
      </c>
      <c r="E674" t="s">
        <v>12</v>
      </c>
      <c r="F674" t="s">
        <v>13</v>
      </c>
      <c r="G674">
        <v>4399.73</v>
      </c>
      <c r="H674" s="11" t="str" cm="1">
        <f t="array" ref="H674">_xlfn.IFS(Table1[[#This Row],[age]]&lt;=30,"Young Adults",Table1[[#This Row],[age]]&lt;=45,"Adults",Table1[[#This Row],[age]]&lt;=60,"Seniors",Table1[[#This Row],[age]]&gt;=61,"Elderly")</f>
        <v>Adults</v>
      </c>
    </row>
    <row r="675" spans="1:8">
      <c r="A675">
        <v>41</v>
      </c>
      <c r="B675" t="s">
        <v>8</v>
      </c>
      <c r="C675">
        <v>31.02</v>
      </c>
      <c r="D675">
        <v>0</v>
      </c>
      <c r="E675" t="s">
        <v>12</v>
      </c>
      <c r="F675" t="s">
        <v>13</v>
      </c>
      <c r="G675">
        <v>6185.32</v>
      </c>
      <c r="H675" s="11" t="str" cm="1">
        <f t="array" ref="H675">_xlfn.IFS(Table1[[#This Row],[age]]&lt;=30,"Young Adults",Table1[[#This Row],[age]]&lt;=45,"Adults",Table1[[#This Row],[age]]&lt;=60,"Seniors",Table1[[#This Row],[age]]&gt;=61,"Elderly")</f>
        <v>Adults</v>
      </c>
    </row>
    <row r="676" spans="1:8">
      <c r="A676">
        <v>44</v>
      </c>
      <c r="B676" t="s">
        <v>8</v>
      </c>
      <c r="C676">
        <v>43.89</v>
      </c>
      <c r="D676">
        <v>2</v>
      </c>
      <c r="E676" t="s">
        <v>9</v>
      </c>
      <c r="F676" t="s">
        <v>13</v>
      </c>
      <c r="G676">
        <v>46200.99</v>
      </c>
      <c r="H676" s="11" t="str" cm="1">
        <f t="array" ref="H676">_xlfn.IFS(Table1[[#This Row],[age]]&lt;=30,"Young Adults",Table1[[#This Row],[age]]&lt;=45,"Adults",Table1[[#This Row],[age]]&lt;=60,"Seniors",Table1[[#This Row],[age]]&gt;=61,"Elderly")</f>
        <v>Adults</v>
      </c>
    </row>
    <row r="677" spans="1:8">
      <c r="A677">
        <v>45</v>
      </c>
      <c r="B677" t="s">
        <v>11</v>
      </c>
      <c r="C677">
        <v>21.375</v>
      </c>
      <c r="D677">
        <v>0</v>
      </c>
      <c r="E677" t="s">
        <v>12</v>
      </c>
      <c r="F677" t="s">
        <v>14</v>
      </c>
      <c r="G677">
        <v>7222.79</v>
      </c>
      <c r="H677" s="11" t="str" cm="1">
        <f t="array" ref="H677">_xlfn.IFS(Table1[[#This Row],[age]]&lt;=30,"Young Adults",Table1[[#This Row],[age]]&lt;=45,"Adults",Table1[[#This Row],[age]]&lt;=60,"Seniors",Table1[[#This Row],[age]]&gt;=61,"Elderly")</f>
        <v>Adults</v>
      </c>
    </row>
    <row r="678" spans="1:8">
      <c r="A678">
        <v>55</v>
      </c>
      <c r="B678" t="s">
        <v>8</v>
      </c>
      <c r="C678">
        <v>40.81</v>
      </c>
      <c r="D678">
        <v>3</v>
      </c>
      <c r="E678" t="s">
        <v>12</v>
      </c>
      <c r="F678" t="s">
        <v>13</v>
      </c>
      <c r="G678">
        <v>12485.8</v>
      </c>
      <c r="H678" s="11" t="str" cm="1">
        <f t="array" ref="H678">_xlfn.IFS(Table1[[#This Row],[age]]&lt;=30,"Young Adults",Table1[[#This Row],[age]]&lt;=45,"Adults",Table1[[#This Row],[age]]&lt;=60,"Seniors",Table1[[#This Row],[age]]&gt;=61,"Elderly")</f>
        <v>Seniors</v>
      </c>
    </row>
    <row r="679" spans="1:8">
      <c r="A679">
        <v>60</v>
      </c>
      <c r="B679" t="s">
        <v>11</v>
      </c>
      <c r="C679">
        <v>31.35</v>
      </c>
      <c r="D679">
        <v>3</v>
      </c>
      <c r="E679" t="s">
        <v>9</v>
      </c>
      <c r="F679" t="s">
        <v>14</v>
      </c>
      <c r="G679">
        <v>46130.53</v>
      </c>
      <c r="H679" s="11" t="str" cm="1">
        <f t="array" ref="H679">_xlfn.IFS(Table1[[#This Row],[age]]&lt;=30,"Young Adults",Table1[[#This Row],[age]]&lt;=45,"Adults",Table1[[#This Row],[age]]&lt;=60,"Seniors",Table1[[#This Row],[age]]&gt;=61,"Elderly")</f>
        <v>Seniors</v>
      </c>
    </row>
    <row r="680" spans="1:8">
      <c r="A680">
        <v>56</v>
      </c>
      <c r="B680" t="s">
        <v>11</v>
      </c>
      <c r="C680">
        <v>36.1</v>
      </c>
      <c r="D680">
        <v>3</v>
      </c>
      <c r="E680" t="s">
        <v>12</v>
      </c>
      <c r="F680" t="s">
        <v>10</v>
      </c>
      <c r="G680">
        <v>12363.55</v>
      </c>
      <c r="H680" s="11" t="str" cm="1">
        <f t="array" ref="H680">_xlfn.IFS(Table1[[#This Row],[age]]&lt;=30,"Young Adults",Table1[[#This Row],[age]]&lt;=45,"Adults",Table1[[#This Row],[age]]&lt;=60,"Seniors",Table1[[#This Row],[age]]&gt;=61,"Elderly")</f>
        <v>Seniors</v>
      </c>
    </row>
    <row r="681" spans="1:8">
      <c r="A681">
        <v>49</v>
      </c>
      <c r="B681" t="s">
        <v>8</v>
      </c>
      <c r="C681">
        <v>23.18</v>
      </c>
      <c r="D681">
        <v>2</v>
      </c>
      <c r="E681" t="s">
        <v>12</v>
      </c>
      <c r="F681" t="s">
        <v>14</v>
      </c>
      <c r="G681">
        <v>10156.78</v>
      </c>
      <c r="H681" s="11" t="str" cm="1">
        <f t="array" ref="H681">_xlfn.IFS(Table1[[#This Row],[age]]&lt;=30,"Young Adults",Table1[[#This Row],[age]]&lt;=45,"Adults",Table1[[#This Row],[age]]&lt;=60,"Seniors",Table1[[#This Row],[age]]&gt;=61,"Elderly")</f>
        <v>Seniors</v>
      </c>
    </row>
    <row r="682" spans="1:8">
      <c r="A682">
        <v>21</v>
      </c>
      <c r="B682" t="s">
        <v>8</v>
      </c>
      <c r="C682">
        <v>17.4</v>
      </c>
      <c r="D682">
        <v>1</v>
      </c>
      <c r="E682" t="s">
        <v>12</v>
      </c>
      <c r="F682" t="s">
        <v>10</v>
      </c>
      <c r="G682">
        <v>2585.27</v>
      </c>
      <c r="H682" s="11" t="str" cm="1">
        <f t="array" ref="H682">_xlfn.IFS(Table1[[#This Row],[age]]&lt;=30,"Young Adults",Table1[[#This Row],[age]]&lt;=45,"Adults",Table1[[#This Row],[age]]&lt;=60,"Seniors",Table1[[#This Row],[age]]&gt;=61,"Elderly")</f>
        <v>Young Adults</v>
      </c>
    </row>
    <row r="683" spans="1:8">
      <c r="A683">
        <v>19</v>
      </c>
      <c r="B683" t="s">
        <v>11</v>
      </c>
      <c r="C683">
        <v>20.3</v>
      </c>
      <c r="D683">
        <v>0</v>
      </c>
      <c r="E683" t="s">
        <v>12</v>
      </c>
      <c r="F683" t="s">
        <v>10</v>
      </c>
      <c r="G683">
        <v>1242.26</v>
      </c>
      <c r="H683" s="11" t="str" cm="1">
        <f t="array" ref="H683">_xlfn.IFS(Table1[[#This Row],[age]]&lt;=30,"Young Adults",Table1[[#This Row],[age]]&lt;=45,"Adults",Table1[[#This Row],[age]]&lt;=60,"Seniors",Table1[[#This Row],[age]]&gt;=61,"Elderly")</f>
        <v>Young Adults</v>
      </c>
    </row>
    <row r="684" spans="1:8">
      <c r="A684">
        <v>39</v>
      </c>
      <c r="B684" t="s">
        <v>11</v>
      </c>
      <c r="C684">
        <v>35.3</v>
      </c>
      <c r="D684">
        <v>2</v>
      </c>
      <c r="E684" t="s">
        <v>9</v>
      </c>
      <c r="F684" t="s">
        <v>10</v>
      </c>
      <c r="G684">
        <v>40103.89</v>
      </c>
      <c r="H684" s="11" t="str" cm="1">
        <f t="array" ref="H684">_xlfn.IFS(Table1[[#This Row],[age]]&lt;=30,"Young Adults",Table1[[#This Row],[age]]&lt;=45,"Adults",Table1[[#This Row],[age]]&lt;=60,"Seniors",Table1[[#This Row],[age]]&gt;=61,"Elderly")</f>
        <v>Adults</v>
      </c>
    </row>
    <row r="685" spans="1:8">
      <c r="A685">
        <v>53</v>
      </c>
      <c r="B685" t="s">
        <v>11</v>
      </c>
      <c r="C685">
        <v>24.32</v>
      </c>
      <c r="D685">
        <v>0</v>
      </c>
      <c r="E685" t="s">
        <v>12</v>
      </c>
      <c r="F685" t="s">
        <v>14</v>
      </c>
      <c r="G685">
        <v>9863.47</v>
      </c>
      <c r="H685" s="11" t="str" cm="1">
        <f t="array" ref="H685">_xlfn.IFS(Table1[[#This Row],[age]]&lt;=30,"Young Adults",Table1[[#This Row],[age]]&lt;=45,"Adults",Table1[[#This Row],[age]]&lt;=60,"Seniors",Table1[[#This Row],[age]]&gt;=61,"Elderly")</f>
        <v>Seniors</v>
      </c>
    </row>
    <row r="686" spans="1:8">
      <c r="A686">
        <v>33</v>
      </c>
      <c r="B686" t="s">
        <v>8</v>
      </c>
      <c r="C686">
        <v>18.5</v>
      </c>
      <c r="D686">
        <v>1</v>
      </c>
      <c r="E686" t="s">
        <v>12</v>
      </c>
      <c r="F686" t="s">
        <v>10</v>
      </c>
      <c r="G686">
        <v>4766.02</v>
      </c>
      <c r="H686" s="11" t="str" cm="1">
        <f t="array" ref="H686">_xlfn.IFS(Table1[[#This Row],[age]]&lt;=30,"Young Adults",Table1[[#This Row],[age]]&lt;=45,"Adults",Table1[[#This Row],[age]]&lt;=60,"Seniors",Table1[[#This Row],[age]]&gt;=61,"Elderly")</f>
        <v>Adults</v>
      </c>
    </row>
    <row r="687" spans="1:8">
      <c r="A687">
        <v>53</v>
      </c>
      <c r="B687" t="s">
        <v>11</v>
      </c>
      <c r="C687">
        <v>26.41</v>
      </c>
      <c r="D687">
        <v>2</v>
      </c>
      <c r="E687" t="s">
        <v>12</v>
      </c>
      <c r="F687" t="s">
        <v>15</v>
      </c>
      <c r="G687">
        <v>11244.38</v>
      </c>
      <c r="H687" s="11" t="str" cm="1">
        <f t="array" ref="H687">_xlfn.IFS(Table1[[#This Row],[age]]&lt;=30,"Young Adults",Table1[[#This Row],[age]]&lt;=45,"Adults",Table1[[#This Row],[age]]&lt;=60,"Seniors",Table1[[#This Row],[age]]&gt;=61,"Elderly")</f>
        <v>Seniors</v>
      </c>
    </row>
    <row r="688" spans="1:8">
      <c r="A688">
        <v>42</v>
      </c>
      <c r="B688" t="s">
        <v>11</v>
      </c>
      <c r="C688">
        <v>26.125</v>
      </c>
      <c r="D688">
        <v>2</v>
      </c>
      <c r="E688" t="s">
        <v>12</v>
      </c>
      <c r="F688" t="s">
        <v>15</v>
      </c>
      <c r="G688">
        <v>7729.65</v>
      </c>
      <c r="H688" s="11" t="str" cm="1">
        <f t="array" ref="H688">_xlfn.IFS(Table1[[#This Row],[age]]&lt;=30,"Young Adults",Table1[[#This Row],[age]]&lt;=45,"Adults",Table1[[#This Row],[age]]&lt;=60,"Seniors",Table1[[#This Row],[age]]&gt;=61,"Elderly")</f>
        <v>Adults</v>
      </c>
    </row>
    <row r="689" spans="1:8">
      <c r="A689">
        <v>40</v>
      </c>
      <c r="B689" t="s">
        <v>11</v>
      </c>
      <c r="C689">
        <v>41.69</v>
      </c>
      <c r="D689">
        <v>0</v>
      </c>
      <c r="E689" t="s">
        <v>12</v>
      </c>
      <c r="F689" t="s">
        <v>13</v>
      </c>
      <c r="G689">
        <v>5438.75</v>
      </c>
      <c r="H689" s="11" t="str" cm="1">
        <f t="array" ref="H689">_xlfn.IFS(Table1[[#This Row],[age]]&lt;=30,"Young Adults",Table1[[#This Row],[age]]&lt;=45,"Adults",Table1[[#This Row],[age]]&lt;=60,"Seniors",Table1[[#This Row],[age]]&gt;=61,"Elderly")</f>
        <v>Adults</v>
      </c>
    </row>
    <row r="690" spans="1:8">
      <c r="A690">
        <v>47</v>
      </c>
      <c r="B690" t="s">
        <v>8</v>
      </c>
      <c r="C690">
        <v>24.1</v>
      </c>
      <c r="D690">
        <v>1</v>
      </c>
      <c r="E690" t="s">
        <v>12</v>
      </c>
      <c r="F690" t="s">
        <v>10</v>
      </c>
      <c r="G690">
        <v>26236.58</v>
      </c>
      <c r="H690" s="11" t="str" cm="1">
        <f t="array" ref="H690">_xlfn.IFS(Table1[[#This Row],[age]]&lt;=30,"Young Adults",Table1[[#This Row],[age]]&lt;=45,"Adults",Table1[[#This Row],[age]]&lt;=60,"Seniors",Table1[[#This Row],[age]]&gt;=61,"Elderly")</f>
        <v>Seniors</v>
      </c>
    </row>
    <row r="691" spans="1:8">
      <c r="A691">
        <v>27</v>
      </c>
      <c r="B691" t="s">
        <v>11</v>
      </c>
      <c r="C691">
        <v>31.13</v>
      </c>
      <c r="D691">
        <v>1</v>
      </c>
      <c r="E691" t="s">
        <v>9</v>
      </c>
      <c r="F691" t="s">
        <v>13</v>
      </c>
      <c r="G691">
        <v>34806.47</v>
      </c>
      <c r="H691" s="11" t="str" cm="1">
        <f t="array" ref="H691">_xlfn.IFS(Table1[[#This Row],[age]]&lt;=30,"Young Adults",Table1[[#This Row],[age]]&lt;=45,"Adults",Table1[[#This Row],[age]]&lt;=60,"Seniors",Table1[[#This Row],[age]]&gt;=61,"Elderly")</f>
        <v>Young Adults</v>
      </c>
    </row>
    <row r="692" spans="1:8">
      <c r="A692">
        <v>21</v>
      </c>
      <c r="B692" t="s">
        <v>11</v>
      </c>
      <c r="C692">
        <v>27.36</v>
      </c>
      <c r="D692">
        <v>0</v>
      </c>
      <c r="E692" t="s">
        <v>12</v>
      </c>
      <c r="F692" t="s">
        <v>15</v>
      </c>
      <c r="G692">
        <v>2104.11</v>
      </c>
      <c r="H692" s="11" t="str" cm="1">
        <f t="array" ref="H692">_xlfn.IFS(Table1[[#This Row],[age]]&lt;=30,"Young Adults",Table1[[#This Row],[age]]&lt;=45,"Adults",Table1[[#This Row],[age]]&lt;=60,"Seniors",Table1[[#This Row],[age]]&gt;=61,"Elderly")</f>
        <v>Young Adults</v>
      </c>
    </row>
    <row r="693" spans="1:8">
      <c r="A693">
        <v>47</v>
      </c>
      <c r="B693" t="s">
        <v>11</v>
      </c>
      <c r="C693">
        <v>36.2</v>
      </c>
      <c r="D693">
        <v>1</v>
      </c>
      <c r="E693" t="s">
        <v>12</v>
      </c>
      <c r="F693" t="s">
        <v>10</v>
      </c>
      <c r="G693">
        <v>8068.19</v>
      </c>
      <c r="H693" s="11" t="str" cm="1">
        <f t="array" ref="H693">_xlfn.IFS(Table1[[#This Row],[age]]&lt;=30,"Young Adults",Table1[[#This Row],[age]]&lt;=45,"Adults",Table1[[#This Row],[age]]&lt;=60,"Seniors",Table1[[#This Row],[age]]&gt;=61,"Elderly")</f>
        <v>Seniors</v>
      </c>
    </row>
    <row r="694" spans="1:8">
      <c r="A694">
        <v>20</v>
      </c>
      <c r="B694" t="s">
        <v>11</v>
      </c>
      <c r="C694">
        <v>32.395</v>
      </c>
      <c r="D694">
        <v>1</v>
      </c>
      <c r="E694" t="s">
        <v>12</v>
      </c>
      <c r="F694" t="s">
        <v>14</v>
      </c>
      <c r="G694">
        <v>2362.23</v>
      </c>
      <c r="H694" s="11" t="str" cm="1">
        <f t="array" ref="H694">_xlfn.IFS(Table1[[#This Row],[age]]&lt;=30,"Young Adults",Table1[[#This Row],[age]]&lt;=45,"Adults",Table1[[#This Row],[age]]&lt;=60,"Seniors",Table1[[#This Row],[age]]&gt;=61,"Elderly")</f>
        <v>Young Adults</v>
      </c>
    </row>
    <row r="695" spans="1:8">
      <c r="A695">
        <v>24</v>
      </c>
      <c r="B695" t="s">
        <v>11</v>
      </c>
      <c r="C695">
        <v>23.655</v>
      </c>
      <c r="D695">
        <v>0</v>
      </c>
      <c r="E695" t="s">
        <v>12</v>
      </c>
      <c r="F695" t="s">
        <v>14</v>
      </c>
      <c r="G695">
        <v>2352.97</v>
      </c>
      <c r="H695" s="11" t="str" cm="1">
        <f t="array" ref="H695">_xlfn.IFS(Table1[[#This Row],[age]]&lt;=30,"Young Adults",Table1[[#This Row],[age]]&lt;=45,"Adults",Table1[[#This Row],[age]]&lt;=60,"Seniors",Table1[[#This Row],[age]]&gt;=61,"Elderly")</f>
        <v>Young Adults</v>
      </c>
    </row>
    <row r="696" spans="1:8">
      <c r="A696">
        <v>27</v>
      </c>
      <c r="B696" t="s">
        <v>8</v>
      </c>
      <c r="C696">
        <v>34.8</v>
      </c>
      <c r="D696">
        <v>1</v>
      </c>
      <c r="E696" t="s">
        <v>12</v>
      </c>
      <c r="F696" t="s">
        <v>10</v>
      </c>
      <c r="G696">
        <v>3578</v>
      </c>
      <c r="H696" s="11" t="str" cm="1">
        <f t="array" ref="H696">_xlfn.IFS(Table1[[#This Row],[age]]&lt;=30,"Young Adults",Table1[[#This Row],[age]]&lt;=45,"Adults",Table1[[#This Row],[age]]&lt;=60,"Seniors",Table1[[#This Row],[age]]&gt;=61,"Elderly")</f>
        <v>Young Adults</v>
      </c>
    </row>
    <row r="697" spans="1:8">
      <c r="A697">
        <v>26</v>
      </c>
      <c r="B697" t="s">
        <v>8</v>
      </c>
      <c r="C697">
        <v>40.185</v>
      </c>
      <c r="D697">
        <v>0</v>
      </c>
      <c r="E697" t="s">
        <v>12</v>
      </c>
      <c r="F697" t="s">
        <v>14</v>
      </c>
      <c r="G697">
        <v>3201.25</v>
      </c>
      <c r="H697" s="11" t="str" cm="1">
        <f t="array" ref="H697">_xlfn.IFS(Table1[[#This Row],[age]]&lt;=30,"Young Adults",Table1[[#This Row],[age]]&lt;=45,"Adults",Table1[[#This Row],[age]]&lt;=60,"Seniors",Table1[[#This Row],[age]]&gt;=61,"Elderly")</f>
        <v>Young Adults</v>
      </c>
    </row>
    <row r="698" spans="1:8">
      <c r="A698">
        <v>53</v>
      </c>
      <c r="B698" t="s">
        <v>8</v>
      </c>
      <c r="C698">
        <v>32.3</v>
      </c>
      <c r="D698">
        <v>2</v>
      </c>
      <c r="E698" t="s">
        <v>12</v>
      </c>
      <c r="F698" t="s">
        <v>15</v>
      </c>
      <c r="G698">
        <v>29186.48</v>
      </c>
      <c r="H698" s="11" t="str" cm="1">
        <f t="array" ref="H698">_xlfn.IFS(Table1[[#This Row],[age]]&lt;=30,"Young Adults",Table1[[#This Row],[age]]&lt;=45,"Adults",Table1[[#This Row],[age]]&lt;=60,"Seniors",Table1[[#This Row],[age]]&gt;=61,"Elderly")</f>
        <v>Seniors</v>
      </c>
    </row>
    <row r="699" spans="1:8">
      <c r="A699">
        <v>41</v>
      </c>
      <c r="B699" t="s">
        <v>11</v>
      </c>
      <c r="C699">
        <v>35.75</v>
      </c>
      <c r="D699">
        <v>1</v>
      </c>
      <c r="E699" t="s">
        <v>9</v>
      </c>
      <c r="F699" t="s">
        <v>13</v>
      </c>
      <c r="G699">
        <v>40273.65</v>
      </c>
      <c r="H699" s="11" t="str" cm="1">
        <f t="array" ref="H699">_xlfn.IFS(Table1[[#This Row],[age]]&lt;=30,"Young Adults",Table1[[#This Row],[age]]&lt;=45,"Adults",Table1[[#This Row],[age]]&lt;=60,"Seniors",Table1[[#This Row],[age]]&gt;=61,"Elderly")</f>
        <v>Adults</v>
      </c>
    </row>
    <row r="700" spans="1:8">
      <c r="A700">
        <v>56</v>
      </c>
      <c r="B700" t="s">
        <v>11</v>
      </c>
      <c r="C700">
        <v>33.725</v>
      </c>
      <c r="D700">
        <v>0</v>
      </c>
      <c r="E700" t="s">
        <v>12</v>
      </c>
      <c r="F700" t="s">
        <v>14</v>
      </c>
      <c r="G700">
        <v>10976.25</v>
      </c>
      <c r="H700" s="11" t="str" cm="1">
        <f t="array" ref="H700">_xlfn.IFS(Table1[[#This Row],[age]]&lt;=30,"Young Adults",Table1[[#This Row],[age]]&lt;=45,"Adults",Table1[[#This Row],[age]]&lt;=60,"Seniors",Table1[[#This Row],[age]]&gt;=61,"Elderly")</f>
        <v>Seniors</v>
      </c>
    </row>
    <row r="701" spans="1:8">
      <c r="A701">
        <v>23</v>
      </c>
      <c r="B701" t="s">
        <v>8</v>
      </c>
      <c r="C701">
        <v>39.27</v>
      </c>
      <c r="D701">
        <v>2</v>
      </c>
      <c r="E701" t="s">
        <v>12</v>
      </c>
      <c r="F701" t="s">
        <v>13</v>
      </c>
      <c r="G701">
        <v>3500.61</v>
      </c>
      <c r="H701" s="11" t="str" cm="1">
        <f t="array" ref="H701">_xlfn.IFS(Table1[[#This Row],[age]]&lt;=30,"Young Adults",Table1[[#This Row],[age]]&lt;=45,"Adults",Table1[[#This Row],[age]]&lt;=60,"Seniors",Table1[[#This Row],[age]]&gt;=61,"Elderly")</f>
        <v>Young Adults</v>
      </c>
    </row>
    <row r="702" spans="1:8">
      <c r="A702">
        <v>21</v>
      </c>
      <c r="B702" t="s">
        <v>8</v>
      </c>
      <c r="C702">
        <v>34.87</v>
      </c>
      <c r="D702">
        <v>0</v>
      </c>
      <c r="E702" t="s">
        <v>12</v>
      </c>
      <c r="F702" t="s">
        <v>13</v>
      </c>
      <c r="G702">
        <v>2020.55</v>
      </c>
      <c r="H702" s="11" t="str" cm="1">
        <f t="array" ref="H702">_xlfn.IFS(Table1[[#This Row],[age]]&lt;=30,"Young Adults",Table1[[#This Row],[age]]&lt;=45,"Adults",Table1[[#This Row],[age]]&lt;=60,"Seniors",Table1[[#This Row],[age]]&gt;=61,"Elderly")</f>
        <v>Young Adults</v>
      </c>
    </row>
    <row r="703" spans="1:8">
      <c r="A703">
        <v>50</v>
      </c>
      <c r="B703" t="s">
        <v>8</v>
      </c>
      <c r="C703">
        <v>44.745</v>
      </c>
      <c r="D703">
        <v>0</v>
      </c>
      <c r="E703" t="s">
        <v>12</v>
      </c>
      <c r="F703" t="s">
        <v>15</v>
      </c>
      <c r="G703">
        <v>9541.7</v>
      </c>
      <c r="H703" s="11" t="str" cm="1">
        <f t="array" ref="H703">_xlfn.IFS(Table1[[#This Row],[age]]&lt;=30,"Young Adults",Table1[[#This Row],[age]]&lt;=45,"Adults",Table1[[#This Row],[age]]&lt;=60,"Seniors",Table1[[#This Row],[age]]&gt;=61,"Elderly")</f>
        <v>Seniors</v>
      </c>
    </row>
    <row r="704" spans="1:8">
      <c r="A704">
        <v>53</v>
      </c>
      <c r="B704" t="s">
        <v>11</v>
      </c>
      <c r="C704">
        <v>41.47</v>
      </c>
      <c r="D704">
        <v>0</v>
      </c>
      <c r="E704" t="s">
        <v>12</v>
      </c>
      <c r="F704" t="s">
        <v>13</v>
      </c>
      <c r="G704">
        <v>9504.31</v>
      </c>
      <c r="H704" s="11" t="str" cm="1">
        <f t="array" ref="H704">_xlfn.IFS(Table1[[#This Row],[age]]&lt;=30,"Young Adults",Table1[[#This Row],[age]]&lt;=45,"Adults",Table1[[#This Row],[age]]&lt;=60,"Seniors",Table1[[#This Row],[age]]&gt;=61,"Elderly")</f>
        <v>Seniors</v>
      </c>
    </row>
    <row r="705" spans="1:8">
      <c r="A705">
        <v>34</v>
      </c>
      <c r="B705" t="s">
        <v>8</v>
      </c>
      <c r="C705">
        <v>26.41</v>
      </c>
      <c r="D705">
        <v>1</v>
      </c>
      <c r="E705" t="s">
        <v>12</v>
      </c>
      <c r="F705" t="s">
        <v>14</v>
      </c>
      <c r="G705">
        <v>5385.34</v>
      </c>
      <c r="H705" s="11" t="str" cm="1">
        <f t="array" ref="H705">_xlfn.IFS(Table1[[#This Row],[age]]&lt;=30,"Young Adults",Table1[[#This Row],[age]]&lt;=45,"Adults",Table1[[#This Row],[age]]&lt;=60,"Seniors",Table1[[#This Row],[age]]&gt;=61,"Elderly")</f>
        <v>Adults</v>
      </c>
    </row>
    <row r="706" spans="1:8">
      <c r="A706">
        <v>47</v>
      </c>
      <c r="B706" t="s">
        <v>8</v>
      </c>
      <c r="C706">
        <v>29.545</v>
      </c>
      <c r="D706">
        <v>1</v>
      </c>
      <c r="E706" t="s">
        <v>12</v>
      </c>
      <c r="F706" t="s">
        <v>14</v>
      </c>
      <c r="G706">
        <v>8930.93</v>
      </c>
      <c r="H706" s="11" t="str" cm="1">
        <f t="array" ref="H706">_xlfn.IFS(Table1[[#This Row],[age]]&lt;=30,"Young Adults",Table1[[#This Row],[age]]&lt;=45,"Adults",Table1[[#This Row],[age]]&lt;=60,"Seniors",Table1[[#This Row],[age]]&gt;=61,"Elderly")</f>
        <v>Seniors</v>
      </c>
    </row>
    <row r="707" spans="1:8">
      <c r="A707">
        <v>33</v>
      </c>
      <c r="B707" t="s">
        <v>8</v>
      </c>
      <c r="C707">
        <v>32.9</v>
      </c>
      <c r="D707">
        <v>2</v>
      </c>
      <c r="E707" t="s">
        <v>12</v>
      </c>
      <c r="F707" t="s">
        <v>10</v>
      </c>
      <c r="G707">
        <v>5375.04</v>
      </c>
      <c r="H707" s="11" t="str" cm="1">
        <f t="array" ref="H707">_xlfn.IFS(Table1[[#This Row],[age]]&lt;=30,"Young Adults",Table1[[#This Row],[age]]&lt;=45,"Adults",Table1[[#This Row],[age]]&lt;=60,"Seniors",Table1[[#This Row],[age]]&gt;=61,"Elderly")</f>
        <v>Adults</v>
      </c>
    </row>
    <row r="708" spans="1:8">
      <c r="A708">
        <v>51</v>
      </c>
      <c r="B708" t="s">
        <v>8</v>
      </c>
      <c r="C708">
        <v>38.06</v>
      </c>
      <c r="D708">
        <v>0</v>
      </c>
      <c r="E708" t="s">
        <v>9</v>
      </c>
      <c r="F708" t="s">
        <v>13</v>
      </c>
      <c r="G708">
        <v>44400.41</v>
      </c>
      <c r="H708" s="11" t="str" cm="1">
        <f t="array" ref="H708">_xlfn.IFS(Table1[[#This Row],[age]]&lt;=30,"Young Adults",Table1[[#This Row],[age]]&lt;=45,"Adults",Table1[[#This Row],[age]]&lt;=60,"Seniors",Table1[[#This Row],[age]]&gt;=61,"Elderly")</f>
        <v>Seniors</v>
      </c>
    </row>
    <row r="709" spans="1:8">
      <c r="A709">
        <v>49</v>
      </c>
      <c r="B709" t="s">
        <v>11</v>
      </c>
      <c r="C709">
        <v>28.69</v>
      </c>
      <c r="D709">
        <v>3</v>
      </c>
      <c r="E709" t="s">
        <v>12</v>
      </c>
      <c r="F709" t="s">
        <v>14</v>
      </c>
      <c r="G709">
        <v>10264.44</v>
      </c>
      <c r="H709" s="11" t="str" cm="1">
        <f t="array" ref="H709">_xlfn.IFS(Table1[[#This Row],[age]]&lt;=30,"Young Adults",Table1[[#This Row],[age]]&lt;=45,"Adults",Table1[[#This Row],[age]]&lt;=60,"Seniors",Table1[[#This Row],[age]]&gt;=61,"Elderly")</f>
        <v>Seniors</v>
      </c>
    </row>
    <row r="710" spans="1:8">
      <c r="A710">
        <v>31</v>
      </c>
      <c r="B710" t="s">
        <v>8</v>
      </c>
      <c r="C710">
        <v>30.495</v>
      </c>
      <c r="D710">
        <v>3</v>
      </c>
      <c r="E710" t="s">
        <v>12</v>
      </c>
      <c r="F710" t="s">
        <v>15</v>
      </c>
      <c r="G710">
        <v>6113.23</v>
      </c>
      <c r="H710" s="11" t="str" cm="1">
        <f t="array" ref="H710">_xlfn.IFS(Table1[[#This Row],[age]]&lt;=30,"Young Adults",Table1[[#This Row],[age]]&lt;=45,"Adults",Table1[[#This Row],[age]]&lt;=60,"Seniors",Table1[[#This Row],[age]]&gt;=61,"Elderly")</f>
        <v>Adults</v>
      </c>
    </row>
    <row r="711" spans="1:8">
      <c r="A711">
        <v>36</v>
      </c>
      <c r="B711" t="s">
        <v>8</v>
      </c>
      <c r="C711">
        <v>27.74</v>
      </c>
      <c r="D711">
        <v>0</v>
      </c>
      <c r="E711" t="s">
        <v>12</v>
      </c>
      <c r="F711" t="s">
        <v>15</v>
      </c>
      <c r="G711">
        <v>5469.01</v>
      </c>
      <c r="H711" s="11" t="str" cm="1">
        <f t="array" ref="H711">_xlfn.IFS(Table1[[#This Row],[age]]&lt;=30,"Young Adults",Table1[[#This Row],[age]]&lt;=45,"Adults",Table1[[#This Row],[age]]&lt;=60,"Seniors",Table1[[#This Row],[age]]&gt;=61,"Elderly")</f>
        <v>Adults</v>
      </c>
    </row>
    <row r="712" spans="1:8">
      <c r="A712">
        <v>18</v>
      </c>
      <c r="B712" t="s">
        <v>11</v>
      </c>
      <c r="C712">
        <v>35.2</v>
      </c>
      <c r="D712">
        <v>1</v>
      </c>
      <c r="E712" t="s">
        <v>12</v>
      </c>
      <c r="F712" t="s">
        <v>13</v>
      </c>
      <c r="G712">
        <v>1727.54</v>
      </c>
      <c r="H712" s="11" t="str" cm="1">
        <f t="array" ref="H712">_xlfn.IFS(Table1[[#This Row],[age]]&lt;=30,"Young Adults",Table1[[#This Row],[age]]&lt;=45,"Adults",Table1[[#This Row],[age]]&lt;=60,"Seniors",Table1[[#This Row],[age]]&gt;=61,"Elderly")</f>
        <v>Young Adults</v>
      </c>
    </row>
    <row r="713" spans="1:8">
      <c r="A713">
        <v>50</v>
      </c>
      <c r="B713" t="s">
        <v>8</v>
      </c>
      <c r="C713">
        <v>23.54</v>
      </c>
      <c r="D713">
        <v>2</v>
      </c>
      <c r="E713" t="s">
        <v>12</v>
      </c>
      <c r="F713" t="s">
        <v>13</v>
      </c>
      <c r="G713">
        <v>10107.22</v>
      </c>
      <c r="H713" s="11" t="str" cm="1">
        <f t="array" ref="H713">_xlfn.IFS(Table1[[#This Row],[age]]&lt;=30,"Young Adults",Table1[[#This Row],[age]]&lt;=45,"Adults",Table1[[#This Row],[age]]&lt;=60,"Seniors",Table1[[#This Row],[age]]&gt;=61,"Elderly")</f>
        <v>Seniors</v>
      </c>
    </row>
    <row r="714" spans="1:8">
      <c r="A714">
        <v>43</v>
      </c>
      <c r="B714" t="s">
        <v>8</v>
      </c>
      <c r="C714">
        <v>30.685</v>
      </c>
      <c r="D714">
        <v>2</v>
      </c>
      <c r="E714" t="s">
        <v>12</v>
      </c>
      <c r="F714" t="s">
        <v>14</v>
      </c>
      <c r="G714">
        <v>8310.84</v>
      </c>
      <c r="H714" s="11" t="str" cm="1">
        <f t="array" ref="H714">_xlfn.IFS(Table1[[#This Row],[age]]&lt;=30,"Young Adults",Table1[[#This Row],[age]]&lt;=45,"Adults",Table1[[#This Row],[age]]&lt;=60,"Seniors",Table1[[#This Row],[age]]&gt;=61,"Elderly")</f>
        <v>Adults</v>
      </c>
    </row>
    <row r="715" spans="1:8">
      <c r="A715">
        <v>20</v>
      </c>
      <c r="B715" t="s">
        <v>11</v>
      </c>
      <c r="C715">
        <v>40.47</v>
      </c>
      <c r="D715">
        <v>0</v>
      </c>
      <c r="E715" t="s">
        <v>12</v>
      </c>
      <c r="F715" t="s">
        <v>15</v>
      </c>
      <c r="G715">
        <v>1984.45</v>
      </c>
      <c r="H715" s="11" t="str" cm="1">
        <f t="array" ref="H715">_xlfn.IFS(Table1[[#This Row],[age]]&lt;=30,"Young Adults",Table1[[#This Row],[age]]&lt;=45,"Adults",Table1[[#This Row],[age]]&lt;=60,"Seniors",Table1[[#This Row],[age]]&gt;=61,"Elderly")</f>
        <v>Young Adults</v>
      </c>
    </row>
    <row r="716" spans="1:8">
      <c r="A716">
        <v>24</v>
      </c>
      <c r="B716" t="s">
        <v>8</v>
      </c>
      <c r="C716">
        <v>22.6</v>
      </c>
      <c r="D716">
        <v>0</v>
      </c>
      <c r="E716" t="s">
        <v>12</v>
      </c>
      <c r="F716" t="s">
        <v>10</v>
      </c>
      <c r="G716">
        <v>2457.5</v>
      </c>
      <c r="H716" s="11" t="str" cm="1">
        <f t="array" ref="H716">_xlfn.IFS(Table1[[#This Row],[age]]&lt;=30,"Young Adults",Table1[[#This Row],[age]]&lt;=45,"Adults",Table1[[#This Row],[age]]&lt;=60,"Seniors",Table1[[#This Row],[age]]&gt;=61,"Elderly")</f>
        <v>Young Adults</v>
      </c>
    </row>
    <row r="717" spans="1:8">
      <c r="A717">
        <v>60</v>
      </c>
      <c r="B717" t="s">
        <v>11</v>
      </c>
      <c r="C717">
        <v>28.9</v>
      </c>
      <c r="D717">
        <v>0</v>
      </c>
      <c r="E717" t="s">
        <v>12</v>
      </c>
      <c r="F717" t="s">
        <v>10</v>
      </c>
      <c r="G717">
        <v>12146.97</v>
      </c>
      <c r="H717" s="11" t="str" cm="1">
        <f t="array" ref="H717">_xlfn.IFS(Table1[[#This Row],[age]]&lt;=30,"Young Adults",Table1[[#This Row],[age]]&lt;=45,"Adults",Table1[[#This Row],[age]]&lt;=60,"Seniors",Table1[[#This Row],[age]]&gt;=61,"Elderly")</f>
        <v>Seniors</v>
      </c>
    </row>
    <row r="718" spans="1:8">
      <c r="A718">
        <v>49</v>
      </c>
      <c r="B718" t="s">
        <v>8</v>
      </c>
      <c r="C718">
        <v>22.61</v>
      </c>
      <c r="D718">
        <v>1</v>
      </c>
      <c r="E718" t="s">
        <v>12</v>
      </c>
      <c r="F718" t="s">
        <v>14</v>
      </c>
      <c r="G718">
        <v>9566.99</v>
      </c>
      <c r="H718" s="11" t="str" cm="1">
        <f t="array" ref="H718">_xlfn.IFS(Table1[[#This Row],[age]]&lt;=30,"Young Adults",Table1[[#This Row],[age]]&lt;=45,"Adults",Table1[[#This Row],[age]]&lt;=60,"Seniors",Table1[[#This Row],[age]]&gt;=61,"Elderly")</f>
        <v>Seniors</v>
      </c>
    </row>
    <row r="719" spans="1:8">
      <c r="A719">
        <v>60</v>
      </c>
      <c r="B719" t="s">
        <v>11</v>
      </c>
      <c r="C719">
        <v>24.32</v>
      </c>
      <c r="D719">
        <v>1</v>
      </c>
      <c r="E719" t="s">
        <v>12</v>
      </c>
      <c r="F719" t="s">
        <v>14</v>
      </c>
      <c r="G719">
        <v>13112.6</v>
      </c>
      <c r="H719" s="11" t="str" cm="1">
        <f t="array" ref="H719">_xlfn.IFS(Table1[[#This Row],[age]]&lt;=30,"Young Adults",Table1[[#This Row],[age]]&lt;=45,"Adults",Table1[[#This Row],[age]]&lt;=60,"Seniors",Table1[[#This Row],[age]]&gt;=61,"Elderly")</f>
        <v>Seniors</v>
      </c>
    </row>
    <row r="720" spans="1:8">
      <c r="A720">
        <v>51</v>
      </c>
      <c r="B720" t="s">
        <v>8</v>
      </c>
      <c r="C720">
        <v>36.67</v>
      </c>
      <c r="D720">
        <v>2</v>
      </c>
      <c r="E720" t="s">
        <v>12</v>
      </c>
      <c r="F720" t="s">
        <v>14</v>
      </c>
      <c r="G720">
        <v>10848.13</v>
      </c>
      <c r="H720" s="11" t="str" cm="1">
        <f t="array" ref="H720">_xlfn.IFS(Table1[[#This Row],[age]]&lt;=30,"Young Adults",Table1[[#This Row],[age]]&lt;=45,"Adults",Table1[[#This Row],[age]]&lt;=60,"Seniors",Table1[[#This Row],[age]]&gt;=61,"Elderly")</f>
        <v>Seniors</v>
      </c>
    </row>
    <row r="721" spans="1:8">
      <c r="A721">
        <v>58</v>
      </c>
      <c r="B721" t="s">
        <v>8</v>
      </c>
      <c r="C721">
        <v>33.44</v>
      </c>
      <c r="D721">
        <v>0</v>
      </c>
      <c r="E721" t="s">
        <v>12</v>
      </c>
      <c r="F721" t="s">
        <v>14</v>
      </c>
      <c r="G721">
        <v>12231.61</v>
      </c>
      <c r="H721" s="11" t="str" cm="1">
        <f t="array" ref="H721">_xlfn.IFS(Table1[[#This Row],[age]]&lt;=30,"Young Adults",Table1[[#This Row],[age]]&lt;=45,"Adults",Table1[[#This Row],[age]]&lt;=60,"Seniors",Table1[[#This Row],[age]]&gt;=61,"Elderly")</f>
        <v>Seniors</v>
      </c>
    </row>
    <row r="722" spans="1:8">
      <c r="A722">
        <v>51</v>
      </c>
      <c r="B722" t="s">
        <v>8</v>
      </c>
      <c r="C722">
        <v>40.66</v>
      </c>
      <c r="D722">
        <v>0</v>
      </c>
      <c r="E722" t="s">
        <v>12</v>
      </c>
      <c r="F722" t="s">
        <v>15</v>
      </c>
      <c r="G722">
        <v>9875.68</v>
      </c>
      <c r="H722" s="11" t="str" cm="1">
        <f t="array" ref="H722">_xlfn.IFS(Table1[[#This Row],[age]]&lt;=30,"Young Adults",Table1[[#This Row],[age]]&lt;=45,"Adults",Table1[[#This Row],[age]]&lt;=60,"Seniors",Table1[[#This Row],[age]]&gt;=61,"Elderly")</f>
        <v>Seniors</v>
      </c>
    </row>
    <row r="723" spans="1:8">
      <c r="A723">
        <v>53</v>
      </c>
      <c r="B723" t="s">
        <v>11</v>
      </c>
      <c r="C723">
        <v>36.6</v>
      </c>
      <c r="D723">
        <v>3</v>
      </c>
      <c r="E723" t="s">
        <v>12</v>
      </c>
      <c r="F723" t="s">
        <v>10</v>
      </c>
      <c r="G723">
        <v>11264.54</v>
      </c>
      <c r="H723" s="11" t="str" cm="1">
        <f t="array" ref="H723">_xlfn.IFS(Table1[[#This Row],[age]]&lt;=30,"Young Adults",Table1[[#This Row],[age]]&lt;=45,"Adults",Table1[[#This Row],[age]]&lt;=60,"Seniors",Table1[[#This Row],[age]]&gt;=61,"Elderly")</f>
        <v>Seniors</v>
      </c>
    </row>
    <row r="724" spans="1:8">
      <c r="A724">
        <v>62</v>
      </c>
      <c r="B724" t="s">
        <v>11</v>
      </c>
      <c r="C724">
        <v>37.4</v>
      </c>
      <c r="D724">
        <v>0</v>
      </c>
      <c r="E724" t="s">
        <v>12</v>
      </c>
      <c r="F724" t="s">
        <v>10</v>
      </c>
      <c r="G724">
        <v>12979.36</v>
      </c>
      <c r="H724" s="11" t="str" cm="1">
        <f t="array" ref="H724">_xlfn.IFS(Table1[[#This Row],[age]]&lt;=30,"Young Adults",Table1[[#This Row],[age]]&lt;=45,"Adults",Table1[[#This Row],[age]]&lt;=60,"Seniors",Table1[[#This Row],[age]]&gt;=61,"Elderly")</f>
        <v>Elderly</v>
      </c>
    </row>
    <row r="725" spans="1:8">
      <c r="A725">
        <v>19</v>
      </c>
      <c r="B725" t="s">
        <v>11</v>
      </c>
      <c r="C725">
        <v>35.4</v>
      </c>
      <c r="D725">
        <v>0</v>
      </c>
      <c r="E725" t="s">
        <v>12</v>
      </c>
      <c r="F725" t="s">
        <v>10</v>
      </c>
      <c r="G725">
        <v>1263.25</v>
      </c>
      <c r="H725" s="11" t="str" cm="1">
        <f t="array" ref="H725">_xlfn.IFS(Table1[[#This Row],[age]]&lt;=30,"Young Adults",Table1[[#This Row],[age]]&lt;=45,"Adults",Table1[[#This Row],[age]]&lt;=60,"Seniors",Table1[[#This Row],[age]]&gt;=61,"Elderly")</f>
        <v>Young Adults</v>
      </c>
    </row>
    <row r="726" spans="1:8">
      <c r="A726">
        <v>50</v>
      </c>
      <c r="B726" t="s">
        <v>8</v>
      </c>
      <c r="C726">
        <v>27.075</v>
      </c>
      <c r="D726">
        <v>1</v>
      </c>
      <c r="E726" t="s">
        <v>12</v>
      </c>
      <c r="F726" t="s">
        <v>15</v>
      </c>
      <c r="G726">
        <v>10106.13</v>
      </c>
      <c r="H726" s="11" t="str" cm="1">
        <f t="array" ref="H726">_xlfn.IFS(Table1[[#This Row],[age]]&lt;=30,"Young Adults",Table1[[#This Row],[age]]&lt;=45,"Adults",Table1[[#This Row],[age]]&lt;=60,"Seniors",Table1[[#This Row],[age]]&gt;=61,"Elderly")</f>
        <v>Seniors</v>
      </c>
    </row>
    <row r="727" spans="1:8">
      <c r="A727">
        <v>30</v>
      </c>
      <c r="B727" t="s">
        <v>8</v>
      </c>
      <c r="C727">
        <v>39.05</v>
      </c>
      <c r="D727">
        <v>3</v>
      </c>
      <c r="E727" t="s">
        <v>9</v>
      </c>
      <c r="F727" t="s">
        <v>13</v>
      </c>
      <c r="G727">
        <v>40932.43</v>
      </c>
      <c r="H727" s="11" t="str" cm="1">
        <f t="array" ref="H727">_xlfn.IFS(Table1[[#This Row],[age]]&lt;=30,"Young Adults",Table1[[#This Row],[age]]&lt;=45,"Adults",Table1[[#This Row],[age]]&lt;=60,"Seniors",Table1[[#This Row],[age]]&gt;=61,"Elderly")</f>
        <v>Young Adults</v>
      </c>
    </row>
    <row r="728" spans="1:8">
      <c r="A728">
        <v>41</v>
      </c>
      <c r="B728" t="s">
        <v>11</v>
      </c>
      <c r="C728">
        <v>28.405</v>
      </c>
      <c r="D728">
        <v>1</v>
      </c>
      <c r="E728" t="s">
        <v>12</v>
      </c>
      <c r="F728" t="s">
        <v>14</v>
      </c>
      <c r="G728">
        <v>6664.69</v>
      </c>
      <c r="H728" s="11" t="str" cm="1">
        <f t="array" ref="H728">_xlfn.IFS(Table1[[#This Row],[age]]&lt;=30,"Young Adults",Table1[[#This Row],[age]]&lt;=45,"Adults",Table1[[#This Row],[age]]&lt;=60,"Seniors",Table1[[#This Row],[age]]&gt;=61,"Elderly")</f>
        <v>Adults</v>
      </c>
    </row>
    <row r="729" spans="1:8">
      <c r="A729">
        <v>29</v>
      </c>
      <c r="B729" t="s">
        <v>8</v>
      </c>
      <c r="C729">
        <v>21.755</v>
      </c>
      <c r="D729">
        <v>1</v>
      </c>
      <c r="E729" t="s">
        <v>9</v>
      </c>
      <c r="F729" t="s">
        <v>15</v>
      </c>
      <c r="G729">
        <v>16657.72</v>
      </c>
      <c r="H729" s="11" t="str" cm="1">
        <f t="array" ref="H729">_xlfn.IFS(Table1[[#This Row],[age]]&lt;=30,"Young Adults",Table1[[#This Row],[age]]&lt;=45,"Adults",Table1[[#This Row],[age]]&lt;=60,"Seniors",Table1[[#This Row],[age]]&gt;=61,"Elderly")</f>
        <v>Young Adults</v>
      </c>
    </row>
    <row r="730" spans="1:8">
      <c r="A730">
        <v>18</v>
      </c>
      <c r="B730" t="s">
        <v>8</v>
      </c>
      <c r="C730">
        <v>40.28</v>
      </c>
      <c r="D730">
        <v>0</v>
      </c>
      <c r="E730" t="s">
        <v>12</v>
      </c>
      <c r="F730" t="s">
        <v>15</v>
      </c>
      <c r="G730">
        <v>2217.6</v>
      </c>
      <c r="H730" s="11" t="str" cm="1">
        <f t="array" ref="H730">_xlfn.IFS(Table1[[#This Row],[age]]&lt;=30,"Young Adults",Table1[[#This Row],[age]]&lt;=45,"Adults",Table1[[#This Row],[age]]&lt;=60,"Seniors",Table1[[#This Row],[age]]&gt;=61,"Elderly")</f>
        <v>Young Adults</v>
      </c>
    </row>
    <row r="731" spans="1:8">
      <c r="A731">
        <v>41</v>
      </c>
      <c r="B731" t="s">
        <v>8</v>
      </c>
      <c r="C731">
        <v>36.08</v>
      </c>
      <c r="D731">
        <v>1</v>
      </c>
      <c r="E731" t="s">
        <v>12</v>
      </c>
      <c r="F731" t="s">
        <v>13</v>
      </c>
      <c r="G731">
        <v>6781.35</v>
      </c>
      <c r="H731" s="11" t="str" cm="1">
        <f t="array" ref="H731">_xlfn.IFS(Table1[[#This Row],[age]]&lt;=30,"Young Adults",Table1[[#This Row],[age]]&lt;=45,"Adults",Table1[[#This Row],[age]]&lt;=60,"Seniors",Table1[[#This Row],[age]]&gt;=61,"Elderly")</f>
        <v>Adults</v>
      </c>
    </row>
    <row r="732" spans="1:8">
      <c r="A732">
        <v>35</v>
      </c>
      <c r="B732" t="s">
        <v>11</v>
      </c>
      <c r="C732">
        <v>24.42</v>
      </c>
      <c r="D732">
        <v>3</v>
      </c>
      <c r="E732" t="s">
        <v>9</v>
      </c>
      <c r="F732" t="s">
        <v>13</v>
      </c>
      <c r="G732">
        <v>19362</v>
      </c>
      <c r="H732" s="11" t="str" cm="1">
        <f t="array" ref="H732">_xlfn.IFS(Table1[[#This Row],[age]]&lt;=30,"Young Adults",Table1[[#This Row],[age]]&lt;=45,"Adults",Table1[[#This Row],[age]]&lt;=60,"Seniors",Table1[[#This Row],[age]]&gt;=61,"Elderly")</f>
        <v>Adults</v>
      </c>
    </row>
    <row r="733" spans="1:8">
      <c r="A733">
        <v>53</v>
      </c>
      <c r="B733" t="s">
        <v>11</v>
      </c>
      <c r="C733">
        <v>21.4</v>
      </c>
      <c r="D733">
        <v>1</v>
      </c>
      <c r="E733" t="s">
        <v>12</v>
      </c>
      <c r="F733" t="s">
        <v>10</v>
      </c>
      <c r="G733">
        <v>10065.41</v>
      </c>
      <c r="H733" s="11" t="str" cm="1">
        <f t="array" ref="H733">_xlfn.IFS(Table1[[#This Row],[age]]&lt;=30,"Young Adults",Table1[[#This Row],[age]]&lt;=45,"Adults",Table1[[#This Row],[age]]&lt;=60,"Seniors",Table1[[#This Row],[age]]&gt;=61,"Elderly")</f>
        <v>Seniors</v>
      </c>
    </row>
    <row r="734" spans="1:8">
      <c r="A734">
        <v>24</v>
      </c>
      <c r="B734" t="s">
        <v>8</v>
      </c>
      <c r="C734">
        <v>30.1</v>
      </c>
      <c r="D734">
        <v>3</v>
      </c>
      <c r="E734" t="s">
        <v>12</v>
      </c>
      <c r="F734" t="s">
        <v>10</v>
      </c>
      <c r="G734">
        <v>4234.93</v>
      </c>
      <c r="H734" s="11" t="str" cm="1">
        <f t="array" ref="H734">_xlfn.IFS(Table1[[#This Row],[age]]&lt;=30,"Young Adults",Table1[[#This Row],[age]]&lt;=45,"Adults",Table1[[#This Row],[age]]&lt;=60,"Seniors",Table1[[#This Row],[age]]&gt;=61,"Elderly")</f>
        <v>Young Adults</v>
      </c>
    </row>
    <row r="735" spans="1:8">
      <c r="A735">
        <v>48</v>
      </c>
      <c r="B735" t="s">
        <v>8</v>
      </c>
      <c r="C735">
        <v>27.265</v>
      </c>
      <c r="D735">
        <v>1</v>
      </c>
      <c r="E735" t="s">
        <v>12</v>
      </c>
      <c r="F735" t="s">
        <v>15</v>
      </c>
      <c r="G735">
        <v>9447.25</v>
      </c>
      <c r="H735" s="11" t="str" cm="1">
        <f t="array" ref="H735">_xlfn.IFS(Table1[[#This Row],[age]]&lt;=30,"Young Adults",Table1[[#This Row],[age]]&lt;=45,"Adults",Table1[[#This Row],[age]]&lt;=60,"Seniors",Table1[[#This Row],[age]]&gt;=61,"Elderly")</f>
        <v>Seniors</v>
      </c>
    </row>
    <row r="736" spans="1:8">
      <c r="A736">
        <v>59</v>
      </c>
      <c r="B736" t="s">
        <v>8</v>
      </c>
      <c r="C736">
        <v>32.1</v>
      </c>
      <c r="D736">
        <v>3</v>
      </c>
      <c r="E736" t="s">
        <v>12</v>
      </c>
      <c r="F736" t="s">
        <v>10</v>
      </c>
      <c r="G736">
        <v>14007.22</v>
      </c>
      <c r="H736" s="11" t="str" cm="1">
        <f t="array" ref="H736">_xlfn.IFS(Table1[[#This Row],[age]]&lt;=30,"Young Adults",Table1[[#This Row],[age]]&lt;=45,"Adults",Table1[[#This Row],[age]]&lt;=60,"Seniors",Table1[[#This Row],[age]]&gt;=61,"Elderly")</f>
        <v>Seniors</v>
      </c>
    </row>
    <row r="737" spans="1:8">
      <c r="A737">
        <v>49</v>
      </c>
      <c r="B737" t="s">
        <v>8</v>
      </c>
      <c r="C737">
        <v>34.77</v>
      </c>
      <c r="D737">
        <v>1</v>
      </c>
      <c r="E737" t="s">
        <v>12</v>
      </c>
      <c r="F737" t="s">
        <v>14</v>
      </c>
      <c r="G737">
        <v>9583.89</v>
      </c>
      <c r="H737" s="11" t="str" cm="1">
        <f t="array" ref="H737">_xlfn.IFS(Table1[[#This Row],[age]]&lt;=30,"Young Adults",Table1[[#This Row],[age]]&lt;=45,"Adults",Table1[[#This Row],[age]]&lt;=60,"Seniors",Table1[[#This Row],[age]]&gt;=61,"Elderly")</f>
        <v>Seniors</v>
      </c>
    </row>
    <row r="738" spans="1:8">
      <c r="A738">
        <v>37</v>
      </c>
      <c r="B738" t="s">
        <v>8</v>
      </c>
      <c r="C738">
        <v>38.39</v>
      </c>
      <c r="D738">
        <v>0</v>
      </c>
      <c r="E738" t="s">
        <v>9</v>
      </c>
      <c r="F738" t="s">
        <v>13</v>
      </c>
      <c r="G738">
        <v>40419.02</v>
      </c>
      <c r="H738" s="11" t="str" cm="1">
        <f t="array" ref="H738">_xlfn.IFS(Table1[[#This Row],[age]]&lt;=30,"Young Adults",Table1[[#This Row],[age]]&lt;=45,"Adults",Table1[[#This Row],[age]]&lt;=60,"Seniors",Table1[[#This Row],[age]]&gt;=61,"Elderly")</f>
        <v>Adults</v>
      </c>
    </row>
    <row r="739" spans="1:8">
      <c r="A739">
        <v>26</v>
      </c>
      <c r="B739" t="s">
        <v>11</v>
      </c>
      <c r="C739">
        <v>23.7</v>
      </c>
      <c r="D739">
        <v>2</v>
      </c>
      <c r="E739" t="s">
        <v>12</v>
      </c>
      <c r="F739" t="s">
        <v>10</v>
      </c>
      <c r="G739">
        <v>3484.33</v>
      </c>
      <c r="H739" s="11" t="str" cm="1">
        <f t="array" ref="H739">_xlfn.IFS(Table1[[#This Row],[age]]&lt;=30,"Young Adults",Table1[[#This Row],[age]]&lt;=45,"Adults",Table1[[#This Row],[age]]&lt;=60,"Seniors",Table1[[#This Row],[age]]&gt;=61,"Elderly")</f>
        <v>Young Adults</v>
      </c>
    </row>
    <row r="740" spans="1:8">
      <c r="A740">
        <v>23</v>
      </c>
      <c r="B740" t="s">
        <v>11</v>
      </c>
      <c r="C740">
        <v>31.73</v>
      </c>
      <c r="D740">
        <v>3</v>
      </c>
      <c r="E740" t="s">
        <v>9</v>
      </c>
      <c r="F740" t="s">
        <v>15</v>
      </c>
      <c r="G740">
        <v>36189.1</v>
      </c>
      <c r="H740" s="11" t="str" cm="1">
        <f t="array" ref="H740">_xlfn.IFS(Table1[[#This Row],[age]]&lt;=30,"Young Adults",Table1[[#This Row],[age]]&lt;=45,"Adults",Table1[[#This Row],[age]]&lt;=60,"Seniors",Table1[[#This Row],[age]]&gt;=61,"Elderly")</f>
        <v>Young Adults</v>
      </c>
    </row>
    <row r="741" spans="1:8">
      <c r="A741">
        <v>29</v>
      </c>
      <c r="B741" t="s">
        <v>11</v>
      </c>
      <c r="C741">
        <v>35.5</v>
      </c>
      <c r="D741">
        <v>2</v>
      </c>
      <c r="E741" t="s">
        <v>9</v>
      </c>
      <c r="F741" t="s">
        <v>10</v>
      </c>
      <c r="G741">
        <v>44585.46</v>
      </c>
      <c r="H741" s="11" t="str" cm="1">
        <f t="array" ref="H741">_xlfn.IFS(Table1[[#This Row],[age]]&lt;=30,"Young Adults",Table1[[#This Row],[age]]&lt;=45,"Adults",Table1[[#This Row],[age]]&lt;=60,"Seniors",Table1[[#This Row],[age]]&gt;=61,"Elderly")</f>
        <v>Young Adults</v>
      </c>
    </row>
    <row r="742" spans="1:8">
      <c r="A742">
        <v>45</v>
      </c>
      <c r="B742" t="s">
        <v>11</v>
      </c>
      <c r="C742">
        <v>24.035</v>
      </c>
      <c r="D742">
        <v>2</v>
      </c>
      <c r="E742" t="s">
        <v>12</v>
      </c>
      <c r="F742" t="s">
        <v>15</v>
      </c>
      <c r="G742">
        <v>8604.48</v>
      </c>
      <c r="H742" s="11" t="str" cm="1">
        <f t="array" ref="H742">_xlfn.IFS(Table1[[#This Row],[age]]&lt;=30,"Young Adults",Table1[[#This Row],[age]]&lt;=45,"Adults",Table1[[#This Row],[age]]&lt;=60,"Seniors",Table1[[#This Row],[age]]&gt;=61,"Elderly")</f>
        <v>Adults</v>
      </c>
    </row>
    <row r="743" spans="1:8">
      <c r="A743">
        <v>27</v>
      </c>
      <c r="B743" t="s">
        <v>11</v>
      </c>
      <c r="C743">
        <v>29.15</v>
      </c>
      <c r="D743">
        <v>0</v>
      </c>
      <c r="E743" t="s">
        <v>9</v>
      </c>
      <c r="F743" t="s">
        <v>13</v>
      </c>
      <c r="G743">
        <v>18246.5</v>
      </c>
      <c r="H743" s="11" t="str" cm="1">
        <f t="array" ref="H743">_xlfn.IFS(Table1[[#This Row],[age]]&lt;=30,"Young Adults",Table1[[#This Row],[age]]&lt;=45,"Adults",Table1[[#This Row],[age]]&lt;=60,"Seniors",Table1[[#This Row],[age]]&gt;=61,"Elderly")</f>
        <v>Young Adults</v>
      </c>
    </row>
    <row r="744" spans="1:8">
      <c r="A744">
        <v>53</v>
      </c>
      <c r="B744" t="s">
        <v>11</v>
      </c>
      <c r="C744">
        <v>34.105</v>
      </c>
      <c r="D744">
        <v>0</v>
      </c>
      <c r="E744" t="s">
        <v>9</v>
      </c>
      <c r="F744" t="s">
        <v>15</v>
      </c>
      <c r="G744">
        <v>43254.42</v>
      </c>
      <c r="H744" s="11" t="str" cm="1">
        <f t="array" ref="H744">_xlfn.IFS(Table1[[#This Row],[age]]&lt;=30,"Young Adults",Table1[[#This Row],[age]]&lt;=45,"Adults",Table1[[#This Row],[age]]&lt;=60,"Seniors",Table1[[#This Row],[age]]&gt;=61,"Elderly")</f>
        <v>Seniors</v>
      </c>
    </row>
    <row r="745" spans="1:8">
      <c r="A745">
        <v>31</v>
      </c>
      <c r="B745" t="s">
        <v>8</v>
      </c>
      <c r="C745">
        <v>26.62</v>
      </c>
      <c r="D745">
        <v>0</v>
      </c>
      <c r="E745" t="s">
        <v>12</v>
      </c>
      <c r="F745" t="s">
        <v>13</v>
      </c>
      <c r="G745">
        <v>3757.84</v>
      </c>
      <c r="H745" s="11" t="str" cm="1">
        <f t="array" ref="H745">_xlfn.IFS(Table1[[#This Row],[age]]&lt;=30,"Young Adults",Table1[[#This Row],[age]]&lt;=45,"Adults",Table1[[#This Row],[age]]&lt;=60,"Seniors",Table1[[#This Row],[age]]&gt;=61,"Elderly")</f>
        <v>Adults</v>
      </c>
    </row>
    <row r="746" spans="1:8">
      <c r="A746">
        <v>50</v>
      </c>
      <c r="B746" t="s">
        <v>11</v>
      </c>
      <c r="C746">
        <v>26.41</v>
      </c>
      <c r="D746">
        <v>0</v>
      </c>
      <c r="E746" t="s">
        <v>12</v>
      </c>
      <c r="F746" t="s">
        <v>14</v>
      </c>
      <c r="G746">
        <v>8827.21</v>
      </c>
      <c r="H746" s="11" t="str" cm="1">
        <f t="array" ref="H746">_xlfn.IFS(Table1[[#This Row],[age]]&lt;=30,"Young Adults",Table1[[#This Row],[age]]&lt;=45,"Adults",Table1[[#This Row],[age]]&lt;=60,"Seniors",Table1[[#This Row],[age]]&gt;=61,"Elderly")</f>
        <v>Seniors</v>
      </c>
    </row>
    <row r="747" spans="1:8">
      <c r="A747">
        <v>50</v>
      </c>
      <c r="B747" t="s">
        <v>8</v>
      </c>
      <c r="C747">
        <v>30.115</v>
      </c>
      <c r="D747">
        <v>1</v>
      </c>
      <c r="E747" t="s">
        <v>12</v>
      </c>
      <c r="F747" t="s">
        <v>14</v>
      </c>
      <c r="G747">
        <v>9910.36</v>
      </c>
      <c r="H747" s="11" t="str" cm="1">
        <f t="array" ref="H747">_xlfn.IFS(Table1[[#This Row],[age]]&lt;=30,"Young Adults",Table1[[#This Row],[age]]&lt;=45,"Adults",Table1[[#This Row],[age]]&lt;=60,"Seniors",Table1[[#This Row],[age]]&gt;=61,"Elderly")</f>
        <v>Seniors</v>
      </c>
    </row>
    <row r="748" spans="1:8">
      <c r="A748">
        <v>34</v>
      </c>
      <c r="B748" t="s">
        <v>11</v>
      </c>
      <c r="C748">
        <v>27</v>
      </c>
      <c r="D748">
        <v>2</v>
      </c>
      <c r="E748" t="s">
        <v>12</v>
      </c>
      <c r="F748" t="s">
        <v>10</v>
      </c>
      <c r="G748">
        <v>11737.85</v>
      </c>
      <c r="H748" s="11" t="str" cm="1">
        <f t="array" ref="H748">_xlfn.IFS(Table1[[#This Row],[age]]&lt;=30,"Young Adults",Table1[[#This Row],[age]]&lt;=45,"Adults",Table1[[#This Row],[age]]&lt;=60,"Seniors",Table1[[#This Row],[age]]&gt;=61,"Elderly")</f>
        <v>Adults</v>
      </c>
    </row>
    <row r="749" spans="1:8">
      <c r="A749">
        <v>19</v>
      </c>
      <c r="B749" t="s">
        <v>11</v>
      </c>
      <c r="C749">
        <v>21.755</v>
      </c>
      <c r="D749">
        <v>0</v>
      </c>
      <c r="E749" t="s">
        <v>12</v>
      </c>
      <c r="F749" t="s">
        <v>14</v>
      </c>
      <c r="G749">
        <v>1627.28</v>
      </c>
      <c r="H749" s="11" t="str" cm="1">
        <f t="array" ref="H749">_xlfn.IFS(Table1[[#This Row],[age]]&lt;=30,"Young Adults",Table1[[#This Row],[age]]&lt;=45,"Adults",Table1[[#This Row],[age]]&lt;=60,"Seniors",Table1[[#This Row],[age]]&gt;=61,"Elderly")</f>
        <v>Young Adults</v>
      </c>
    </row>
    <row r="750" spans="1:8">
      <c r="A750">
        <v>47</v>
      </c>
      <c r="B750" t="s">
        <v>8</v>
      </c>
      <c r="C750">
        <v>36</v>
      </c>
      <c r="D750">
        <v>1</v>
      </c>
      <c r="E750" t="s">
        <v>12</v>
      </c>
      <c r="F750" t="s">
        <v>10</v>
      </c>
      <c r="G750">
        <v>8556.91</v>
      </c>
      <c r="H750" s="11" t="str" cm="1">
        <f t="array" ref="H750">_xlfn.IFS(Table1[[#This Row],[age]]&lt;=30,"Young Adults",Table1[[#This Row],[age]]&lt;=45,"Adults",Table1[[#This Row],[age]]&lt;=60,"Seniors",Table1[[#This Row],[age]]&gt;=61,"Elderly")</f>
        <v>Seniors</v>
      </c>
    </row>
    <row r="751" spans="1:8">
      <c r="A751">
        <v>28</v>
      </c>
      <c r="B751" t="s">
        <v>11</v>
      </c>
      <c r="C751">
        <v>30.875</v>
      </c>
      <c r="D751">
        <v>0</v>
      </c>
      <c r="E751" t="s">
        <v>12</v>
      </c>
      <c r="F751" t="s">
        <v>14</v>
      </c>
      <c r="G751">
        <v>3062.51</v>
      </c>
      <c r="H751" s="11" t="str" cm="1">
        <f t="array" ref="H751">_xlfn.IFS(Table1[[#This Row],[age]]&lt;=30,"Young Adults",Table1[[#This Row],[age]]&lt;=45,"Adults",Table1[[#This Row],[age]]&lt;=60,"Seniors",Table1[[#This Row],[age]]&gt;=61,"Elderly")</f>
        <v>Young Adults</v>
      </c>
    </row>
    <row r="752" spans="1:8">
      <c r="A752">
        <v>37</v>
      </c>
      <c r="B752" t="s">
        <v>8</v>
      </c>
      <c r="C752">
        <v>26.4</v>
      </c>
      <c r="D752">
        <v>0</v>
      </c>
      <c r="E752" t="s">
        <v>9</v>
      </c>
      <c r="F752" t="s">
        <v>13</v>
      </c>
      <c r="G752">
        <v>19539.24</v>
      </c>
      <c r="H752" s="11" t="str" cm="1">
        <f t="array" ref="H752">_xlfn.IFS(Table1[[#This Row],[age]]&lt;=30,"Young Adults",Table1[[#This Row],[age]]&lt;=45,"Adults",Table1[[#This Row],[age]]&lt;=60,"Seniors",Table1[[#This Row],[age]]&gt;=61,"Elderly")</f>
        <v>Adults</v>
      </c>
    </row>
    <row r="753" spans="1:8">
      <c r="A753">
        <v>21</v>
      </c>
      <c r="B753" t="s">
        <v>11</v>
      </c>
      <c r="C753">
        <v>28.975</v>
      </c>
      <c r="D753">
        <v>0</v>
      </c>
      <c r="E753" t="s">
        <v>12</v>
      </c>
      <c r="F753" t="s">
        <v>14</v>
      </c>
      <c r="G753">
        <v>1906.36</v>
      </c>
      <c r="H753" s="11" t="str" cm="1">
        <f t="array" ref="H753">_xlfn.IFS(Table1[[#This Row],[age]]&lt;=30,"Young Adults",Table1[[#This Row],[age]]&lt;=45,"Adults",Table1[[#This Row],[age]]&lt;=60,"Seniors",Table1[[#This Row],[age]]&gt;=61,"Elderly")</f>
        <v>Young Adults</v>
      </c>
    </row>
    <row r="754" spans="1:8">
      <c r="A754">
        <v>64</v>
      </c>
      <c r="B754" t="s">
        <v>11</v>
      </c>
      <c r="C754">
        <v>37.905</v>
      </c>
      <c r="D754">
        <v>0</v>
      </c>
      <c r="E754" t="s">
        <v>12</v>
      </c>
      <c r="F754" t="s">
        <v>14</v>
      </c>
      <c r="G754">
        <v>14210.54</v>
      </c>
      <c r="H754" s="11" t="str" cm="1">
        <f t="array" ref="H754">_xlfn.IFS(Table1[[#This Row],[age]]&lt;=30,"Young Adults",Table1[[#This Row],[age]]&lt;=45,"Adults",Table1[[#This Row],[age]]&lt;=60,"Seniors",Table1[[#This Row],[age]]&gt;=61,"Elderly")</f>
        <v>Elderly</v>
      </c>
    </row>
    <row r="755" spans="1:8">
      <c r="A755">
        <v>58</v>
      </c>
      <c r="B755" t="s">
        <v>8</v>
      </c>
      <c r="C755">
        <v>22.77</v>
      </c>
      <c r="D755">
        <v>0</v>
      </c>
      <c r="E755" t="s">
        <v>12</v>
      </c>
      <c r="F755" t="s">
        <v>13</v>
      </c>
      <c r="G755">
        <v>11833.78</v>
      </c>
      <c r="H755" s="11" t="str" cm="1">
        <f t="array" ref="H755">_xlfn.IFS(Table1[[#This Row],[age]]&lt;=30,"Young Adults",Table1[[#This Row],[age]]&lt;=45,"Adults",Table1[[#This Row],[age]]&lt;=60,"Seniors",Table1[[#This Row],[age]]&gt;=61,"Elderly")</f>
        <v>Seniors</v>
      </c>
    </row>
    <row r="756" spans="1:8">
      <c r="A756">
        <v>24</v>
      </c>
      <c r="B756" t="s">
        <v>11</v>
      </c>
      <c r="C756">
        <v>33.63</v>
      </c>
      <c r="D756">
        <v>4</v>
      </c>
      <c r="E756" t="s">
        <v>12</v>
      </c>
      <c r="F756" t="s">
        <v>15</v>
      </c>
      <c r="G756">
        <v>17128.43</v>
      </c>
      <c r="H756" s="11" t="str" cm="1">
        <f t="array" ref="H756">_xlfn.IFS(Table1[[#This Row],[age]]&lt;=30,"Young Adults",Table1[[#This Row],[age]]&lt;=45,"Adults",Table1[[#This Row],[age]]&lt;=60,"Seniors",Table1[[#This Row],[age]]&gt;=61,"Elderly")</f>
        <v>Young Adults</v>
      </c>
    </row>
    <row r="757" spans="1:8">
      <c r="A757">
        <v>31</v>
      </c>
      <c r="B757" t="s">
        <v>11</v>
      </c>
      <c r="C757">
        <v>27.645</v>
      </c>
      <c r="D757">
        <v>2</v>
      </c>
      <c r="E757" t="s">
        <v>12</v>
      </c>
      <c r="F757" t="s">
        <v>15</v>
      </c>
      <c r="G757">
        <v>5031.27</v>
      </c>
      <c r="H757" s="11" t="str" cm="1">
        <f t="array" ref="H757">_xlfn.IFS(Table1[[#This Row],[age]]&lt;=30,"Young Adults",Table1[[#This Row],[age]]&lt;=45,"Adults",Table1[[#This Row],[age]]&lt;=60,"Seniors",Table1[[#This Row],[age]]&gt;=61,"Elderly")</f>
        <v>Adults</v>
      </c>
    </row>
    <row r="758" spans="1:8">
      <c r="A758">
        <v>39</v>
      </c>
      <c r="B758" t="s">
        <v>8</v>
      </c>
      <c r="C758">
        <v>22.8</v>
      </c>
      <c r="D758">
        <v>3</v>
      </c>
      <c r="E758" t="s">
        <v>12</v>
      </c>
      <c r="F758" t="s">
        <v>15</v>
      </c>
      <c r="G758">
        <v>7985.82</v>
      </c>
      <c r="H758" s="11" t="str" cm="1">
        <f t="array" ref="H758">_xlfn.IFS(Table1[[#This Row],[age]]&lt;=30,"Young Adults",Table1[[#This Row],[age]]&lt;=45,"Adults",Table1[[#This Row],[age]]&lt;=60,"Seniors",Table1[[#This Row],[age]]&gt;=61,"Elderly")</f>
        <v>Adults</v>
      </c>
    </row>
    <row r="759" spans="1:8">
      <c r="A759">
        <v>47</v>
      </c>
      <c r="B759" t="s">
        <v>8</v>
      </c>
      <c r="C759">
        <v>27.83</v>
      </c>
      <c r="D759">
        <v>0</v>
      </c>
      <c r="E759" t="s">
        <v>9</v>
      </c>
      <c r="F759" t="s">
        <v>13</v>
      </c>
      <c r="G759">
        <v>23065.42</v>
      </c>
      <c r="H759" s="11" t="str" cm="1">
        <f t="array" ref="H759">_xlfn.IFS(Table1[[#This Row],[age]]&lt;=30,"Young Adults",Table1[[#This Row],[age]]&lt;=45,"Adults",Table1[[#This Row],[age]]&lt;=60,"Seniors",Table1[[#This Row],[age]]&gt;=61,"Elderly")</f>
        <v>Seniors</v>
      </c>
    </row>
    <row r="760" spans="1:8">
      <c r="A760">
        <v>30</v>
      </c>
      <c r="B760" t="s">
        <v>11</v>
      </c>
      <c r="C760">
        <v>37.43</v>
      </c>
      <c r="D760">
        <v>3</v>
      </c>
      <c r="E760" t="s">
        <v>12</v>
      </c>
      <c r="F760" t="s">
        <v>15</v>
      </c>
      <c r="G760">
        <v>5428.73</v>
      </c>
      <c r="H760" s="11" t="str" cm="1">
        <f t="array" ref="H760">_xlfn.IFS(Table1[[#This Row],[age]]&lt;=30,"Young Adults",Table1[[#This Row],[age]]&lt;=45,"Adults",Table1[[#This Row],[age]]&lt;=60,"Seniors",Table1[[#This Row],[age]]&gt;=61,"Elderly")</f>
        <v>Young Adults</v>
      </c>
    </row>
    <row r="761" spans="1:8">
      <c r="A761">
        <v>18</v>
      </c>
      <c r="B761" t="s">
        <v>11</v>
      </c>
      <c r="C761">
        <v>38.17</v>
      </c>
      <c r="D761">
        <v>0</v>
      </c>
      <c r="E761" t="s">
        <v>9</v>
      </c>
      <c r="F761" t="s">
        <v>13</v>
      </c>
      <c r="G761">
        <v>36307.8</v>
      </c>
      <c r="H761" s="11" t="str" cm="1">
        <f t="array" ref="H761">_xlfn.IFS(Table1[[#This Row],[age]]&lt;=30,"Young Adults",Table1[[#This Row],[age]]&lt;=45,"Adults",Table1[[#This Row],[age]]&lt;=60,"Seniors",Table1[[#This Row],[age]]&gt;=61,"Elderly")</f>
        <v>Young Adults</v>
      </c>
    </row>
    <row r="762" spans="1:8">
      <c r="A762">
        <v>22</v>
      </c>
      <c r="B762" t="s">
        <v>8</v>
      </c>
      <c r="C762">
        <v>34.58</v>
      </c>
      <c r="D762">
        <v>2</v>
      </c>
      <c r="E762" t="s">
        <v>12</v>
      </c>
      <c r="F762" t="s">
        <v>15</v>
      </c>
      <c r="G762">
        <v>3925.76</v>
      </c>
      <c r="H762" s="11" t="str" cm="1">
        <f t="array" ref="H762">_xlfn.IFS(Table1[[#This Row],[age]]&lt;=30,"Young Adults",Table1[[#This Row],[age]]&lt;=45,"Adults",Table1[[#This Row],[age]]&lt;=60,"Seniors",Table1[[#This Row],[age]]&gt;=61,"Elderly")</f>
        <v>Young Adults</v>
      </c>
    </row>
    <row r="763" spans="1:8">
      <c r="A763">
        <v>23</v>
      </c>
      <c r="B763" t="s">
        <v>11</v>
      </c>
      <c r="C763">
        <v>35.2</v>
      </c>
      <c r="D763">
        <v>1</v>
      </c>
      <c r="E763" t="s">
        <v>12</v>
      </c>
      <c r="F763" t="s">
        <v>10</v>
      </c>
      <c r="G763">
        <v>2416.96</v>
      </c>
      <c r="H763" s="11" t="str" cm="1">
        <f t="array" ref="H763">_xlfn.IFS(Table1[[#This Row],[age]]&lt;=30,"Young Adults",Table1[[#This Row],[age]]&lt;=45,"Adults",Table1[[#This Row],[age]]&lt;=60,"Seniors",Table1[[#This Row],[age]]&gt;=61,"Elderly")</f>
        <v>Young Adults</v>
      </c>
    </row>
    <row r="764" spans="1:8">
      <c r="A764">
        <v>33</v>
      </c>
      <c r="B764" t="s">
        <v>11</v>
      </c>
      <c r="C764">
        <v>27.1</v>
      </c>
      <c r="D764">
        <v>1</v>
      </c>
      <c r="E764" t="s">
        <v>9</v>
      </c>
      <c r="F764" t="s">
        <v>10</v>
      </c>
      <c r="G764">
        <v>19040.88</v>
      </c>
      <c r="H764" s="11" t="str" cm="1">
        <f t="array" ref="H764">_xlfn.IFS(Table1[[#This Row],[age]]&lt;=30,"Young Adults",Table1[[#This Row],[age]]&lt;=45,"Adults",Table1[[#This Row],[age]]&lt;=60,"Seniors",Table1[[#This Row],[age]]&gt;=61,"Elderly")</f>
        <v>Adults</v>
      </c>
    </row>
    <row r="765" spans="1:8">
      <c r="A765">
        <v>27</v>
      </c>
      <c r="B765" t="s">
        <v>11</v>
      </c>
      <c r="C765">
        <v>26.03</v>
      </c>
      <c r="D765">
        <v>0</v>
      </c>
      <c r="E765" t="s">
        <v>12</v>
      </c>
      <c r="F765" t="s">
        <v>15</v>
      </c>
      <c r="G765">
        <v>3070.81</v>
      </c>
      <c r="H765" s="11" t="str" cm="1">
        <f t="array" ref="H765">_xlfn.IFS(Table1[[#This Row],[age]]&lt;=30,"Young Adults",Table1[[#This Row],[age]]&lt;=45,"Adults",Table1[[#This Row],[age]]&lt;=60,"Seniors",Table1[[#This Row],[age]]&gt;=61,"Elderly")</f>
        <v>Young Adults</v>
      </c>
    </row>
    <row r="766" spans="1:8">
      <c r="A766">
        <v>45</v>
      </c>
      <c r="B766" t="s">
        <v>8</v>
      </c>
      <c r="C766">
        <v>25.175</v>
      </c>
      <c r="D766">
        <v>2</v>
      </c>
      <c r="E766" t="s">
        <v>12</v>
      </c>
      <c r="F766" t="s">
        <v>15</v>
      </c>
      <c r="G766">
        <v>9095.07</v>
      </c>
      <c r="H766" s="11" t="str" cm="1">
        <f t="array" ref="H766">_xlfn.IFS(Table1[[#This Row],[age]]&lt;=30,"Young Adults",Table1[[#This Row],[age]]&lt;=45,"Adults",Table1[[#This Row],[age]]&lt;=60,"Seniors",Table1[[#This Row],[age]]&gt;=61,"Elderly")</f>
        <v>Adults</v>
      </c>
    </row>
    <row r="767" spans="1:8">
      <c r="A767">
        <v>57</v>
      </c>
      <c r="B767" t="s">
        <v>8</v>
      </c>
      <c r="C767">
        <v>31.825</v>
      </c>
      <c r="D767">
        <v>0</v>
      </c>
      <c r="E767" t="s">
        <v>12</v>
      </c>
      <c r="F767" t="s">
        <v>14</v>
      </c>
      <c r="G767">
        <v>11842.62</v>
      </c>
      <c r="H767" s="11" t="str" cm="1">
        <f t="array" ref="H767">_xlfn.IFS(Table1[[#This Row],[age]]&lt;=30,"Young Adults",Table1[[#This Row],[age]]&lt;=45,"Adults",Table1[[#This Row],[age]]&lt;=60,"Seniors",Table1[[#This Row],[age]]&gt;=61,"Elderly")</f>
        <v>Seniors</v>
      </c>
    </row>
    <row r="768" spans="1:8">
      <c r="A768">
        <v>47</v>
      </c>
      <c r="B768" t="s">
        <v>11</v>
      </c>
      <c r="C768">
        <v>32.3</v>
      </c>
      <c r="D768">
        <v>1</v>
      </c>
      <c r="E768" t="s">
        <v>12</v>
      </c>
      <c r="F768" t="s">
        <v>10</v>
      </c>
      <c r="G768">
        <v>8062.76</v>
      </c>
      <c r="H768" s="11" t="str" cm="1">
        <f t="array" ref="H768">_xlfn.IFS(Table1[[#This Row],[age]]&lt;=30,"Young Adults",Table1[[#This Row],[age]]&lt;=45,"Adults",Table1[[#This Row],[age]]&lt;=60,"Seniors",Table1[[#This Row],[age]]&gt;=61,"Elderly")</f>
        <v>Seniors</v>
      </c>
    </row>
    <row r="769" spans="1:8">
      <c r="A769">
        <v>42</v>
      </c>
      <c r="B769" t="s">
        <v>8</v>
      </c>
      <c r="C769">
        <v>29</v>
      </c>
      <c r="D769">
        <v>1</v>
      </c>
      <c r="E769" t="s">
        <v>12</v>
      </c>
      <c r="F769" t="s">
        <v>10</v>
      </c>
      <c r="G769">
        <v>7050.64</v>
      </c>
      <c r="H769" s="11" t="str" cm="1">
        <f t="array" ref="H769">_xlfn.IFS(Table1[[#This Row],[age]]&lt;=30,"Young Adults",Table1[[#This Row],[age]]&lt;=45,"Adults",Table1[[#This Row],[age]]&lt;=60,"Seniors",Table1[[#This Row],[age]]&gt;=61,"Elderly")</f>
        <v>Adults</v>
      </c>
    </row>
    <row r="770" spans="1:8">
      <c r="A770">
        <v>64</v>
      </c>
      <c r="B770" t="s">
        <v>8</v>
      </c>
      <c r="C770">
        <v>39.7</v>
      </c>
      <c r="D770">
        <v>0</v>
      </c>
      <c r="E770" t="s">
        <v>12</v>
      </c>
      <c r="F770" t="s">
        <v>10</v>
      </c>
      <c r="G770">
        <v>14319.03</v>
      </c>
      <c r="H770" s="11" t="str" cm="1">
        <f t="array" ref="H770">_xlfn.IFS(Table1[[#This Row],[age]]&lt;=30,"Young Adults",Table1[[#This Row],[age]]&lt;=45,"Adults",Table1[[#This Row],[age]]&lt;=60,"Seniors",Table1[[#This Row],[age]]&gt;=61,"Elderly")</f>
        <v>Elderly</v>
      </c>
    </row>
    <row r="771" spans="1:8">
      <c r="A771">
        <v>38</v>
      </c>
      <c r="B771" t="s">
        <v>8</v>
      </c>
      <c r="C771">
        <v>19.475</v>
      </c>
      <c r="D771">
        <v>2</v>
      </c>
      <c r="E771" t="s">
        <v>12</v>
      </c>
      <c r="F771" t="s">
        <v>14</v>
      </c>
      <c r="G771">
        <v>6933.24</v>
      </c>
      <c r="H771" s="11" t="str" cm="1">
        <f t="array" ref="H771">_xlfn.IFS(Table1[[#This Row],[age]]&lt;=30,"Young Adults",Table1[[#This Row],[age]]&lt;=45,"Adults",Table1[[#This Row],[age]]&lt;=60,"Seniors",Table1[[#This Row],[age]]&gt;=61,"Elderly")</f>
        <v>Adults</v>
      </c>
    </row>
    <row r="772" spans="1:8">
      <c r="A772">
        <v>61</v>
      </c>
      <c r="B772" t="s">
        <v>11</v>
      </c>
      <c r="C772">
        <v>36.1</v>
      </c>
      <c r="D772">
        <v>3</v>
      </c>
      <c r="E772" t="s">
        <v>12</v>
      </c>
      <c r="F772" t="s">
        <v>10</v>
      </c>
      <c r="G772">
        <v>27941.29</v>
      </c>
      <c r="H772" s="11" t="str" cm="1">
        <f t="array" ref="H772">_xlfn.IFS(Table1[[#This Row],[age]]&lt;=30,"Young Adults",Table1[[#This Row],[age]]&lt;=45,"Adults",Table1[[#This Row],[age]]&lt;=60,"Seniors",Table1[[#This Row],[age]]&gt;=61,"Elderly")</f>
        <v>Elderly</v>
      </c>
    </row>
    <row r="773" spans="1:8">
      <c r="A773">
        <v>53</v>
      </c>
      <c r="B773" t="s">
        <v>8</v>
      </c>
      <c r="C773">
        <v>26.7</v>
      </c>
      <c r="D773">
        <v>2</v>
      </c>
      <c r="E773" t="s">
        <v>12</v>
      </c>
      <c r="F773" t="s">
        <v>10</v>
      </c>
      <c r="G773">
        <v>11150.78</v>
      </c>
      <c r="H773" s="11" t="str" cm="1">
        <f t="array" ref="H773">_xlfn.IFS(Table1[[#This Row],[age]]&lt;=30,"Young Adults",Table1[[#This Row],[age]]&lt;=45,"Adults",Table1[[#This Row],[age]]&lt;=60,"Seniors",Table1[[#This Row],[age]]&gt;=61,"Elderly")</f>
        <v>Seniors</v>
      </c>
    </row>
    <row r="774" spans="1:8">
      <c r="A774">
        <v>44</v>
      </c>
      <c r="B774" t="s">
        <v>8</v>
      </c>
      <c r="C774">
        <v>36.48</v>
      </c>
      <c r="D774">
        <v>0</v>
      </c>
      <c r="E774" t="s">
        <v>12</v>
      </c>
      <c r="F774" t="s">
        <v>15</v>
      </c>
      <c r="G774">
        <v>12797.21</v>
      </c>
      <c r="H774" s="11" t="str" cm="1">
        <f t="array" ref="H774">_xlfn.IFS(Table1[[#This Row],[age]]&lt;=30,"Young Adults",Table1[[#This Row],[age]]&lt;=45,"Adults",Table1[[#This Row],[age]]&lt;=60,"Seniors",Table1[[#This Row],[age]]&gt;=61,"Elderly")</f>
        <v>Adults</v>
      </c>
    </row>
    <row r="775" spans="1:8">
      <c r="A775">
        <v>19</v>
      </c>
      <c r="B775" t="s">
        <v>8</v>
      </c>
      <c r="C775">
        <v>28.88</v>
      </c>
      <c r="D775">
        <v>0</v>
      </c>
      <c r="E775" t="s">
        <v>9</v>
      </c>
      <c r="F775" t="s">
        <v>14</v>
      </c>
      <c r="G775">
        <v>17748.51</v>
      </c>
      <c r="H775" s="11" t="str" cm="1">
        <f t="array" ref="H775">_xlfn.IFS(Table1[[#This Row],[age]]&lt;=30,"Young Adults",Table1[[#This Row],[age]]&lt;=45,"Adults",Table1[[#This Row],[age]]&lt;=60,"Seniors",Table1[[#This Row],[age]]&gt;=61,"Elderly")</f>
        <v>Young Adults</v>
      </c>
    </row>
    <row r="776" spans="1:8">
      <c r="A776">
        <v>41</v>
      </c>
      <c r="B776" t="s">
        <v>11</v>
      </c>
      <c r="C776">
        <v>34.2</v>
      </c>
      <c r="D776">
        <v>2</v>
      </c>
      <c r="E776" t="s">
        <v>12</v>
      </c>
      <c r="F776" t="s">
        <v>14</v>
      </c>
      <c r="G776">
        <v>7261.74</v>
      </c>
      <c r="H776" s="11" t="str" cm="1">
        <f t="array" ref="H776">_xlfn.IFS(Table1[[#This Row],[age]]&lt;=30,"Young Adults",Table1[[#This Row],[age]]&lt;=45,"Adults",Table1[[#This Row],[age]]&lt;=60,"Seniors",Table1[[#This Row],[age]]&gt;=61,"Elderly")</f>
        <v>Adults</v>
      </c>
    </row>
    <row r="777" spans="1:8">
      <c r="A777">
        <v>51</v>
      </c>
      <c r="B777" t="s">
        <v>11</v>
      </c>
      <c r="C777">
        <v>33.33</v>
      </c>
      <c r="D777">
        <v>3</v>
      </c>
      <c r="E777" t="s">
        <v>12</v>
      </c>
      <c r="F777" t="s">
        <v>13</v>
      </c>
      <c r="G777">
        <v>10560.49</v>
      </c>
      <c r="H777" s="11" t="str" cm="1">
        <f t="array" ref="H777">_xlfn.IFS(Table1[[#This Row],[age]]&lt;=30,"Young Adults",Table1[[#This Row],[age]]&lt;=45,"Adults",Table1[[#This Row],[age]]&lt;=60,"Seniors",Table1[[#This Row],[age]]&gt;=61,"Elderly")</f>
        <v>Seniors</v>
      </c>
    </row>
    <row r="778" spans="1:8">
      <c r="A778">
        <v>40</v>
      </c>
      <c r="B778" t="s">
        <v>11</v>
      </c>
      <c r="C778">
        <v>32.3</v>
      </c>
      <c r="D778">
        <v>2</v>
      </c>
      <c r="E778" t="s">
        <v>12</v>
      </c>
      <c r="F778" t="s">
        <v>14</v>
      </c>
      <c r="G778">
        <v>6986.7</v>
      </c>
      <c r="H778" s="11" t="str" cm="1">
        <f t="array" ref="H778">_xlfn.IFS(Table1[[#This Row],[age]]&lt;=30,"Young Adults",Table1[[#This Row],[age]]&lt;=45,"Adults",Table1[[#This Row],[age]]&lt;=60,"Seniors",Table1[[#This Row],[age]]&gt;=61,"Elderly")</f>
        <v>Adults</v>
      </c>
    </row>
    <row r="779" spans="1:8">
      <c r="A779">
        <v>45</v>
      </c>
      <c r="B779" t="s">
        <v>11</v>
      </c>
      <c r="C779">
        <v>39.805</v>
      </c>
      <c r="D779">
        <v>0</v>
      </c>
      <c r="E779" t="s">
        <v>12</v>
      </c>
      <c r="F779" t="s">
        <v>15</v>
      </c>
      <c r="G779">
        <v>7448.4</v>
      </c>
      <c r="H779" s="11" t="str" cm="1">
        <f t="array" ref="H779">_xlfn.IFS(Table1[[#This Row],[age]]&lt;=30,"Young Adults",Table1[[#This Row],[age]]&lt;=45,"Adults",Table1[[#This Row],[age]]&lt;=60,"Seniors",Table1[[#This Row],[age]]&gt;=61,"Elderly")</f>
        <v>Adults</v>
      </c>
    </row>
    <row r="780" spans="1:8">
      <c r="A780">
        <v>35</v>
      </c>
      <c r="B780" t="s">
        <v>11</v>
      </c>
      <c r="C780">
        <v>34.32</v>
      </c>
      <c r="D780">
        <v>3</v>
      </c>
      <c r="E780" t="s">
        <v>12</v>
      </c>
      <c r="F780" t="s">
        <v>13</v>
      </c>
      <c r="G780">
        <v>5934.38</v>
      </c>
      <c r="H780" s="11" t="str" cm="1">
        <f t="array" ref="H780">_xlfn.IFS(Table1[[#This Row],[age]]&lt;=30,"Young Adults",Table1[[#This Row],[age]]&lt;=45,"Adults",Table1[[#This Row],[age]]&lt;=60,"Seniors",Table1[[#This Row],[age]]&gt;=61,"Elderly")</f>
        <v>Adults</v>
      </c>
    </row>
    <row r="781" spans="1:8">
      <c r="A781">
        <v>53</v>
      </c>
      <c r="B781" t="s">
        <v>11</v>
      </c>
      <c r="C781">
        <v>28.88</v>
      </c>
      <c r="D781">
        <v>0</v>
      </c>
      <c r="E781" t="s">
        <v>12</v>
      </c>
      <c r="F781" t="s">
        <v>14</v>
      </c>
      <c r="G781">
        <v>9869.81</v>
      </c>
      <c r="H781" s="11" t="str" cm="1">
        <f t="array" ref="H781">_xlfn.IFS(Table1[[#This Row],[age]]&lt;=30,"Young Adults",Table1[[#This Row],[age]]&lt;=45,"Adults",Table1[[#This Row],[age]]&lt;=60,"Seniors",Table1[[#This Row],[age]]&gt;=61,"Elderly")</f>
        <v>Seniors</v>
      </c>
    </row>
    <row r="782" spans="1:8">
      <c r="A782">
        <v>30</v>
      </c>
      <c r="B782" t="s">
        <v>11</v>
      </c>
      <c r="C782">
        <v>24.4</v>
      </c>
      <c r="D782">
        <v>3</v>
      </c>
      <c r="E782" t="s">
        <v>9</v>
      </c>
      <c r="F782" t="s">
        <v>10</v>
      </c>
      <c r="G782">
        <v>18259.22</v>
      </c>
      <c r="H782" s="11" t="str" cm="1">
        <f t="array" ref="H782">_xlfn.IFS(Table1[[#This Row],[age]]&lt;=30,"Young Adults",Table1[[#This Row],[age]]&lt;=45,"Adults",Table1[[#This Row],[age]]&lt;=60,"Seniors",Table1[[#This Row],[age]]&gt;=61,"Elderly")</f>
        <v>Young Adults</v>
      </c>
    </row>
    <row r="783" spans="1:8">
      <c r="A783">
        <v>18</v>
      </c>
      <c r="B783" t="s">
        <v>11</v>
      </c>
      <c r="C783">
        <v>41.14</v>
      </c>
      <c r="D783">
        <v>0</v>
      </c>
      <c r="E783" t="s">
        <v>12</v>
      </c>
      <c r="F783" t="s">
        <v>13</v>
      </c>
      <c r="G783">
        <v>1146.8</v>
      </c>
      <c r="H783" s="11" t="str" cm="1">
        <f t="array" ref="H783">_xlfn.IFS(Table1[[#This Row],[age]]&lt;=30,"Young Adults",Table1[[#This Row],[age]]&lt;=45,"Adults",Table1[[#This Row],[age]]&lt;=60,"Seniors",Table1[[#This Row],[age]]&gt;=61,"Elderly")</f>
        <v>Young Adults</v>
      </c>
    </row>
    <row r="784" spans="1:8">
      <c r="A784">
        <v>51</v>
      </c>
      <c r="B784" t="s">
        <v>11</v>
      </c>
      <c r="C784">
        <v>35.97</v>
      </c>
      <c r="D784">
        <v>1</v>
      </c>
      <c r="E784" t="s">
        <v>12</v>
      </c>
      <c r="F784" t="s">
        <v>13</v>
      </c>
      <c r="G784">
        <v>9386.16</v>
      </c>
      <c r="H784" s="11" t="str" cm="1">
        <f t="array" ref="H784">_xlfn.IFS(Table1[[#This Row],[age]]&lt;=30,"Young Adults",Table1[[#This Row],[age]]&lt;=45,"Adults",Table1[[#This Row],[age]]&lt;=60,"Seniors",Table1[[#This Row],[age]]&gt;=61,"Elderly")</f>
        <v>Seniors</v>
      </c>
    </row>
    <row r="785" spans="1:8">
      <c r="A785">
        <v>50</v>
      </c>
      <c r="B785" t="s">
        <v>8</v>
      </c>
      <c r="C785">
        <v>27.6</v>
      </c>
      <c r="D785">
        <v>1</v>
      </c>
      <c r="E785" t="s">
        <v>9</v>
      </c>
      <c r="F785" t="s">
        <v>10</v>
      </c>
      <c r="G785">
        <v>24520.26</v>
      </c>
      <c r="H785" s="11" t="str" cm="1">
        <f t="array" ref="H785">_xlfn.IFS(Table1[[#This Row],[age]]&lt;=30,"Young Adults",Table1[[#This Row],[age]]&lt;=45,"Adults",Table1[[#This Row],[age]]&lt;=60,"Seniors",Table1[[#This Row],[age]]&gt;=61,"Elderly")</f>
        <v>Seniors</v>
      </c>
    </row>
    <row r="786" spans="1:8">
      <c r="A786">
        <v>31</v>
      </c>
      <c r="B786" t="s">
        <v>8</v>
      </c>
      <c r="C786">
        <v>29.26</v>
      </c>
      <c r="D786">
        <v>1</v>
      </c>
      <c r="E786" t="s">
        <v>12</v>
      </c>
      <c r="F786" t="s">
        <v>13</v>
      </c>
      <c r="G786">
        <v>4350.51</v>
      </c>
      <c r="H786" s="11" t="str" cm="1">
        <f t="array" ref="H786">_xlfn.IFS(Table1[[#This Row],[age]]&lt;=30,"Young Adults",Table1[[#This Row],[age]]&lt;=45,"Adults",Table1[[#This Row],[age]]&lt;=60,"Seniors",Table1[[#This Row],[age]]&gt;=61,"Elderly")</f>
        <v>Adults</v>
      </c>
    </row>
    <row r="787" spans="1:8">
      <c r="A787">
        <v>35</v>
      </c>
      <c r="B787" t="s">
        <v>8</v>
      </c>
      <c r="C787">
        <v>27.7</v>
      </c>
      <c r="D787">
        <v>3</v>
      </c>
      <c r="E787" t="s">
        <v>12</v>
      </c>
      <c r="F787" t="s">
        <v>10</v>
      </c>
      <c r="G787">
        <v>6414.18</v>
      </c>
      <c r="H787" s="11" t="str" cm="1">
        <f t="array" ref="H787">_xlfn.IFS(Table1[[#This Row],[age]]&lt;=30,"Young Adults",Table1[[#This Row],[age]]&lt;=45,"Adults",Table1[[#This Row],[age]]&lt;=60,"Seniors",Table1[[#This Row],[age]]&gt;=61,"Elderly")</f>
        <v>Adults</v>
      </c>
    </row>
    <row r="788" spans="1:8">
      <c r="A788">
        <v>60</v>
      </c>
      <c r="B788" t="s">
        <v>11</v>
      </c>
      <c r="C788">
        <v>36.955</v>
      </c>
      <c r="D788">
        <v>0</v>
      </c>
      <c r="E788" t="s">
        <v>12</v>
      </c>
      <c r="F788" t="s">
        <v>15</v>
      </c>
      <c r="G788">
        <v>12741.17</v>
      </c>
      <c r="H788" s="11" t="str" cm="1">
        <f t="array" ref="H788">_xlfn.IFS(Table1[[#This Row],[age]]&lt;=30,"Young Adults",Table1[[#This Row],[age]]&lt;=45,"Adults",Table1[[#This Row],[age]]&lt;=60,"Seniors",Table1[[#This Row],[age]]&gt;=61,"Elderly")</f>
        <v>Seniors</v>
      </c>
    </row>
    <row r="789" spans="1:8">
      <c r="A789">
        <v>21</v>
      </c>
      <c r="B789" t="s">
        <v>11</v>
      </c>
      <c r="C789">
        <v>36.86</v>
      </c>
      <c r="D789">
        <v>0</v>
      </c>
      <c r="E789" t="s">
        <v>12</v>
      </c>
      <c r="F789" t="s">
        <v>14</v>
      </c>
      <c r="G789">
        <v>1917.32</v>
      </c>
      <c r="H789" s="11" t="str" cm="1">
        <f t="array" ref="H789">_xlfn.IFS(Table1[[#This Row],[age]]&lt;=30,"Young Adults",Table1[[#This Row],[age]]&lt;=45,"Adults",Table1[[#This Row],[age]]&lt;=60,"Seniors",Table1[[#This Row],[age]]&gt;=61,"Elderly")</f>
        <v>Young Adults</v>
      </c>
    </row>
    <row r="790" spans="1:8">
      <c r="A790">
        <v>29</v>
      </c>
      <c r="B790" t="s">
        <v>11</v>
      </c>
      <c r="C790">
        <v>22.515</v>
      </c>
      <c r="D790">
        <v>3</v>
      </c>
      <c r="E790" t="s">
        <v>12</v>
      </c>
      <c r="F790" t="s">
        <v>15</v>
      </c>
      <c r="G790">
        <v>5209.58</v>
      </c>
      <c r="H790" s="11" t="str" cm="1">
        <f t="array" ref="H790">_xlfn.IFS(Table1[[#This Row],[age]]&lt;=30,"Young Adults",Table1[[#This Row],[age]]&lt;=45,"Adults",Table1[[#This Row],[age]]&lt;=60,"Seniors",Table1[[#This Row],[age]]&gt;=61,"Elderly")</f>
        <v>Young Adults</v>
      </c>
    </row>
    <row r="791" spans="1:8">
      <c r="A791">
        <v>62</v>
      </c>
      <c r="B791" t="s">
        <v>8</v>
      </c>
      <c r="C791">
        <v>29.92</v>
      </c>
      <c r="D791">
        <v>0</v>
      </c>
      <c r="E791" t="s">
        <v>12</v>
      </c>
      <c r="F791" t="s">
        <v>13</v>
      </c>
      <c r="G791">
        <v>13457.96</v>
      </c>
      <c r="H791" s="11" t="str" cm="1">
        <f t="array" ref="H791">_xlfn.IFS(Table1[[#This Row],[age]]&lt;=30,"Young Adults",Table1[[#This Row],[age]]&lt;=45,"Adults",Table1[[#This Row],[age]]&lt;=60,"Seniors",Table1[[#This Row],[age]]&gt;=61,"Elderly")</f>
        <v>Elderly</v>
      </c>
    </row>
    <row r="792" spans="1:8">
      <c r="A792">
        <v>39</v>
      </c>
      <c r="B792" t="s">
        <v>8</v>
      </c>
      <c r="C792">
        <v>41.8</v>
      </c>
      <c r="D792">
        <v>0</v>
      </c>
      <c r="E792" t="s">
        <v>12</v>
      </c>
      <c r="F792" t="s">
        <v>13</v>
      </c>
      <c r="G792">
        <v>5662.23</v>
      </c>
      <c r="H792" s="11" t="str" cm="1">
        <f t="array" ref="H792">_xlfn.IFS(Table1[[#This Row],[age]]&lt;=30,"Young Adults",Table1[[#This Row],[age]]&lt;=45,"Adults",Table1[[#This Row],[age]]&lt;=60,"Seniors",Table1[[#This Row],[age]]&gt;=61,"Elderly")</f>
        <v>Adults</v>
      </c>
    </row>
    <row r="793" spans="1:8">
      <c r="A793">
        <v>19</v>
      </c>
      <c r="B793" t="s">
        <v>11</v>
      </c>
      <c r="C793">
        <v>27.6</v>
      </c>
      <c r="D793">
        <v>0</v>
      </c>
      <c r="E793" t="s">
        <v>12</v>
      </c>
      <c r="F793" t="s">
        <v>10</v>
      </c>
      <c r="G793">
        <v>1252.41</v>
      </c>
      <c r="H793" s="11" t="str" cm="1">
        <f t="array" ref="H793">_xlfn.IFS(Table1[[#This Row],[age]]&lt;=30,"Young Adults",Table1[[#This Row],[age]]&lt;=45,"Adults",Table1[[#This Row],[age]]&lt;=60,"Seniors",Table1[[#This Row],[age]]&gt;=61,"Elderly")</f>
        <v>Young Adults</v>
      </c>
    </row>
    <row r="794" spans="1:8">
      <c r="A794">
        <v>22</v>
      </c>
      <c r="B794" t="s">
        <v>8</v>
      </c>
      <c r="C794">
        <v>23.18</v>
      </c>
      <c r="D794">
        <v>0</v>
      </c>
      <c r="E794" t="s">
        <v>12</v>
      </c>
      <c r="F794" t="s">
        <v>15</v>
      </c>
      <c r="G794">
        <v>2731.91</v>
      </c>
      <c r="H794" s="11" t="str" cm="1">
        <f t="array" ref="H794">_xlfn.IFS(Table1[[#This Row],[age]]&lt;=30,"Young Adults",Table1[[#This Row],[age]]&lt;=45,"Adults",Table1[[#This Row],[age]]&lt;=60,"Seniors",Table1[[#This Row],[age]]&gt;=61,"Elderly")</f>
        <v>Young Adults</v>
      </c>
    </row>
    <row r="795" spans="1:8">
      <c r="A795">
        <v>53</v>
      </c>
      <c r="B795" t="s">
        <v>11</v>
      </c>
      <c r="C795">
        <v>20.9</v>
      </c>
      <c r="D795">
        <v>0</v>
      </c>
      <c r="E795" t="s">
        <v>9</v>
      </c>
      <c r="F795" t="s">
        <v>13</v>
      </c>
      <c r="G795">
        <v>21195.82</v>
      </c>
      <c r="H795" s="11" t="str" cm="1">
        <f t="array" ref="H795">_xlfn.IFS(Table1[[#This Row],[age]]&lt;=30,"Young Adults",Table1[[#This Row],[age]]&lt;=45,"Adults",Table1[[#This Row],[age]]&lt;=60,"Seniors",Table1[[#This Row],[age]]&gt;=61,"Elderly")</f>
        <v>Seniors</v>
      </c>
    </row>
    <row r="796" spans="1:8">
      <c r="A796">
        <v>39</v>
      </c>
      <c r="B796" t="s">
        <v>8</v>
      </c>
      <c r="C796">
        <v>31.92</v>
      </c>
      <c r="D796">
        <v>2</v>
      </c>
      <c r="E796" t="s">
        <v>12</v>
      </c>
      <c r="F796" t="s">
        <v>14</v>
      </c>
      <c r="G796">
        <v>7209.49</v>
      </c>
      <c r="H796" s="11" t="str" cm="1">
        <f t="array" ref="H796">_xlfn.IFS(Table1[[#This Row],[age]]&lt;=30,"Young Adults",Table1[[#This Row],[age]]&lt;=45,"Adults",Table1[[#This Row],[age]]&lt;=60,"Seniors",Table1[[#This Row],[age]]&gt;=61,"Elderly")</f>
        <v>Adults</v>
      </c>
    </row>
    <row r="797" spans="1:8">
      <c r="A797">
        <v>27</v>
      </c>
      <c r="B797" t="s">
        <v>11</v>
      </c>
      <c r="C797">
        <v>28.5</v>
      </c>
      <c r="D797">
        <v>0</v>
      </c>
      <c r="E797" t="s">
        <v>9</v>
      </c>
      <c r="F797" t="s">
        <v>14</v>
      </c>
      <c r="G797">
        <v>18310.74</v>
      </c>
      <c r="H797" s="11" t="str" cm="1">
        <f t="array" ref="H797">_xlfn.IFS(Table1[[#This Row],[age]]&lt;=30,"Young Adults",Table1[[#This Row],[age]]&lt;=45,"Adults",Table1[[#This Row],[age]]&lt;=60,"Seniors",Table1[[#This Row],[age]]&gt;=61,"Elderly")</f>
        <v>Young Adults</v>
      </c>
    </row>
    <row r="798" spans="1:8">
      <c r="A798">
        <v>30</v>
      </c>
      <c r="B798" t="s">
        <v>11</v>
      </c>
      <c r="C798">
        <v>44.22</v>
      </c>
      <c r="D798">
        <v>2</v>
      </c>
      <c r="E798" t="s">
        <v>12</v>
      </c>
      <c r="F798" t="s">
        <v>13</v>
      </c>
      <c r="G798">
        <v>4266.17</v>
      </c>
      <c r="H798" s="11" t="str" cm="1">
        <f t="array" ref="H798">_xlfn.IFS(Table1[[#This Row],[age]]&lt;=30,"Young Adults",Table1[[#This Row],[age]]&lt;=45,"Adults",Table1[[#This Row],[age]]&lt;=60,"Seniors",Table1[[#This Row],[age]]&gt;=61,"Elderly")</f>
        <v>Young Adults</v>
      </c>
    </row>
    <row r="799" spans="1:8">
      <c r="A799">
        <v>30</v>
      </c>
      <c r="B799" t="s">
        <v>8</v>
      </c>
      <c r="C799">
        <v>22.895</v>
      </c>
      <c r="D799">
        <v>1</v>
      </c>
      <c r="E799" t="s">
        <v>12</v>
      </c>
      <c r="F799" t="s">
        <v>15</v>
      </c>
      <c r="G799">
        <v>4719.52</v>
      </c>
      <c r="H799" s="11" t="str" cm="1">
        <f t="array" ref="H799">_xlfn.IFS(Table1[[#This Row],[age]]&lt;=30,"Young Adults",Table1[[#This Row],[age]]&lt;=45,"Adults",Table1[[#This Row],[age]]&lt;=60,"Seniors",Table1[[#This Row],[age]]&gt;=61,"Elderly")</f>
        <v>Young Adults</v>
      </c>
    </row>
    <row r="800" spans="1:8">
      <c r="A800">
        <v>58</v>
      </c>
      <c r="B800" t="s">
        <v>8</v>
      </c>
      <c r="C800">
        <v>33.1</v>
      </c>
      <c r="D800">
        <v>0</v>
      </c>
      <c r="E800" t="s">
        <v>12</v>
      </c>
      <c r="F800" t="s">
        <v>10</v>
      </c>
      <c r="G800">
        <v>11848.14</v>
      </c>
      <c r="H800" s="11" t="str" cm="1">
        <f t="array" ref="H800">_xlfn.IFS(Table1[[#This Row],[age]]&lt;=30,"Young Adults",Table1[[#This Row],[age]]&lt;=45,"Adults",Table1[[#This Row],[age]]&lt;=60,"Seniors",Table1[[#This Row],[age]]&gt;=61,"Elderly")</f>
        <v>Seniors</v>
      </c>
    </row>
    <row r="801" spans="1:8">
      <c r="A801">
        <v>33</v>
      </c>
      <c r="B801" t="s">
        <v>11</v>
      </c>
      <c r="C801">
        <v>24.795</v>
      </c>
      <c r="D801">
        <v>0</v>
      </c>
      <c r="E801" t="s">
        <v>9</v>
      </c>
      <c r="F801" t="s">
        <v>15</v>
      </c>
      <c r="G801">
        <v>17904.53</v>
      </c>
      <c r="H801" s="11" t="str" cm="1">
        <f t="array" ref="H801">_xlfn.IFS(Table1[[#This Row],[age]]&lt;=30,"Young Adults",Table1[[#This Row],[age]]&lt;=45,"Adults",Table1[[#This Row],[age]]&lt;=60,"Seniors",Table1[[#This Row],[age]]&gt;=61,"Elderly")</f>
        <v>Adults</v>
      </c>
    </row>
    <row r="802" spans="1:8">
      <c r="A802">
        <v>42</v>
      </c>
      <c r="B802" t="s">
        <v>8</v>
      </c>
      <c r="C802">
        <v>26.18</v>
      </c>
      <c r="D802">
        <v>1</v>
      </c>
      <c r="E802" t="s">
        <v>12</v>
      </c>
      <c r="F802" t="s">
        <v>13</v>
      </c>
      <c r="G802">
        <v>7046.72</v>
      </c>
      <c r="H802" s="11" t="str" cm="1">
        <f t="array" ref="H802">_xlfn.IFS(Table1[[#This Row],[age]]&lt;=30,"Young Adults",Table1[[#This Row],[age]]&lt;=45,"Adults",Table1[[#This Row],[age]]&lt;=60,"Seniors",Table1[[#This Row],[age]]&gt;=61,"Elderly")</f>
        <v>Adults</v>
      </c>
    </row>
    <row r="803" spans="1:8">
      <c r="A803">
        <v>64</v>
      </c>
      <c r="B803" t="s">
        <v>8</v>
      </c>
      <c r="C803">
        <v>35.97</v>
      </c>
      <c r="D803">
        <v>0</v>
      </c>
      <c r="E803" t="s">
        <v>12</v>
      </c>
      <c r="F803" t="s">
        <v>13</v>
      </c>
      <c r="G803">
        <v>14313.85</v>
      </c>
      <c r="H803" s="11" t="str" cm="1">
        <f t="array" ref="H803">_xlfn.IFS(Table1[[#This Row],[age]]&lt;=30,"Young Adults",Table1[[#This Row],[age]]&lt;=45,"Adults",Table1[[#This Row],[age]]&lt;=60,"Seniors",Table1[[#This Row],[age]]&gt;=61,"Elderly")</f>
        <v>Elderly</v>
      </c>
    </row>
    <row r="804" spans="1:8">
      <c r="A804">
        <v>21</v>
      </c>
      <c r="B804" t="s">
        <v>11</v>
      </c>
      <c r="C804">
        <v>22.3</v>
      </c>
      <c r="D804">
        <v>1</v>
      </c>
      <c r="E804" t="s">
        <v>12</v>
      </c>
      <c r="F804" t="s">
        <v>10</v>
      </c>
      <c r="G804">
        <v>2103.08</v>
      </c>
      <c r="H804" s="11" t="str" cm="1">
        <f t="array" ref="H804">_xlfn.IFS(Table1[[#This Row],[age]]&lt;=30,"Young Adults",Table1[[#This Row],[age]]&lt;=45,"Adults",Table1[[#This Row],[age]]&lt;=60,"Seniors",Table1[[#This Row],[age]]&gt;=61,"Elderly")</f>
        <v>Young Adults</v>
      </c>
    </row>
    <row r="805" spans="1:8">
      <c r="A805">
        <v>18</v>
      </c>
      <c r="B805" t="s">
        <v>8</v>
      </c>
      <c r="C805">
        <v>42.24</v>
      </c>
      <c r="D805">
        <v>0</v>
      </c>
      <c r="E805" t="s">
        <v>9</v>
      </c>
      <c r="F805" t="s">
        <v>13</v>
      </c>
      <c r="G805">
        <v>38792.69</v>
      </c>
      <c r="H805" s="11" t="str" cm="1">
        <f t="array" ref="H805">_xlfn.IFS(Table1[[#This Row],[age]]&lt;=30,"Young Adults",Table1[[#This Row],[age]]&lt;=45,"Adults",Table1[[#This Row],[age]]&lt;=60,"Seniors",Table1[[#This Row],[age]]&gt;=61,"Elderly")</f>
        <v>Young Adults</v>
      </c>
    </row>
    <row r="806" spans="1:8">
      <c r="A806">
        <v>23</v>
      </c>
      <c r="B806" t="s">
        <v>11</v>
      </c>
      <c r="C806">
        <v>26.51</v>
      </c>
      <c r="D806">
        <v>0</v>
      </c>
      <c r="E806" t="s">
        <v>12</v>
      </c>
      <c r="F806" t="s">
        <v>13</v>
      </c>
      <c r="G806">
        <v>1815.88</v>
      </c>
      <c r="H806" s="11" t="str" cm="1">
        <f t="array" ref="H806">_xlfn.IFS(Table1[[#This Row],[age]]&lt;=30,"Young Adults",Table1[[#This Row],[age]]&lt;=45,"Adults",Table1[[#This Row],[age]]&lt;=60,"Seniors",Table1[[#This Row],[age]]&gt;=61,"Elderly")</f>
        <v>Young Adults</v>
      </c>
    </row>
    <row r="807" spans="1:8">
      <c r="A807">
        <v>45</v>
      </c>
      <c r="B807" t="s">
        <v>8</v>
      </c>
      <c r="C807">
        <v>35.815</v>
      </c>
      <c r="D807">
        <v>0</v>
      </c>
      <c r="E807" t="s">
        <v>12</v>
      </c>
      <c r="F807" t="s">
        <v>14</v>
      </c>
      <c r="G807">
        <v>7731.86</v>
      </c>
      <c r="H807" s="11" t="str" cm="1">
        <f t="array" ref="H807">_xlfn.IFS(Table1[[#This Row],[age]]&lt;=30,"Young Adults",Table1[[#This Row],[age]]&lt;=45,"Adults",Table1[[#This Row],[age]]&lt;=60,"Seniors",Table1[[#This Row],[age]]&gt;=61,"Elderly")</f>
        <v>Adults</v>
      </c>
    </row>
    <row r="808" spans="1:8">
      <c r="A808">
        <v>40</v>
      </c>
      <c r="B808" t="s">
        <v>8</v>
      </c>
      <c r="C808">
        <v>41.42</v>
      </c>
      <c r="D808">
        <v>1</v>
      </c>
      <c r="E808" t="s">
        <v>12</v>
      </c>
      <c r="F808" t="s">
        <v>14</v>
      </c>
      <c r="G808">
        <v>28476.73</v>
      </c>
      <c r="H808" s="11" t="str" cm="1">
        <f t="array" ref="H808">_xlfn.IFS(Table1[[#This Row],[age]]&lt;=30,"Young Adults",Table1[[#This Row],[age]]&lt;=45,"Adults",Table1[[#This Row],[age]]&lt;=60,"Seniors",Table1[[#This Row],[age]]&gt;=61,"Elderly")</f>
        <v>Adults</v>
      </c>
    </row>
    <row r="809" spans="1:8">
      <c r="A809">
        <v>19</v>
      </c>
      <c r="B809" t="s">
        <v>8</v>
      </c>
      <c r="C809">
        <v>36.575</v>
      </c>
      <c r="D809">
        <v>0</v>
      </c>
      <c r="E809" t="s">
        <v>12</v>
      </c>
      <c r="F809" t="s">
        <v>14</v>
      </c>
      <c r="G809">
        <v>2136.88</v>
      </c>
      <c r="H809" s="11" t="str" cm="1">
        <f t="array" ref="H809">_xlfn.IFS(Table1[[#This Row],[age]]&lt;=30,"Young Adults",Table1[[#This Row],[age]]&lt;=45,"Adults",Table1[[#This Row],[age]]&lt;=60,"Seniors",Table1[[#This Row],[age]]&gt;=61,"Elderly")</f>
        <v>Young Adults</v>
      </c>
    </row>
    <row r="810" spans="1:8">
      <c r="A810">
        <v>18</v>
      </c>
      <c r="B810" t="s">
        <v>11</v>
      </c>
      <c r="C810">
        <v>30.14</v>
      </c>
      <c r="D810">
        <v>0</v>
      </c>
      <c r="E810" t="s">
        <v>12</v>
      </c>
      <c r="F810" t="s">
        <v>13</v>
      </c>
      <c r="G810">
        <v>1131.51</v>
      </c>
      <c r="H810" s="11" t="str" cm="1">
        <f t="array" ref="H810">_xlfn.IFS(Table1[[#This Row],[age]]&lt;=30,"Young Adults",Table1[[#This Row],[age]]&lt;=45,"Adults",Table1[[#This Row],[age]]&lt;=60,"Seniors",Table1[[#This Row],[age]]&gt;=61,"Elderly")</f>
        <v>Young Adults</v>
      </c>
    </row>
    <row r="811" spans="1:8">
      <c r="A811">
        <v>25</v>
      </c>
      <c r="B811" t="s">
        <v>11</v>
      </c>
      <c r="C811">
        <v>25.84</v>
      </c>
      <c r="D811">
        <v>1</v>
      </c>
      <c r="E811" t="s">
        <v>12</v>
      </c>
      <c r="F811" t="s">
        <v>15</v>
      </c>
      <c r="G811">
        <v>3309.79</v>
      </c>
      <c r="H811" s="11" t="str" cm="1">
        <f t="array" ref="H811">_xlfn.IFS(Table1[[#This Row],[age]]&lt;=30,"Young Adults",Table1[[#This Row],[age]]&lt;=45,"Adults",Table1[[#This Row],[age]]&lt;=60,"Seniors",Table1[[#This Row],[age]]&gt;=61,"Elderly")</f>
        <v>Young Adults</v>
      </c>
    </row>
    <row r="812" spans="1:8">
      <c r="A812">
        <v>46</v>
      </c>
      <c r="B812" t="s">
        <v>8</v>
      </c>
      <c r="C812">
        <v>30.8</v>
      </c>
      <c r="D812">
        <v>3</v>
      </c>
      <c r="E812" t="s">
        <v>12</v>
      </c>
      <c r="F812" t="s">
        <v>10</v>
      </c>
      <c r="G812">
        <v>9414.92</v>
      </c>
      <c r="H812" s="11" t="str" cm="1">
        <f t="array" ref="H812">_xlfn.IFS(Table1[[#This Row],[age]]&lt;=30,"Young Adults",Table1[[#This Row],[age]]&lt;=45,"Adults",Table1[[#This Row],[age]]&lt;=60,"Seniors",Table1[[#This Row],[age]]&gt;=61,"Elderly")</f>
        <v>Seniors</v>
      </c>
    </row>
    <row r="813" spans="1:8">
      <c r="A813">
        <v>33</v>
      </c>
      <c r="B813" t="s">
        <v>8</v>
      </c>
      <c r="C813">
        <v>42.94</v>
      </c>
      <c r="D813">
        <v>3</v>
      </c>
      <c r="E813" t="s">
        <v>12</v>
      </c>
      <c r="F813" t="s">
        <v>14</v>
      </c>
      <c r="G813">
        <v>6360.99</v>
      </c>
      <c r="H813" s="11" t="str" cm="1">
        <f t="array" ref="H813">_xlfn.IFS(Table1[[#This Row],[age]]&lt;=30,"Young Adults",Table1[[#This Row],[age]]&lt;=45,"Adults",Table1[[#This Row],[age]]&lt;=60,"Seniors",Table1[[#This Row],[age]]&gt;=61,"Elderly")</f>
        <v>Adults</v>
      </c>
    </row>
    <row r="814" spans="1:8">
      <c r="A814">
        <v>54</v>
      </c>
      <c r="B814" t="s">
        <v>11</v>
      </c>
      <c r="C814">
        <v>21.01</v>
      </c>
      <c r="D814">
        <v>2</v>
      </c>
      <c r="E814" t="s">
        <v>12</v>
      </c>
      <c r="F814" t="s">
        <v>13</v>
      </c>
      <c r="G814">
        <v>11013.71</v>
      </c>
      <c r="H814" s="11" t="str" cm="1">
        <f t="array" ref="H814">_xlfn.IFS(Table1[[#This Row],[age]]&lt;=30,"Young Adults",Table1[[#This Row],[age]]&lt;=45,"Adults",Table1[[#This Row],[age]]&lt;=60,"Seniors",Table1[[#This Row],[age]]&gt;=61,"Elderly")</f>
        <v>Seniors</v>
      </c>
    </row>
    <row r="815" spans="1:8">
      <c r="A815">
        <v>28</v>
      </c>
      <c r="B815" t="s">
        <v>11</v>
      </c>
      <c r="C815">
        <v>22.515</v>
      </c>
      <c r="D815">
        <v>2</v>
      </c>
      <c r="E815" t="s">
        <v>12</v>
      </c>
      <c r="F815" t="s">
        <v>15</v>
      </c>
      <c r="G815">
        <v>4428.89</v>
      </c>
      <c r="H815" s="11" t="str" cm="1">
        <f t="array" ref="H815">_xlfn.IFS(Table1[[#This Row],[age]]&lt;=30,"Young Adults",Table1[[#This Row],[age]]&lt;=45,"Adults",Table1[[#This Row],[age]]&lt;=60,"Seniors",Table1[[#This Row],[age]]&gt;=61,"Elderly")</f>
        <v>Young Adults</v>
      </c>
    </row>
    <row r="816" spans="1:8">
      <c r="A816">
        <v>36</v>
      </c>
      <c r="B816" t="s">
        <v>11</v>
      </c>
      <c r="C816">
        <v>34.43</v>
      </c>
      <c r="D816">
        <v>2</v>
      </c>
      <c r="E816" t="s">
        <v>12</v>
      </c>
      <c r="F816" t="s">
        <v>13</v>
      </c>
      <c r="G816">
        <v>5584.31</v>
      </c>
      <c r="H816" s="11" t="str" cm="1">
        <f t="array" ref="H816">_xlfn.IFS(Table1[[#This Row],[age]]&lt;=30,"Young Adults",Table1[[#This Row],[age]]&lt;=45,"Adults",Table1[[#This Row],[age]]&lt;=60,"Seniors",Table1[[#This Row],[age]]&gt;=61,"Elderly")</f>
        <v>Adults</v>
      </c>
    </row>
    <row r="817" spans="1:8">
      <c r="A817">
        <v>20</v>
      </c>
      <c r="B817" t="s">
        <v>8</v>
      </c>
      <c r="C817">
        <v>31.46</v>
      </c>
      <c r="D817">
        <v>0</v>
      </c>
      <c r="E817" t="s">
        <v>12</v>
      </c>
      <c r="F817" t="s">
        <v>13</v>
      </c>
      <c r="G817">
        <v>1877.93</v>
      </c>
      <c r="H817" s="11" t="str" cm="1">
        <f t="array" ref="H817">_xlfn.IFS(Table1[[#This Row],[age]]&lt;=30,"Young Adults",Table1[[#This Row],[age]]&lt;=45,"Adults",Table1[[#This Row],[age]]&lt;=60,"Seniors",Table1[[#This Row],[age]]&gt;=61,"Elderly")</f>
        <v>Young Adults</v>
      </c>
    </row>
    <row r="818" spans="1:8">
      <c r="A818">
        <v>24</v>
      </c>
      <c r="B818" t="s">
        <v>8</v>
      </c>
      <c r="C818">
        <v>24.225</v>
      </c>
      <c r="D818">
        <v>0</v>
      </c>
      <c r="E818" t="s">
        <v>12</v>
      </c>
      <c r="F818" t="s">
        <v>14</v>
      </c>
      <c r="G818">
        <v>2842.76</v>
      </c>
      <c r="H818" s="11" t="str" cm="1">
        <f t="array" ref="H818">_xlfn.IFS(Table1[[#This Row],[age]]&lt;=30,"Young Adults",Table1[[#This Row],[age]]&lt;=45,"Adults",Table1[[#This Row],[age]]&lt;=60,"Seniors",Table1[[#This Row],[age]]&gt;=61,"Elderly")</f>
        <v>Young Adults</v>
      </c>
    </row>
    <row r="819" spans="1:8">
      <c r="A819">
        <v>23</v>
      </c>
      <c r="B819" t="s">
        <v>11</v>
      </c>
      <c r="C819">
        <v>37.1</v>
      </c>
      <c r="D819">
        <v>3</v>
      </c>
      <c r="E819" t="s">
        <v>12</v>
      </c>
      <c r="F819" t="s">
        <v>10</v>
      </c>
      <c r="G819">
        <v>3597.6</v>
      </c>
      <c r="H819" s="11" t="str" cm="1">
        <f t="array" ref="H819">_xlfn.IFS(Table1[[#This Row],[age]]&lt;=30,"Young Adults",Table1[[#This Row],[age]]&lt;=45,"Adults",Table1[[#This Row],[age]]&lt;=60,"Seniors",Table1[[#This Row],[age]]&gt;=61,"Elderly")</f>
        <v>Young Adults</v>
      </c>
    </row>
    <row r="820" spans="1:8">
      <c r="A820">
        <v>47</v>
      </c>
      <c r="B820" t="s">
        <v>8</v>
      </c>
      <c r="C820">
        <v>26.125</v>
      </c>
      <c r="D820">
        <v>1</v>
      </c>
      <c r="E820" t="s">
        <v>9</v>
      </c>
      <c r="F820" t="s">
        <v>15</v>
      </c>
      <c r="G820">
        <v>23401.31</v>
      </c>
      <c r="H820" s="11" t="str" cm="1">
        <f t="array" ref="H820">_xlfn.IFS(Table1[[#This Row],[age]]&lt;=30,"Young Adults",Table1[[#This Row],[age]]&lt;=45,"Adults",Table1[[#This Row],[age]]&lt;=60,"Seniors",Table1[[#This Row],[age]]&gt;=61,"Elderly")</f>
        <v>Seniors</v>
      </c>
    </row>
    <row r="821" spans="1:8">
      <c r="A821">
        <v>33</v>
      </c>
      <c r="B821" t="s">
        <v>8</v>
      </c>
      <c r="C821">
        <v>35.53</v>
      </c>
      <c r="D821">
        <v>0</v>
      </c>
      <c r="E821" t="s">
        <v>9</v>
      </c>
      <c r="F821" t="s">
        <v>14</v>
      </c>
      <c r="G821">
        <v>55135.4</v>
      </c>
      <c r="H821" s="11" t="str" cm="1">
        <f t="array" ref="H821">_xlfn.IFS(Table1[[#This Row],[age]]&lt;=30,"Young Adults",Table1[[#This Row],[age]]&lt;=45,"Adults",Table1[[#This Row],[age]]&lt;=60,"Seniors",Table1[[#This Row],[age]]&gt;=61,"Elderly")</f>
        <v>Adults</v>
      </c>
    </row>
    <row r="822" spans="1:8">
      <c r="A822">
        <v>45</v>
      </c>
      <c r="B822" t="s">
        <v>11</v>
      </c>
      <c r="C822">
        <v>33.7</v>
      </c>
      <c r="D822">
        <v>1</v>
      </c>
      <c r="E822" t="s">
        <v>12</v>
      </c>
      <c r="F822" t="s">
        <v>10</v>
      </c>
      <c r="G822">
        <v>7445.92</v>
      </c>
      <c r="H822" s="11" t="str" cm="1">
        <f t="array" ref="H822">_xlfn.IFS(Table1[[#This Row],[age]]&lt;=30,"Young Adults",Table1[[#This Row],[age]]&lt;=45,"Adults",Table1[[#This Row],[age]]&lt;=60,"Seniors",Table1[[#This Row],[age]]&gt;=61,"Elderly")</f>
        <v>Adults</v>
      </c>
    </row>
    <row r="823" spans="1:8">
      <c r="A823">
        <v>26</v>
      </c>
      <c r="B823" t="s">
        <v>11</v>
      </c>
      <c r="C823">
        <v>17.67</v>
      </c>
      <c r="D823">
        <v>0</v>
      </c>
      <c r="E823" t="s">
        <v>12</v>
      </c>
      <c r="F823" t="s">
        <v>14</v>
      </c>
      <c r="G823">
        <v>2680.95</v>
      </c>
      <c r="H823" s="11" t="str" cm="1">
        <f t="array" ref="H823">_xlfn.IFS(Table1[[#This Row],[age]]&lt;=30,"Young Adults",Table1[[#This Row],[age]]&lt;=45,"Adults",Table1[[#This Row],[age]]&lt;=60,"Seniors",Table1[[#This Row],[age]]&gt;=61,"Elderly")</f>
        <v>Young Adults</v>
      </c>
    </row>
    <row r="824" spans="1:8">
      <c r="A824">
        <v>18</v>
      </c>
      <c r="B824" t="s">
        <v>8</v>
      </c>
      <c r="C824">
        <v>31.13</v>
      </c>
      <c r="D824">
        <v>0</v>
      </c>
      <c r="E824" t="s">
        <v>12</v>
      </c>
      <c r="F824" t="s">
        <v>13</v>
      </c>
      <c r="G824">
        <v>1621.88</v>
      </c>
      <c r="H824" s="11" t="str" cm="1">
        <f t="array" ref="H824">_xlfn.IFS(Table1[[#This Row],[age]]&lt;=30,"Young Adults",Table1[[#This Row],[age]]&lt;=45,"Adults",Table1[[#This Row],[age]]&lt;=60,"Seniors",Table1[[#This Row],[age]]&gt;=61,"Elderly")</f>
        <v>Young Adults</v>
      </c>
    </row>
    <row r="825" spans="1:8">
      <c r="A825">
        <v>44</v>
      </c>
      <c r="B825" t="s">
        <v>8</v>
      </c>
      <c r="C825">
        <v>29.81</v>
      </c>
      <c r="D825">
        <v>2</v>
      </c>
      <c r="E825" t="s">
        <v>12</v>
      </c>
      <c r="F825" t="s">
        <v>13</v>
      </c>
      <c r="G825">
        <v>8219.2</v>
      </c>
      <c r="H825" s="11" t="str" cm="1">
        <f t="array" ref="H825">_xlfn.IFS(Table1[[#This Row],[age]]&lt;=30,"Young Adults",Table1[[#This Row],[age]]&lt;=45,"Adults",Table1[[#This Row],[age]]&lt;=60,"Seniors",Table1[[#This Row],[age]]&gt;=61,"Elderly")</f>
        <v>Adults</v>
      </c>
    </row>
    <row r="826" spans="1:8">
      <c r="A826">
        <v>60</v>
      </c>
      <c r="B826" t="s">
        <v>11</v>
      </c>
      <c r="C826">
        <v>24.32</v>
      </c>
      <c r="D826">
        <v>0</v>
      </c>
      <c r="E826" t="s">
        <v>12</v>
      </c>
      <c r="F826" t="s">
        <v>14</v>
      </c>
      <c r="G826">
        <v>12523.6</v>
      </c>
      <c r="H826" s="11" t="str" cm="1">
        <f t="array" ref="H826">_xlfn.IFS(Table1[[#This Row],[age]]&lt;=30,"Young Adults",Table1[[#This Row],[age]]&lt;=45,"Adults",Table1[[#This Row],[age]]&lt;=60,"Seniors",Table1[[#This Row],[age]]&gt;=61,"Elderly")</f>
        <v>Seniors</v>
      </c>
    </row>
    <row r="827" spans="1:8">
      <c r="A827">
        <v>64</v>
      </c>
      <c r="B827" t="s">
        <v>8</v>
      </c>
      <c r="C827">
        <v>31.825</v>
      </c>
      <c r="D827">
        <v>2</v>
      </c>
      <c r="E827" t="s">
        <v>12</v>
      </c>
      <c r="F827" t="s">
        <v>15</v>
      </c>
      <c r="G827">
        <v>16069.08</v>
      </c>
      <c r="H827" s="11" t="str" cm="1">
        <f t="array" ref="H827">_xlfn.IFS(Table1[[#This Row],[age]]&lt;=30,"Young Adults",Table1[[#This Row],[age]]&lt;=45,"Adults",Table1[[#This Row],[age]]&lt;=60,"Seniors",Table1[[#This Row],[age]]&gt;=61,"Elderly")</f>
        <v>Elderly</v>
      </c>
    </row>
    <row r="828" spans="1:8">
      <c r="A828">
        <v>56</v>
      </c>
      <c r="B828" t="s">
        <v>11</v>
      </c>
      <c r="C828">
        <v>31.79</v>
      </c>
      <c r="D828">
        <v>2</v>
      </c>
      <c r="E828" t="s">
        <v>9</v>
      </c>
      <c r="F828" t="s">
        <v>13</v>
      </c>
      <c r="G828">
        <v>43813.87</v>
      </c>
      <c r="H828" s="11" t="str" cm="1">
        <f t="array" ref="H828">_xlfn.IFS(Table1[[#This Row],[age]]&lt;=30,"Young Adults",Table1[[#This Row],[age]]&lt;=45,"Adults",Table1[[#This Row],[age]]&lt;=60,"Seniors",Table1[[#This Row],[age]]&gt;=61,"Elderly")</f>
        <v>Seniors</v>
      </c>
    </row>
    <row r="829" spans="1:8">
      <c r="A829">
        <v>36</v>
      </c>
      <c r="B829" t="s">
        <v>11</v>
      </c>
      <c r="C829">
        <v>28.025</v>
      </c>
      <c r="D829">
        <v>1</v>
      </c>
      <c r="E829" t="s">
        <v>9</v>
      </c>
      <c r="F829" t="s">
        <v>15</v>
      </c>
      <c r="G829">
        <v>20773.63</v>
      </c>
      <c r="H829" s="11" t="str" cm="1">
        <f t="array" ref="H829">_xlfn.IFS(Table1[[#This Row],[age]]&lt;=30,"Young Adults",Table1[[#This Row],[age]]&lt;=45,"Adults",Table1[[#This Row],[age]]&lt;=60,"Seniors",Table1[[#This Row],[age]]&gt;=61,"Elderly")</f>
        <v>Adults</v>
      </c>
    </row>
    <row r="830" spans="1:8">
      <c r="A830">
        <v>41</v>
      </c>
      <c r="B830" t="s">
        <v>11</v>
      </c>
      <c r="C830">
        <v>30.78</v>
      </c>
      <c r="D830">
        <v>3</v>
      </c>
      <c r="E830" t="s">
        <v>9</v>
      </c>
      <c r="F830" t="s">
        <v>15</v>
      </c>
      <c r="G830">
        <v>39597.41</v>
      </c>
      <c r="H830" s="11" t="str" cm="1">
        <f t="array" ref="H830">_xlfn.IFS(Table1[[#This Row],[age]]&lt;=30,"Young Adults",Table1[[#This Row],[age]]&lt;=45,"Adults",Table1[[#This Row],[age]]&lt;=60,"Seniors",Table1[[#This Row],[age]]&gt;=61,"Elderly")</f>
        <v>Adults</v>
      </c>
    </row>
    <row r="831" spans="1:8">
      <c r="A831">
        <v>39</v>
      </c>
      <c r="B831" t="s">
        <v>11</v>
      </c>
      <c r="C831">
        <v>21.85</v>
      </c>
      <c r="D831">
        <v>1</v>
      </c>
      <c r="E831" t="s">
        <v>12</v>
      </c>
      <c r="F831" t="s">
        <v>14</v>
      </c>
      <c r="G831">
        <v>6117.49</v>
      </c>
      <c r="H831" s="11" t="str" cm="1">
        <f t="array" ref="H831">_xlfn.IFS(Table1[[#This Row],[age]]&lt;=30,"Young Adults",Table1[[#This Row],[age]]&lt;=45,"Adults",Table1[[#This Row],[age]]&lt;=60,"Seniors",Table1[[#This Row],[age]]&gt;=61,"Elderly")</f>
        <v>Adults</v>
      </c>
    </row>
    <row r="832" spans="1:8">
      <c r="A832">
        <v>63</v>
      </c>
      <c r="B832" t="s">
        <v>11</v>
      </c>
      <c r="C832">
        <v>33.1</v>
      </c>
      <c r="D832">
        <v>0</v>
      </c>
      <c r="E832" t="s">
        <v>12</v>
      </c>
      <c r="F832" t="s">
        <v>10</v>
      </c>
      <c r="G832">
        <v>13393.76</v>
      </c>
      <c r="H832" s="11" t="str" cm="1">
        <f t="array" ref="H832">_xlfn.IFS(Table1[[#This Row],[age]]&lt;=30,"Young Adults",Table1[[#This Row],[age]]&lt;=45,"Adults",Table1[[#This Row],[age]]&lt;=60,"Seniors",Table1[[#This Row],[age]]&gt;=61,"Elderly")</f>
        <v>Elderly</v>
      </c>
    </row>
    <row r="833" spans="1:8">
      <c r="A833">
        <v>36</v>
      </c>
      <c r="B833" t="s">
        <v>8</v>
      </c>
      <c r="C833">
        <v>25.84</v>
      </c>
      <c r="D833">
        <v>0</v>
      </c>
      <c r="E833" t="s">
        <v>12</v>
      </c>
      <c r="F833" t="s">
        <v>14</v>
      </c>
      <c r="G833">
        <v>5266.37</v>
      </c>
      <c r="H833" s="11" t="str" cm="1">
        <f t="array" ref="H833">_xlfn.IFS(Table1[[#This Row],[age]]&lt;=30,"Young Adults",Table1[[#This Row],[age]]&lt;=45,"Adults",Table1[[#This Row],[age]]&lt;=60,"Seniors",Table1[[#This Row],[age]]&gt;=61,"Elderly")</f>
        <v>Adults</v>
      </c>
    </row>
    <row r="834" spans="1:8">
      <c r="A834">
        <v>28</v>
      </c>
      <c r="B834" t="s">
        <v>8</v>
      </c>
      <c r="C834">
        <v>23.845</v>
      </c>
      <c r="D834">
        <v>2</v>
      </c>
      <c r="E834" t="s">
        <v>12</v>
      </c>
      <c r="F834" t="s">
        <v>14</v>
      </c>
      <c r="G834">
        <v>4719.74</v>
      </c>
      <c r="H834" s="11" t="str" cm="1">
        <f t="array" ref="H834">_xlfn.IFS(Table1[[#This Row],[age]]&lt;=30,"Young Adults",Table1[[#This Row],[age]]&lt;=45,"Adults",Table1[[#This Row],[age]]&lt;=60,"Seniors",Table1[[#This Row],[age]]&gt;=61,"Elderly")</f>
        <v>Young Adults</v>
      </c>
    </row>
    <row r="835" spans="1:8">
      <c r="A835">
        <v>58</v>
      </c>
      <c r="B835" t="s">
        <v>11</v>
      </c>
      <c r="C835">
        <v>34.39</v>
      </c>
      <c r="D835">
        <v>0</v>
      </c>
      <c r="E835" t="s">
        <v>12</v>
      </c>
      <c r="F835" t="s">
        <v>14</v>
      </c>
      <c r="G835">
        <v>11743.93</v>
      </c>
      <c r="H835" s="11" t="str" cm="1">
        <f t="array" ref="H835">_xlfn.IFS(Table1[[#This Row],[age]]&lt;=30,"Young Adults",Table1[[#This Row],[age]]&lt;=45,"Adults",Table1[[#This Row],[age]]&lt;=60,"Seniors",Table1[[#This Row],[age]]&gt;=61,"Elderly")</f>
        <v>Seniors</v>
      </c>
    </row>
    <row r="836" spans="1:8">
      <c r="A836">
        <v>36</v>
      </c>
      <c r="B836" t="s">
        <v>11</v>
      </c>
      <c r="C836">
        <v>33.82</v>
      </c>
      <c r="D836">
        <v>1</v>
      </c>
      <c r="E836" t="s">
        <v>12</v>
      </c>
      <c r="F836" t="s">
        <v>14</v>
      </c>
      <c r="G836">
        <v>5377.46</v>
      </c>
      <c r="H836" s="11" t="str" cm="1">
        <f t="array" ref="H836">_xlfn.IFS(Table1[[#This Row],[age]]&lt;=30,"Young Adults",Table1[[#This Row],[age]]&lt;=45,"Adults",Table1[[#This Row],[age]]&lt;=60,"Seniors",Table1[[#This Row],[age]]&gt;=61,"Elderly")</f>
        <v>Adults</v>
      </c>
    </row>
    <row r="837" spans="1:8">
      <c r="A837">
        <v>42</v>
      </c>
      <c r="B837" t="s">
        <v>11</v>
      </c>
      <c r="C837">
        <v>35.97</v>
      </c>
      <c r="D837">
        <v>2</v>
      </c>
      <c r="E837" t="s">
        <v>12</v>
      </c>
      <c r="F837" t="s">
        <v>13</v>
      </c>
      <c r="G837">
        <v>7160.33</v>
      </c>
      <c r="H837" s="11" t="str" cm="1">
        <f t="array" ref="H837">_xlfn.IFS(Table1[[#This Row],[age]]&lt;=30,"Young Adults",Table1[[#This Row],[age]]&lt;=45,"Adults",Table1[[#This Row],[age]]&lt;=60,"Seniors",Table1[[#This Row],[age]]&gt;=61,"Elderly")</f>
        <v>Adults</v>
      </c>
    </row>
    <row r="838" spans="1:8">
      <c r="A838">
        <v>36</v>
      </c>
      <c r="B838" t="s">
        <v>11</v>
      </c>
      <c r="C838">
        <v>31.5</v>
      </c>
      <c r="D838">
        <v>0</v>
      </c>
      <c r="E838" t="s">
        <v>12</v>
      </c>
      <c r="F838" t="s">
        <v>10</v>
      </c>
      <c r="G838">
        <v>4402.23</v>
      </c>
      <c r="H838" s="11" t="str" cm="1">
        <f t="array" ref="H838">_xlfn.IFS(Table1[[#This Row],[age]]&lt;=30,"Young Adults",Table1[[#This Row],[age]]&lt;=45,"Adults",Table1[[#This Row],[age]]&lt;=60,"Seniors",Table1[[#This Row],[age]]&gt;=61,"Elderly")</f>
        <v>Adults</v>
      </c>
    </row>
    <row r="839" spans="1:8">
      <c r="A839">
        <v>56</v>
      </c>
      <c r="B839" t="s">
        <v>8</v>
      </c>
      <c r="C839">
        <v>28.31</v>
      </c>
      <c r="D839">
        <v>0</v>
      </c>
      <c r="E839" t="s">
        <v>12</v>
      </c>
      <c r="F839" t="s">
        <v>15</v>
      </c>
      <c r="G839">
        <v>11657.72</v>
      </c>
      <c r="H839" s="11" t="str" cm="1">
        <f t="array" ref="H839">_xlfn.IFS(Table1[[#This Row],[age]]&lt;=30,"Young Adults",Table1[[#This Row],[age]]&lt;=45,"Adults",Table1[[#This Row],[age]]&lt;=60,"Seniors",Table1[[#This Row],[age]]&gt;=61,"Elderly")</f>
        <v>Seniors</v>
      </c>
    </row>
    <row r="840" spans="1:8">
      <c r="A840">
        <v>35</v>
      </c>
      <c r="B840" t="s">
        <v>8</v>
      </c>
      <c r="C840">
        <v>23.465</v>
      </c>
      <c r="D840">
        <v>2</v>
      </c>
      <c r="E840" t="s">
        <v>12</v>
      </c>
      <c r="F840" t="s">
        <v>15</v>
      </c>
      <c r="G840">
        <v>6402.29</v>
      </c>
      <c r="H840" s="11" t="str" cm="1">
        <f t="array" ref="H840">_xlfn.IFS(Table1[[#This Row],[age]]&lt;=30,"Young Adults",Table1[[#This Row],[age]]&lt;=45,"Adults",Table1[[#This Row],[age]]&lt;=60,"Seniors",Table1[[#This Row],[age]]&gt;=61,"Elderly")</f>
        <v>Adults</v>
      </c>
    </row>
    <row r="841" spans="1:8">
      <c r="A841">
        <v>59</v>
      </c>
      <c r="B841" t="s">
        <v>8</v>
      </c>
      <c r="C841">
        <v>31.35</v>
      </c>
      <c r="D841">
        <v>0</v>
      </c>
      <c r="E841" t="s">
        <v>12</v>
      </c>
      <c r="F841" t="s">
        <v>14</v>
      </c>
      <c r="G841">
        <v>12622.18</v>
      </c>
      <c r="H841" s="11" t="str" cm="1">
        <f t="array" ref="H841">_xlfn.IFS(Table1[[#This Row],[age]]&lt;=30,"Young Adults",Table1[[#This Row],[age]]&lt;=45,"Adults",Table1[[#This Row],[age]]&lt;=60,"Seniors",Table1[[#This Row],[age]]&gt;=61,"Elderly")</f>
        <v>Seniors</v>
      </c>
    </row>
    <row r="842" spans="1:8">
      <c r="A842">
        <v>21</v>
      </c>
      <c r="B842" t="s">
        <v>11</v>
      </c>
      <c r="C842">
        <v>31.1</v>
      </c>
      <c r="D842">
        <v>0</v>
      </c>
      <c r="E842" t="s">
        <v>12</v>
      </c>
      <c r="F842" t="s">
        <v>10</v>
      </c>
      <c r="G842">
        <v>1526.31</v>
      </c>
      <c r="H842" s="11" t="str" cm="1">
        <f t="array" ref="H842">_xlfn.IFS(Table1[[#This Row],[age]]&lt;=30,"Young Adults",Table1[[#This Row],[age]]&lt;=45,"Adults",Table1[[#This Row],[age]]&lt;=60,"Seniors",Table1[[#This Row],[age]]&gt;=61,"Elderly")</f>
        <v>Young Adults</v>
      </c>
    </row>
    <row r="843" spans="1:8">
      <c r="A843">
        <v>59</v>
      </c>
      <c r="B843" t="s">
        <v>11</v>
      </c>
      <c r="C843">
        <v>24.7</v>
      </c>
      <c r="D843">
        <v>0</v>
      </c>
      <c r="E843" t="s">
        <v>12</v>
      </c>
      <c r="F843" t="s">
        <v>15</v>
      </c>
      <c r="G843">
        <v>12323.94</v>
      </c>
      <c r="H843" s="11" t="str" cm="1">
        <f t="array" ref="H843">_xlfn.IFS(Table1[[#This Row],[age]]&lt;=30,"Young Adults",Table1[[#This Row],[age]]&lt;=45,"Adults",Table1[[#This Row],[age]]&lt;=60,"Seniors",Table1[[#This Row],[age]]&gt;=61,"Elderly")</f>
        <v>Seniors</v>
      </c>
    </row>
    <row r="844" spans="1:8">
      <c r="A844">
        <v>23</v>
      </c>
      <c r="B844" t="s">
        <v>8</v>
      </c>
      <c r="C844">
        <v>32.78</v>
      </c>
      <c r="D844">
        <v>2</v>
      </c>
      <c r="E844" t="s">
        <v>9</v>
      </c>
      <c r="F844" t="s">
        <v>13</v>
      </c>
      <c r="G844">
        <v>36021.01</v>
      </c>
      <c r="H844" s="11" t="str" cm="1">
        <f t="array" ref="H844">_xlfn.IFS(Table1[[#This Row],[age]]&lt;=30,"Young Adults",Table1[[#This Row],[age]]&lt;=45,"Adults",Table1[[#This Row],[age]]&lt;=60,"Seniors",Table1[[#This Row],[age]]&gt;=61,"Elderly")</f>
        <v>Young Adults</v>
      </c>
    </row>
    <row r="845" spans="1:8">
      <c r="A845">
        <v>57</v>
      </c>
      <c r="B845" t="s">
        <v>8</v>
      </c>
      <c r="C845">
        <v>29.81</v>
      </c>
      <c r="D845">
        <v>0</v>
      </c>
      <c r="E845" t="s">
        <v>9</v>
      </c>
      <c r="F845" t="s">
        <v>13</v>
      </c>
      <c r="G845">
        <v>27533.91</v>
      </c>
      <c r="H845" s="11" t="str" cm="1">
        <f t="array" ref="H845">_xlfn.IFS(Table1[[#This Row],[age]]&lt;=30,"Young Adults",Table1[[#This Row],[age]]&lt;=45,"Adults",Table1[[#This Row],[age]]&lt;=60,"Seniors",Table1[[#This Row],[age]]&gt;=61,"Elderly")</f>
        <v>Seniors</v>
      </c>
    </row>
    <row r="846" spans="1:8">
      <c r="A846">
        <v>53</v>
      </c>
      <c r="B846" t="s">
        <v>11</v>
      </c>
      <c r="C846">
        <v>30.495</v>
      </c>
      <c r="D846">
        <v>0</v>
      </c>
      <c r="E846" t="s">
        <v>12</v>
      </c>
      <c r="F846" t="s">
        <v>15</v>
      </c>
      <c r="G846">
        <v>10072.06</v>
      </c>
      <c r="H846" s="11" t="str" cm="1">
        <f t="array" ref="H846">_xlfn.IFS(Table1[[#This Row],[age]]&lt;=30,"Young Adults",Table1[[#This Row],[age]]&lt;=45,"Adults",Table1[[#This Row],[age]]&lt;=60,"Seniors",Table1[[#This Row],[age]]&gt;=61,"Elderly")</f>
        <v>Seniors</v>
      </c>
    </row>
    <row r="847" spans="1:8">
      <c r="A847">
        <v>60</v>
      </c>
      <c r="B847" t="s">
        <v>8</v>
      </c>
      <c r="C847">
        <v>32.45</v>
      </c>
      <c r="D847">
        <v>0</v>
      </c>
      <c r="E847" t="s">
        <v>9</v>
      </c>
      <c r="F847" t="s">
        <v>13</v>
      </c>
      <c r="G847">
        <v>45008.96</v>
      </c>
      <c r="H847" s="11" t="str" cm="1">
        <f t="array" ref="H847">_xlfn.IFS(Table1[[#This Row],[age]]&lt;=30,"Young Adults",Table1[[#This Row],[age]]&lt;=45,"Adults",Table1[[#This Row],[age]]&lt;=60,"Seniors",Table1[[#This Row],[age]]&gt;=61,"Elderly")</f>
        <v>Seniors</v>
      </c>
    </row>
    <row r="848" spans="1:8">
      <c r="A848">
        <v>51</v>
      </c>
      <c r="B848" t="s">
        <v>8</v>
      </c>
      <c r="C848">
        <v>34.2</v>
      </c>
      <c r="D848">
        <v>1</v>
      </c>
      <c r="E848" t="s">
        <v>12</v>
      </c>
      <c r="F848" t="s">
        <v>10</v>
      </c>
      <c r="G848">
        <v>9872.7</v>
      </c>
      <c r="H848" s="11" t="str" cm="1">
        <f t="array" ref="H848">_xlfn.IFS(Table1[[#This Row],[age]]&lt;=30,"Young Adults",Table1[[#This Row],[age]]&lt;=45,"Adults",Table1[[#This Row],[age]]&lt;=60,"Seniors",Table1[[#This Row],[age]]&gt;=61,"Elderly")</f>
        <v>Seniors</v>
      </c>
    </row>
    <row r="849" spans="1:8">
      <c r="A849">
        <v>23</v>
      </c>
      <c r="B849" t="s">
        <v>11</v>
      </c>
      <c r="C849">
        <v>50.38</v>
      </c>
      <c r="D849">
        <v>1</v>
      </c>
      <c r="E849" t="s">
        <v>12</v>
      </c>
      <c r="F849" t="s">
        <v>13</v>
      </c>
      <c r="G849">
        <v>2438.06</v>
      </c>
      <c r="H849" s="11" t="str" cm="1">
        <f t="array" ref="H849">_xlfn.IFS(Table1[[#This Row],[age]]&lt;=30,"Young Adults",Table1[[#This Row],[age]]&lt;=45,"Adults",Table1[[#This Row],[age]]&lt;=60,"Seniors",Table1[[#This Row],[age]]&gt;=61,"Elderly")</f>
        <v>Young Adults</v>
      </c>
    </row>
    <row r="850" spans="1:8">
      <c r="A850">
        <v>27</v>
      </c>
      <c r="B850" t="s">
        <v>8</v>
      </c>
      <c r="C850">
        <v>24.1</v>
      </c>
      <c r="D850">
        <v>0</v>
      </c>
      <c r="E850" t="s">
        <v>12</v>
      </c>
      <c r="F850" t="s">
        <v>10</v>
      </c>
      <c r="G850">
        <v>2974.13</v>
      </c>
      <c r="H850" s="11" t="str" cm="1">
        <f t="array" ref="H850">_xlfn.IFS(Table1[[#This Row],[age]]&lt;=30,"Young Adults",Table1[[#This Row],[age]]&lt;=45,"Adults",Table1[[#This Row],[age]]&lt;=60,"Seniors",Table1[[#This Row],[age]]&gt;=61,"Elderly")</f>
        <v>Young Adults</v>
      </c>
    </row>
    <row r="851" spans="1:8">
      <c r="A851">
        <v>55</v>
      </c>
      <c r="B851" t="s">
        <v>11</v>
      </c>
      <c r="C851">
        <v>32.775</v>
      </c>
      <c r="D851">
        <v>0</v>
      </c>
      <c r="E851" t="s">
        <v>12</v>
      </c>
      <c r="F851" t="s">
        <v>14</v>
      </c>
      <c r="G851">
        <v>10601.63</v>
      </c>
      <c r="H851" s="11" t="str" cm="1">
        <f t="array" ref="H851">_xlfn.IFS(Table1[[#This Row],[age]]&lt;=30,"Young Adults",Table1[[#This Row],[age]]&lt;=45,"Adults",Table1[[#This Row],[age]]&lt;=60,"Seniors",Table1[[#This Row],[age]]&gt;=61,"Elderly")</f>
        <v>Seniors</v>
      </c>
    </row>
    <row r="852" spans="1:8">
      <c r="A852">
        <v>37</v>
      </c>
      <c r="B852" t="s">
        <v>8</v>
      </c>
      <c r="C852">
        <v>30.78</v>
      </c>
      <c r="D852">
        <v>0</v>
      </c>
      <c r="E852" t="s">
        <v>9</v>
      </c>
      <c r="F852" t="s">
        <v>15</v>
      </c>
      <c r="G852">
        <v>37270.15</v>
      </c>
      <c r="H852" s="11" t="str" cm="1">
        <f t="array" ref="H852">_xlfn.IFS(Table1[[#This Row],[age]]&lt;=30,"Young Adults",Table1[[#This Row],[age]]&lt;=45,"Adults",Table1[[#This Row],[age]]&lt;=60,"Seniors",Table1[[#This Row],[age]]&gt;=61,"Elderly")</f>
        <v>Adults</v>
      </c>
    </row>
    <row r="853" spans="1:8">
      <c r="A853">
        <v>61</v>
      </c>
      <c r="B853" t="s">
        <v>11</v>
      </c>
      <c r="C853">
        <v>32.3</v>
      </c>
      <c r="D853">
        <v>2</v>
      </c>
      <c r="E853" t="s">
        <v>12</v>
      </c>
      <c r="F853" t="s">
        <v>14</v>
      </c>
      <c r="G853">
        <v>14119.62</v>
      </c>
      <c r="H853" s="11" t="str" cm="1">
        <f t="array" ref="H853">_xlfn.IFS(Table1[[#This Row],[age]]&lt;=30,"Young Adults",Table1[[#This Row],[age]]&lt;=45,"Adults",Table1[[#This Row],[age]]&lt;=60,"Seniors",Table1[[#This Row],[age]]&gt;=61,"Elderly")</f>
        <v>Elderly</v>
      </c>
    </row>
    <row r="854" spans="1:8">
      <c r="A854">
        <v>46</v>
      </c>
      <c r="B854" t="s">
        <v>8</v>
      </c>
      <c r="C854">
        <v>35.53</v>
      </c>
      <c r="D854">
        <v>0</v>
      </c>
      <c r="E854" t="s">
        <v>9</v>
      </c>
      <c r="F854" t="s">
        <v>15</v>
      </c>
      <c r="G854">
        <v>42111.66</v>
      </c>
      <c r="H854" s="11" t="str" cm="1">
        <f t="array" ref="H854">_xlfn.IFS(Table1[[#This Row],[age]]&lt;=30,"Young Adults",Table1[[#This Row],[age]]&lt;=45,"Adults",Table1[[#This Row],[age]]&lt;=60,"Seniors",Table1[[#This Row],[age]]&gt;=61,"Elderly")</f>
        <v>Seniors</v>
      </c>
    </row>
    <row r="855" spans="1:8">
      <c r="A855">
        <v>53</v>
      </c>
      <c r="B855" t="s">
        <v>8</v>
      </c>
      <c r="C855">
        <v>23.75</v>
      </c>
      <c r="D855">
        <v>2</v>
      </c>
      <c r="E855" t="s">
        <v>12</v>
      </c>
      <c r="F855" t="s">
        <v>15</v>
      </c>
      <c r="G855">
        <v>11729.68</v>
      </c>
      <c r="H855" s="11" t="str" cm="1">
        <f t="array" ref="H855">_xlfn.IFS(Table1[[#This Row],[age]]&lt;=30,"Young Adults",Table1[[#This Row],[age]]&lt;=45,"Adults",Table1[[#This Row],[age]]&lt;=60,"Seniors",Table1[[#This Row],[age]]&gt;=61,"Elderly")</f>
        <v>Seniors</v>
      </c>
    </row>
    <row r="856" spans="1:8">
      <c r="A856">
        <v>49</v>
      </c>
      <c r="B856" t="s">
        <v>8</v>
      </c>
      <c r="C856">
        <v>23.845</v>
      </c>
      <c r="D856">
        <v>3</v>
      </c>
      <c r="E856" t="s">
        <v>9</v>
      </c>
      <c r="F856" t="s">
        <v>15</v>
      </c>
      <c r="G856">
        <v>24106.91</v>
      </c>
      <c r="H856" s="11" t="str" cm="1">
        <f t="array" ref="H856">_xlfn.IFS(Table1[[#This Row],[age]]&lt;=30,"Young Adults",Table1[[#This Row],[age]]&lt;=45,"Adults",Table1[[#This Row],[age]]&lt;=60,"Seniors",Table1[[#This Row],[age]]&gt;=61,"Elderly")</f>
        <v>Seniors</v>
      </c>
    </row>
    <row r="857" spans="1:8">
      <c r="A857">
        <v>20</v>
      </c>
      <c r="B857" t="s">
        <v>8</v>
      </c>
      <c r="C857">
        <v>29.6</v>
      </c>
      <c r="D857">
        <v>0</v>
      </c>
      <c r="E857" t="s">
        <v>12</v>
      </c>
      <c r="F857" t="s">
        <v>10</v>
      </c>
      <c r="G857">
        <v>1875.34</v>
      </c>
      <c r="H857" s="11" t="str" cm="1">
        <f t="array" ref="H857">_xlfn.IFS(Table1[[#This Row],[age]]&lt;=30,"Young Adults",Table1[[#This Row],[age]]&lt;=45,"Adults",Table1[[#This Row],[age]]&lt;=60,"Seniors",Table1[[#This Row],[age]]&gt;=61,"Elderly")</f>
        <v>Young Adults</v>
      </c>
    </row>
    <row r="858" spans="1:8">
      <c r="A858">
        <v>48</v>
      </c>
      <c r="B858" t="s">
        <v>8</v>
      </c>
      <c r="C858">
        <v>33.11</v>
      </c>
      <c r="D858">
        <v>0</v>
      </c>
      <c r="E858" t="s">
        <v>9</v>
      </c>
      <c r="F858" t="s">
        <v>13</v>
      </c>
      <c r="G858">
        <v>40974.16</v>
      </c>
      <c r="H858" s="11" t="str" cm="1">
        <f t="array" ref="H858">_xlfn.IFS(Table1[[#This Row],[age]]&lt;=30,"Young Adults",Table1[[#This Row],[age]]&lt;=45,"Adults",Table1[[#This Row],[age]]&lt;=60,"Seniors",Table1[[#This Row],[age]]&gt;=61,"Elderly")</f>
        <v>Seniors</v>
      </c>
    </row>
    <row r="859" spans="1:8">
      <c r="A859">
        <v>25</v>
      </c>
      <c r="B859" t="s">
        <v>11</v>
      </c>
      <c r="C859">
        <v>24.13</v>
      </c>
      <c r="D859">
        <v>0</v>
      </c>
      <c r="E859" t="s">
        <v>9</v>
      </c>
      <c r="F859" t="s">
        <v>14</v>
      </c>
      <c r="G859">
        <v>15817.99</v>
      </c>
      <c r="H859" s="11" t="str" cm="1">
        <f t="array" ref="H859">_xlfn.IFS(Table1[[#This Row],[age]]&lt;=30,"Young Adults",Table1[[#This Row],[age]]&lt;=45,"Adults",Table1[[#This Row],[age]]&lt;=60,"Seniors",Table1[[#This Row],[age]]&gt;=61,"Elderly")</f>
        <v>Young Adults</v>
      </c>
    </row>
    <row r="860" spans="1:8">
      <c r="A860">
        <v>25</v>
      </c>
      <c r="B860" t="s">
        <v>8</v>
      </c>
      <c r="C860">
        <v>32.23</v>
      </c>
      <c r="D860">
        <v>1</v>
      </c>
      <c r="E860" t="s">
        <v>12</v>
      </c>
      <c r="F860" t="s">
        <v>13</v>
      </c>
      <c r="G860">
        <v>18218.16</v>
      </c>
      <c r="H860" s="11" t="str" cm="1">
        <f t="array" ref="H860">_xlfn.IFS(Table1[[#This Row],[age]]&lt;=30,"Young Adults",Table1[[#This Row],[age]]&lt;=45,"Adults",Table1[[#This Row],[age]]&lt;=60,"Seniors",Table1[[#This Row],[age]]&gt;=61,"Elderly")</f>
        <v>Young Adults</v>
      </c>
    </row>
    <row r="861" spans="1:8">
      <c r="A861">
        <v>57</v>
      </c>
      <c r="B861" t="s">
        <v>11</v>
      </c>
      <c r="C861">
        <v>28.1</v>
      </c>
      <c r="D861">
        <v>0</v>
      </c>
      <c r="E861" t="s">
        <v>12</v>
      </c>
      <c r="F861" t="s">
        <v>10</v>
      </c>
      <c r="G861">
        <v>10965.45</v>
      </c>
      <c r="H861" s="11" t="str" cm="1">
        <f t="array" ref="H861">_xlfn.IFS(Table1[[#This Row],[age]]&lt;=30,"Young Adults",Table1[[#This Row],[age]]&lt;=45,"Adults",Table1[[#This Row],[age]]&lt;=60,"Seniors",Table1[[#This Row],[age]]&gt;=61,"Elderly")</f>
        <v>Seniors</v>
      </c>
    </row>
    <row r="862" spans="1:8">
      <c r="A862">
        <v>37</v>
      </c>
      <c r="B862" t="s">
        <v>8</v>
      </c>
      <c r="C862">
        <v>47.6</v>
      </c>
      <c r="D862">
        <v>2</v>
      </c>
      <c r="E862" t="s">
        <v>9</v>
      </c>
      <c r="F862" t="s">
        <v>10</v>
      </c>
      <c r="G862">
        <v>46113.51</v>
      </c>
      <c r="H862" s="11" t="str" cm="1">
        <f t="array" ref="H862">_xlfn.IFS(Table1[[#This Row],[age]]&lt;=30,"Young Adults",Table1[[#This Row],[age]]&lt;=45,"Adults",Table1[[#This Row],[age]]&lt;=60,"Seniors",Table1[[#This Row],[age]]&gt;=61,"Elderly")</f>
        <v>Adults</v>
      </c>
    </row>
    <row r="863" spans="1:8">
      <c r="A863">
        <v>38</v>
      </c>
      <c r="B863" t="s">
        <v>8</v>
      </c>
      <c r="C863">
        <v>28</v>
      </c>
      <c r="D863">
        <v>3</v>
      </c>
      <c r="E863" t="s">
        <v>12</v>
      </c>
      <c r="F863" t="s">
        <v>10</v>
      </c>
      <c r="G863">
        <v>7151.09</v>
      </c>
      <c r="H863" s="11" t="str" cm="1">
        <f t="array" ref="H863">_xlfn.IFS(Table1[[#This Row],[age]]&lt;=30,"Young Adults",Table1[[#This Row],[age]]&lt;=45,"Adults",Table1[[#This Row],[age]]&lt;=60,"Seniors",Table1[[#This Row],[age]]&gt;=61,"Elderly")</f>
        <v>Adults</v>
      </c>
    </row>
    <row r="864" spans="1:8">
      <c r="A864">
        <v>55</v>
      </c>
      <c r="B864" t="s">
        <v>8</v>
      </c>
      <c r="C864">
        <v>33.535</v>
      </c>
      <c r="D864">
        <v>2</v>
      </c>
      <c r="E864" t="s">
        <v>12</v>
      </c>
      <c r="F864" t="s">
        <v>14</v>
      </c>
      <c r="G864">
        <v>12269.69</v>
      </c>
      <c r="H864" s="11" t="str" cm="1">
        <f t="array" ref="H864">_xlfn.IFS(Table1[[#This Row],[age]]&lt;=30,"Young Adults",Table1[[#This Row],[age]]&lt;=45,"Adults",Table1[[#This Row],[age]]&lt;=60,"Seniors",Table1[[#This Row],[age]]&gt;=61,"Elderly")</f>
        <v>Seniors</v>
      </c>
    </row>
    <row r="865" spans="1:8">
      <c r="A865">
        <v>36</v>
      </c>
      <c r="B865" t="s">
        <v>8</v>
      </c>
      <c r="C865">
        <v>19.855</v>
      </c>
      <c r="D865">
        <v>0</v>
      </c>
      <c r="E865" t="s">
        <v>12</v>
      </c>
      <c r="F865" t="s">
        <v>15</v>
      </c>
      <c r="G865">
        <v>5458.05</v>
      </c>
      <c r="H865" s="11" t="str" cm="1">
        <f t="array" ref="H865">_xlfn.IFS(Table1[[#This Row],[age]]&lt;=30,"Young Adults",Table1[[#This Row],[age]]&lt;=45,"Adults",Table1[[#This Row],[age]]&lt;=60,"Seniors",Table1[[#This Row],[age]]&gt;=61,"Elderly")</f>
        <v>Adults</v>
      </c>
    </row>
    <row r="866" spans="1:8">
      <c r="A866">
        <v>51</v>
      </c>
      <c r="B866" t="s">
        <v>11</v>
      </c>
      <c r="C866">
        <v>25.4</v>
      </c>
      <c r="D866">
        <v>0</v>
      </c>
      <c r="E866" t="s">
        <v>12</v>
      </c>
      <c r="F866" t="s">
        <v>10</v>
      </c>
      <c r="G866">
        <v>8782.47</v>
      </c>
      <c r="H866" s="11" t="str" cm="1">
        <f t="array" ref="H866">_xlfn.IFS(Table1[[#This Row],[age]]&lt;=30,"Young Adults",Table1[[#This Row],[age]]&lt;=45,"Adults",Table1[[#This Row],[age]]&lt;=60,"Seniors",Table1[[#This Row],[age]]&gt;=61,"Elderly")</f>
        <v>Seniors</v>
      </c>
    </row>
    <row r="867" spans="1:8">
      <c r="A867">
        <v>40</v>
      </c>
      <c r="B867" t="s">
        <v>11</v>
      </c>
      <c r="C867">
        <v>29.9</v>
      </c>
      <c r="D867">
        <v>2</v>
      </c>
      <c r="E867" t="s">
        <v>12</v>
      </c>
      <c r="F867" t="s">
        <v>10</v>
      </c>
      <c r="G867">
        <v>6600.36</v>
      </c>
      <c r="H867" s="11" t="str" cm="1">
        <f t="array" ref="H867">_xlfn.IFS(Table1[[#This Row],[age]]&lt;=30,"Young Adults",Table1[[#This Row],[age]]&lt;=45,"Adults",Table1[[#This Row],[age]]&lt;=60,"Seniors",Table1[[#This Row],[age]]&gt;=61,"Elderly")</f>
        <v>Adults</v>
      </c>
    </row>
    <row r="868" spans="1:8">
      <c r="A868">
        <v>18</v>
      </c>
      <c r="B868" t="s">
        <v>11</v>
      </c>
      <c r="C868">
        <v>37.29</v>
      </c>
      <c r="D868">
        <v>0</v>
      </c>
      <c r="E868" t="s">
        <v>12</v>
      </c>
      <c r="F868" t="s">
        <v>13</v>
      </c>
      <c r="G868">
        <v>1141.45</v>
      </c>
      <c r="H868" s="11" t="str" cm="1">
        <f t="array" ref="H868">_xlfn.IFS(Table1[[#This Row],[age]]&lt;=30,"Young Adults",Table1[[#This Row],[age]]&lt;=45,"Adults",Table1[[#This Row],[age]]&lt;=60,"Seniors",Table1[[#This Row],[age]]&gt;=61,"Elderly")</f>
        <v>Young Adults</v>
      </c>
    </row>
    <row r="869" spans="1:8">
      <c r="A869">
        <v>57</v>
      </c>
      <c r="B869" t="s">
        <v>11</v>
      </c>
      <c r="C869">
        <v>43.7</v>
      </c>
      <c r="D869">
        <v>1</v>
      </c>
      <c r="E869" t="s">
        <v>12</v>
      </c>
      <c r="F869" t="s">
        <v>10</v>
      </c>
      <c r="G869">
        <v>11576.13</v>
      </c>
      <c r="H869" s="11" t="str" cm="1">
        <f t="array" ref="H869">_xlfn.IFS(Table1[[#This Row],[age]]&lt;=30,"Young Adults",Table1[[#This Row],[age]]&lt;=45,"Adults",Table1[[#This Row],[age]]&lt;=60,"Seniors",Table1[[#This Row],[age]]&gt;=61,"Elderly")</f>
        <v>Seniors</v>
      </c>
    </row>
    <row r="870" spans="1:8">
      <c r="A870">
        <v>61</v>
      </c>
      <c r="B870" t="s">
        <v>11</v>
      </c>
      <c r="C870">
        <v>23.655</v>
      </c>
      <c r="D870">
        <v>0</v>
      </c>
      <c r="E870" t="s">
        <v>12</v>
      </c>
      <c r="F870" t="s">
        <v>15</v>
      </c>
      <c r="G870">
        <v>13129.6</v>
      </c>
      <c r="H870" s="11" t="str" cm="1">
        <f t="array" ref="H870">_xlfn.IFS(Table1[[#This Row],[age]]&lt;=30,"Young Adults",Table1[[#This Row],[age]]&lt;=45,"Adults",Table1[[#This Row],[age]]&lt;=60,"Seniors",Table1[[#This Row],[age]]&gt;=61,"Elderly")</f>
        <v>Elderly</v>
      </c>
    </row>
    <row r="871" spans="1:8">
      <c r="A871">
        <v>25</v>
      </c>
      <c r="B871" t="s">
        <v>8</v>
      </c>
      <c r="C871">
        <v>24.3</v>
      </c>
      <c r="D871">
        <v>3</v>
      </c>
      <c r="E871" t="s">
        <v>12</v>
      </c>
      <c r="F871" t="s">
        <v>10</v>
      </c>
      <c r="G871">
        <v>4391.65</v>
      </c>
      <c r="H871" s="11" t="str" cm="1">
        <f t="array" ref="H871">_xlfn.IFS(Table1[[#This Row],[age]]&lt;=30,"Young Adults",Table1[[#This Row],[age]]&lt;=45,"Adults",Table1[[#This Row],[age]]&lt;=60,"Seniors",Table1[[#This Row],[age]]&gt;=61,"Elderly")</f>
        <v>Young Adults</v>
      </c>
    </row>
    <row r="872" spans="1:8">
      <c r="A872">
        <v>50</v>
      </c>
      <c r="B872" t="s">
        <v>11</v>
      </c>
      <c r="C872">
        <v>36.2</v>
      </c>
      <c r="D872">
        <v>0</v>
      </c>
      <c r="E872" t="s">
        <v>12</v>
      </c>
      <c r="F872" t="s">
        <v>10</v>
      </c>
      <c r="G872">
        <v>8457.82</v>
      </c>
      <c r="H872" s="11" t="str" cm="1">
        <f t="array" ref="H872">_xlfn.IFS(Table1[[#This Row],[age]]&lt;=30,"Young Adults",Table1[[#This Row],[age]]&lt;=45,"Adults",Table1[[#This Row],[age]]&lt;=60,"Seniors",Table1[[#This Row],[age]]&gt;=61,"Elderly")</f>
        <v>Seniors</v>
      </c>
    </row>
    <row r="873" spans="1:8">
      <c r="A873">
        <v>26</v>
      </c>
      <c r="B873" t="s">
        <v>8</v>
      </c>
      <c r="C873">
        <v>29.48</v>
      </c>
      <c r="D873">
        <v>1</v>
      </c>
      <c r="E873" t="s">
        <v>12</v>
      </c>
      <c r="F873" t="s">
        <v>13</v>
      </c>
      <c r="G873">
        <v>3392.37</v>
      </c>
      <c r="H873" s="11" t="str" cm="1">
        <f t="array" ref="H873">_xlfn.IFS(Table1[[#This Row],[age]]&lt;=30,"Young Adults",Table1[[#This Row],[age]]&lt;=45,"Adults",Table1[[#This Row],[age]]&lt;=60,"Seniors",Table1[[#This Row],[age]]&gt;=61,"Elderly")</f>
        <v>Young Adults</v>
      </c>
    </row>
    <row r="874" spans="1:8">
      <c r="A874">
        <v>42</v>
      </c>
      <c r="B874" t="s">
        <v>11</v>
      </c>
      <c r="C874">
        <v>24.86</v>
      </c>
      <c r="D874">
        <v>0</v>
      </c>
      <c r="E874" t="s">
        <v>12</v>
      </c>
      <c r="F874" t="s">
        <v>13</v>
      </c>
      <c r="G874">
        <v>5966.89</v>
      </c>
      <c r="H874" s="11" t="str" cm="1">
        <f t="array" ref="H874">_xlfn.IFS(Table1[[#This Row],[age]]&lt;=30,"Young Adults",Table1[[#This Row],[age]]&lt;=45,"Adults",Table1[[#This Row],[age]]&lt;=60,"Seniors",Table1[[#This Row],[age]]&gt;=61,"Elderly")</f>
        <v>Adults</v>
      </c>
    </row>
    <row r="875" spans="1:8">
      <c r="A875">
        <v>43</v>
      </c>
      <c r="B875" t="s">
        <v>11</v>
      </c>
      <c r="C875">
        <v>30.1</v>
      </c>
      <c r="D875">
        <v>1</v>
      </c>
      <c r="E875" t="s">
        <v>12</v>
      </c>
      <c r="F875" t="s">
        <v>10</v>
      </c>
      <c r="G875">
        <v>6849.03</v>
      </c>
      <c r="H875" s="11" t="str" cm="1">
        <f t="array" ref="H875">_xlfn.IFS(Table1[[#This Row],[age]]&lt;=30,"Young Adults",Table1[[#This Row],[age]]&lt;=45,"Adults",Table1[[#This Row],[age]]&lt;=60,"Seniors",Table1[[#This Row],[age]]&gt;=61,"Elderly")</f>
        <v>Adults</v>
      </c>
    </row>
    <row r="876" spans="1:8">
      <c r="A876">
        <v>44</v>
      </c>
      <c r="B876" t="s">
        <v>11</v>
      </c>
      <c r="C876">
        <v>21.85</v>
      </c>
      <c r="D876">
        <v>3</v>
      </c>
      <c r="E876" t="s">
        <v>12</v>
      </c>
      <c r="F876" t="s">
        <v>15</v>
      </c>
      <c r="G876">
        <v>8891.14</v>
      </c>
      <c r="H876" s="11" t="str" cm="1">
        <f t="array" ref="H876">_xlfn.IFS(Table1[[#This Row],[age]]&lt;=30,"Young Adults",Table1[[#This Row],[age]]&lt;=45,"Adults",Table1[[#This Row],[age]]&lt;=60,"Seniors",Table1[[#This Row],[age]]&gt;=61,"Elderly")</f>
        <v>Adults</v>
      </c>
    </row>
    <row r="877" spans="1:8">
      <c r="A877">
        <v>23</v>
      </c>
      <c r="B877" t="s">
        <v>8</v>
      </c>
      <c r="C877">
        <v>28.12</v>
      </c>
      <c r="D877">
        <v>0</v>
      </c>
      <c r="E877" t="s">
        <v>12</v>
      </c>
      <c r="F877" t="s">
        <v>14</v>
      </c>
      <c r="G877">
        <v>2690.11</v>
      </c>
      <c r="H877" s="11" t="str" cm="1">
        <f t="array" ref="H877">_xlfn.IFS(Table1[[#This Row],[age]]&lt;=30,"Young Adults",Table1[[#This Row],[age]]&lt;=45,"Adults",Table1[[#This Row],[age]]&lt;=60,"Seniors",Table1[[#This Row],[age]]&gt;=61,"Elderly")</f>
        <v>Young Adults</v>
      </c>
    </row>
    <row r="878" spans="1:8">
      <c r="A878">
        <v>49</v>
      </c>
      <c r="B878" t="s">
        <v>8</v>
      </c>
      <c r="C878">
        <v>27.1</v>
      </c>
      <c r="D878">
        <v>1</v>
      </c>
      <c r="E878" t="s">
        <v>12</v>
      </c>
      <c r="F878" t="s">
        <v>10</v>
      </c>
      <c r="G878">
        <v>26140.36</v>
      </c>
      <c r="H878" s="11" t="str" cm="1">
        <f t="array" ref="H878">_xlfn.IFS(Table1[[#This Row],[age]]&lt;=30,"Young Adults",Table1[[#This Row],[age]]&lt;=45,"Adults",Table1[[#This Row],[age]]&lt;=60,"Seniors",Table1[[#This Row],[age]]&gt;=61,"Elderly")</f>
        <v>Seniors</v>
      </c>
    </row>
    <row r="879" spans="1:8">
      <c r="A879">
        <v>33</v>
      </c>
      <c r="B879" t="s">
        <v>11</v>
      </c>
      <c r="C879">
        <v>33.44</v>
      </c>
      <c r="D879">
        <v>5</v>
      </c>
      <c r="E879" t="s">
        <v>12</v>
      </c>
      <c r="F879" t="s">
        <v>13</v>
      </c>
      <c r="G879">
        <v>6653.79</v>
      </c>
      <c r="H879" s="11" t="str" cm="1">
        <f t="array" ref="H879">_xlfn.IFS(Table1[[#This Row],[age]]&lt;=30,"Young Adults",Table1[[#This Row],[age]]&lt;=45,"Adults",Table1[[#This Row],[age]]&lt;=60,"Seniors",Table1[[#This Row],[age]]&gt;=61,"Elderly")</f>
        <v>Adults</v>
      </c>
    </row>
    <row r="880" spans="1:8">
      <c r="A880">
        <v>41</v>
      </c>
      <c r="B880" t="s">
        <v>11</v>
      </c>
      <c r="C880">
        <v>28.8</v>
      </c>
      <c r="D880">
        <v>1</v>
      </c>
      <c r="E880" t="s">
        <v>12</v>
      </c>
      <c r="F880" t="s">
        <v>10</v>
      </c>
      <c r="G880">
        <v>6282.24</v>
      </c>
      <c r="H880" s="11" t="str" cm="1">
        <f t="array" ref="H880">_xlfn.IFS(Table1[[#This Row],[age]]&lt;=30,"Young Adults",Table1[[#This Row],[age]]&lt;=45,"Adults",Table1[[#This Row],[age]]&lt;=60,"Seniors",Table1[[#This Row],[age]]&gt;=61,"Elderly")</f>
        <v>Adults</v>
      </c>
    </row>
    <row r="881" spans="1:8">
      <c r="A881">
        <v>37</v>
      </c>
      <c r="B881" t="s">
        <v>8</v>
      </c>
      <c r="C881">
        <v>29.5</v>
      </c>
      <c r="D881">
        <v>2</v>
      </c>
      <c r="E881" t="s">
        <v>12</v>
      </c>
      <c r="F881" t="s">
        <v>10</v>
      </c>
      <c r="G881">
        <v>6311.95</v>
      </c>
      <c r="H881" s="11" t="str" cm="1">
        <f t="array" ref="H881">_xlfn.IFS(Table1[[#This Row],[age]]&lt;=30,"Young Adults",Table1[[#This Row],[age]]&lt;=45,"Adults",Table1[[#This Row],[age]]&lt;=60,"Seniors",Table1[[#This Row],[age]]&gt;=61,"Elderly")</f>
        <v>Adults</v>
      </c>
    </row>
    <row r="882" spans="1:8">
      <c r="A882">
        <v>22</v>
      </c>
      <c r="B882" t="s">
        <v>11</v>
      </c>
      <c r="C882">
        <v>34.8</v>
      </c>
      <c r="D882">
        <v>3</v>
      </c>
      <c r="E882" t="s">
        <v>12</v>
      </c>
      <c r="F882" t="s">
        <v>10</v>
      </c>
      <c r="G882">
        <v>3443.06</v>
      </c>
      <c r="H882" s="11" t="str" cm="1">
        <f t="array" ref="H882">_xlfn.IFS(Table1[[#This Row],[age]]&lt;=30,"Young Adults",Table1[[#This Row],[age]]&lt;=45,"Adults",Table1[[#This Row],[age]]&lt;=60,"Seniors",Table1[[#This Row],[age]]&gt;=61,"Elderly")</f>
        <v>Young Adults</v>
      </c>
    </row>
    <row r="883" spans="1:8">
      <c r="A883">
        <v>23</v>
      </c>
      <c r="B883" t="s">
        <v>11</v>
      </c>
      <c r="C883">
        <v>27.36</v>
      </c>
      <c r="D883">
        <v>1</v>
      </c>
      <c r="E883" t="s">
        <v>12</v>
      </c>
      <c r="F883" t="s">
        <v>14</v>
      </c>
      <c r="G883">
        <v>2789.06</v>
      </c>
      <c r="H883" s="11" t="str" cm="1">
        <f t="array" ref="H883">_xlfn.IFS(Table1[[#This Row],[age]]&lt;=30,"Young Adults",Table1[[#This Row],[age]]&lt;=45,"Adults",Table1[[#This Row],[age]]&lt;=60,"Seniors",Table1[[#This Row],[age]]&gt;=61,"Elderly")</f>
        <v>Young Adults</v>
      </c>
    </row>
    <row r="884" spans="1:8">
      <c r="A884">
        <v>21</v>
      </c>
      <c r="B884" t="s">
        <v>8</v>
      </c>
      <c r="C884">
        <v>22.135</v>
      </c>
      <c r="D884">
        <v>0</v>
      </c>
      <c r="E884" t="s">
        <v>12</v>
      </c>
      <c r="F884" t="s">
        <v>15</v>
      </c>
      <c r="G884">
        <v>2585.85</v>
      </c>
      <c r="H884" s="11" t="str" cm="1">
        <f t="array" ref="H884">_xlfn.IFS(Table1[[#This Row],[age]]&lt;=30,"Young Adults",Table1[[#This Row],[age]]&lt;=45,"Adults",Table1[[#This Row],[age]]&lt;=60,"Seniors",Table1[[#This Row],[age]]&gt;=61,"Elderly")</f>
        <v>Young Adults</v>
      </c>
    </row>
    <row r="885" spans="1:8">
      <c r="A885">
        <v>51</v>
      </c>
      <c r="B885" t="s">
        <v>8</v>
      </c>
      <c r="C885">
        <v>37.05</v>
      </c>
      <c r="D885">
        <v>3</v>
      </c>
      <c r="E885" t="s">
        <v>9</v>
      </c>
      <c r="F885" t="s">
        <v>15</v>
      </c>
      <c r="G885">
        <v>46255.11</v>
      </c>
      <c r="H885" s="11" t="str" cm="1">
        <f t="array" ref="H885">_xlfn.IFS(Table1[[#This Row],[age]]&lt;=30,"Young Adults",Table1[[#This Row],[age]]&lt;=45,"Adults",Table1[[#This Row],[age]]&lt;=60,"Seniors",Table1[[#This Row],[age]]&gt;=61,"Elderly")</f>
        <v>Seniors</v>
      </c>
    </row>
    <row r="886" spans="1:8">
      <c r="A886">
        <v>25</v>
      </c>
      <c r="B886" t="s">
        <v>11</v>
      </c>
      <c r="C886">
        <v>26.695</v>
      </c>
      <c r="D886">
        <v>4</v>
      </c>
      <c r="E886" t="s">
        <v>12</v>
      </c>
      <c r="F886" t="s">
        <v>14</v>
      </c>
      <c r="G886">
        <v>4877.98</v>
      </c>
      <c r="H886" s="11" t="str" cm="1">
        <f t="array" ref="H886">_xlfn.IFS(Table1[[#This Row],[age]]&lt;=30,"Young Adults",Table1[[#This Row],[age]]&lt;=45,"Adults",Table1[[#This Row],[age]]&lt;=60,"Seniors",Table1[[#This Row],[age]]&gt;=61,"Elderly")</f>
        <v>Young Adults</v>
      </c>
    </row>
    <row r="887" spans="1:8">
      <c r="A887">
        <v>32</v>
      </c>
      <c r="B887" t="s">
        <v>11</v>
      </c>
      <c r="C887">
        <v>28.93</v>
      </c>
      <c r="D887">
        <v>1</v>
      </c>
      <c r="E887" t="s">
        <v>9</v>
      </c>
      <c r="F887" t="s">
        <v>13</v>
      </c>
      <c r="G887">
        <v>19719.69</v>
      </c>
      <c r="H887" s="11" t="str" cm="1">
        <f t="array" ref="H887">_xlfn.IFS(Table1[[#This Row],[age]]&lt;=30,"Young Adults",Table1[[#This Row],[age]]&lt;=45,"Adults",Table1[[#This Row],[age]]&lt;=60,"Seniors",Table1[[#This Row],[age]]&gt;=61,"Elderly")</f>
        <v>Adults</v>
      </c>
    </row>
    <row r="888" spans="1:8">
      <c r="A888">
        <v>57</v>
      </c>
      <c r="B888" t="s">
        <v>11</v>
      </c>
      <c r="C888">
        <v>28.975</v>
      </c>
      <c r="D888">
        <v>0</v>
      </c>
      <c r="E888" t="s">
        <v>9</v>
      </c>
      <c r="F888" t="s">
        <v>15</v>
      </c>
      <c r="G888">
        <v>27218.44</v>
      </c>
      <c r="H888" s="11" t="str" cm="1">
        <f t="array" ref="H888">_xlfn.IFS(Table1[[#This Row],[age]]&lt;=30,"Young Adults",Table1[[#This Row],[age]]&lt;=45,"Adults",Table1[[#This Row],[age]]&lt;=60,"Seniors",Table1[[#This Row],[age]]&gt;=61,"Elderly")</f>
        <v>Seniors</v>
      </c>
    </row>
    <row r="889" spans="1:8">
      <c r="A889">
        <v>36</v>
      </c>
      <c r="B889" t="s">
        <v>8</v>
      </c>
      <c r="C889">
        <v>30.02</v>
      </c>
      <c r="D889">
        <v>0</v>
      </c>
      <c r="E889" t="s">
        <v>12</v>
      </c>
      <c r="F889" t="s">
        <v>14</v>
      </c>
      <c r="G889">
        <v>5272.18</v>
      </c>
      <c r="H889" s="11" t="str" cm="1">
        <f t="array" ref="H889">_xlfn.IFS(Table1[[#This Row],[age]]&lt;=30,"Young Adults",Table1[[#This Row],[age]]&lt;=45,"Adults",Table1[[#This Row],[age]]&lt;=60,"Seniors",Table1[[#This Row],[age]]&gt;=61,"Elderly")</f>
        <v>Adults</v>
      </c>
    </row>
    <row r="890" spans="1:8">
      <c r="A890">
        <v>22</v>
      </c>
      <c r="B890" t="s">
        <v>11</v>
      </c>
      <c r="C890">
        <v>39.5</v>
      </c>
      <c r="D890">
        <v>0</v>
      </c>
      <c r="E890" t="s">
        <v>12</v>
      </c>
      <c r="F890" t="s">
        <v>10</v>
      </c>
      <c r="G890">
        <v>1682.6</v>
      </c>
      <c r="H890" s="11" t="str" cm="1">
        <f t="array" ref="H890">_xlfn.IFS(Table1[[#This Row],[age]]&lt;=30,"Young Adults",Table1[[#This Row],[age]]&lt;=45,"Adults",Table1[[#This Row],[age]]&lt;=60,"Seniors",Table1[[#This Row],[age]]&gt;=61,"Elderly")</f>
        <v>Young Adults</v>
      </c>
    </row>
    <row r="891" spans="1:8">
      <c r="A891">
        <v>57</v>
      </c>
      <c r="B891" t="s">
        <v>11</v>
      </c>
      <c r="C891">
        <v>33.63</v>
      </c>
      <c r="D891">
        <v>1</v>
      </c>
      <c r="E891" t="s">
        <v>12</v>
      </c>
      <c r="F891" t="s">
        <v>14</v>
      </c>
      <c r="G891">
        <v>11945.13</v>
      </c>
      <c r="H891" s="11" t="str" cm="1">
        <f t="array" ref="H891">_xlfn.IFS(Table1[[#This Row],[age]]&lt;=30,"Young Adults",Table1[[#This Row],[age]]&lt;=45,"Adults",Table1[[#This Row],[age]]&lt;=60,"Seniors",Table1[[#This Row],[age]]&gt;=61,"Elderly")</f>
        <v>Seniors</v>
      </c>
    </row>
    <row r="892" spans="1:8">
      <c r="A892">
        <v>64</v>
      </c>
      <c r="B892" t="s">
        <v>8</v>
      </c>
      <c r="C892">
        <v>26.885</v>
      </c>
      <c r="D892">
        <v>0</v>
      </c>
      <c r="E892" t="s">
        <v>9</v>
      </c>
      <c r="F892" t="s">
        <v>14</v>
      </c>
      <c r="G892">
        <v>29330.98</v>
      </c>
      <c r="H892" s="11" t="str" cm="1">
        <f t="array" ref="H892">_xlfn.IFS(Table1[[#This Row],[age]]&lt;=30,"Young Adults",Table1[[#This Row],[age]]&lt;=45,"Adults",Table1[[#This Row],[age]]&lt;=60,"Seniors",Table1[[#This Row],[age]]&gt;=61,"Elderly")</f>
        <v>Elderly</v>
      </c>
    </row>
    <row r="893" spans="1:8">
      <c r="A893">
        <v>36</v>
      </c>
      <c r="B893" t="s">
        <v>8</v>
      </c>
      <c r="C893">
        <v>29.04</v>
      </c>
      <c r="D893">
        <v>4</v>
      </c>
      <c r="E893" t="s">
        <v>12</v>
      </c>
      <c r="F893" t="s">
        <v>13</v>
      </c>
      <c r="G893">
        <v>7243.81</v>
      </c>
      <c r="H893" s="11" t="str" cm="1">
        <f t="array" ref="H893">_xlfn.IFS(Table1[[#This Row],[age]]&lt;=30,"Young Adults",Table1[[#This Row],[age]]&lt;=45,"Adults",Table1[[#This Row],[age]]&lt;=60,"Seniors",Table1[[#This Row],[age]]&gt;=61,"Elderly")</f>
        <v>Adults</v>
      </c>
    </row>
    <row r="894" spans="1:8">
      <c r="A894">
        <v>54</v>
      </c>
      <c r="B894" t="s">
        <v>11</v>
      </c>
      <c r="C894">
        <v>24.035</v>
      </c>
      <c r="D894">
        <v>0</v>
      </c>
      <c r="E894" t="s">
        <v>12</v>
      </c>
      <c r="F894" t="s">
        <v>15</v>
      </c>
      <c r="G894">
        <v>10422.92</v>
      </c>
      <c r="H894" s="11" t="str" cm="1">
        <f t="array" ref="H894">_xlfn.IFS(Table1[[#This Row],[age]]&lt;=30,"Young Adults",Table1[[#This Row],[age]]&lt;=45,"Adults",Table1[[#This Row],[age]]&lt;=60,"Seniors",Table1[[#This Row],[age]]&gt;=61,"Elderly")</f>
        <v>Seniors</v>
      </c>
    </row>
    <row r="895" spans="1:8">
      <c r="A895">
        <v>47</v>
      </c>
      <c r="B895" t="s">
        <v>11</v>
      </c>
      <c r="C895">
        <v>38.94</v>
      </c>
      <c r="D895">
        <v>2</v>
      </c>
      <c r="E895" t="s">
        <v>9</v>
      </c>
      <c r="F895" t="s">
        <v>13</v>
      </c>
      <c r="G895">
        <v>44202.65</v>
      </c>
      <c r="H895" s="11" t="str" cm="1">
        <f t="array" ref="H895">_xlfn.IFS(Table1[[#This Row],[age]]&lt;=30,"Young Adults",Table1[[#This Row],[age]]&lt;=45,"Adults",Table1[[#This Row],[age]]&lt;=60,"Seniors",Table1[[#This Row],[age]]&gt;=61,"Elderly")</f>
        <v>Seniors</v>
      </c>
    </row>
    <row r="896" spans="1:8">
      <c r="A896">
        <v>62</v>
      </c>
      <c r="B896" t="s">
        <v>11</v>
      </c>
      <c r="C896">
        <v>32.11</v>
      </c>
      <c r="D896">
        <v>0</v>
      </c>
      <c r="E896" t="s">
        <v>12</v>
      </c>
      <c r="F896" t="s">
        <v>15</v>
      </c>
      <c r="G896">
        <v>13555</v>
      </c>
      <c r="H896" s="11" t="str" cm="1">
        <f t="array" ref="H896">_xlfn.IFS(Table1[[#This Row],[age]]&lt;=30,"Young Adults",Table1[[#This Row],[age]]&lt;=45,"Adults",Table1[[#This Row],[age]]&lt;=60,"Seniors",Table1[[#This Row],[age]]&gt;=61,"Elderly")</f>
        <v>Elderly</v>
      </c>
    </row>
    <row r="897" spans="1:8">
      <c r="A897">
        <v>61</v>
      </c>
      <c r="B897" t="s">
        <v>8</v>
      </c>
      <c r="C897">
        <v>44</v>
      </c>
      <c r="D897">
        <v>0</v>
      </c>
      <c r="E897" t="s">
        <v>12</v>
      </c>
      <c r="F897" t="s">
        <v>10</v>
      </c>
      <c r="G897">
        <v>13063.88</v>
      </c>
      <c r="H897" s="11" t="str" cm="1">
        <f t="array" ref="H897">_xlfn.IFS(Table1[[#This Row],[age]]&lt;=30,"Young Adults",Table1[[#This Row],[age]]&lt;=45,"Adults",Table1[[#This Row],[age]]&lt;=60,"Seniors",Table1[[#This Row],[age]]&gt;=61,"Elderly")</f>
        <v>Elderly</v>
      </c>
    </row>
    <row r="898" spans="1:8">
      <c r="A898">
        <v>43</v>
      </c>
      <c r="B898" t="s">
        <v>8</v>
      </c>
      <c r="C898">
        <v>20.045</v>
      </c>
      <c r="D898">
        <v>2</v>
      </c>
      <c r="E898" t="s">
        <v>9</v>
      </c>
      <c r="F898" t="s">
        <v>15</v>
      </c>
      <c r="G898">
        <v>19798.05</v>
      </c>
      <c r="H898" s="11" t="str" cm="1">
        <f t="array" ref="H898">_xlfn.IFS(Table1[[#This Row],[age]]&lt;=30,"Young Adults",Table1[[#This Row],[age]]&lt;=45,"Adults",Table1[[#This Row],[age]]&lt;=60,"Seniors",Table1[[#This Row],[age]]&gt;=61,"Elderly")</f>
        <v>Adults</v>
      </c>
    </row>
    <row r="899" spans="1:8">
      <c r="A899">
        <v>19</v>
      </c>
      <c r="B899" t="s">
        <v>11</v>
      </c>
      <c r="C899">
        <v>25.555</v>
      </c>
      <c r="D899">
        <v>1</v>
      </c>
      <c r="E899" t="s">
        <v>12</v>
      </c>
      <c r="F899" t="s">
        <v>14</v>
      </c>
      <c r="G899">
        <v>2221.56</v>
      </c>
      <c r="H899" s="11" t="str" cm="1">
        <f t="array" ref="H899">_xlfn.IFS(Table1[[#This Row],[age]]&lt;=30,"Young Adults",Table1[[#This Row],[age]]&lt;=45,"Adults",Table1[[#This Row],[age]]&lt;=60,"Seniors",Table1[[#This Row],[age]]&gt;=61,"Elderly")</f>
        <v>Young Adults</v>
      </c>
    </row>
    <row r="900" spans="1:8">
      <c r="A900">
        <v>18</v>
      </c>
      <c r="B900" t="s">
        <v>8</v>
      </c>
      <c r="C900">
        <v>40.26</v>
      </c>
      <c r="D900">
        <v>0</v>
      </c>
      <c r="E900" t="s">
        <v>12</v>
      </c>
      <c r="F900" t="s">
        <v>13</v>
      </c>
      <c r="G900">
        <v>1634.57</v>
      </c>
      <c r="H900" s="11" t="str" cm="1">
        <f t="array" ref="H900">_xlfn.IFS(Table1[[#This Row],[age]]&lt;=30,"Young Adults",Table1[[#This Row],[age]]&lt;=45,"Adults",Table1[[#This Row],[age]]&lt;=60,"Seniors",Table1[[#This Row],[age]]&gt;=61,"Elderly")</f>
        <v>Young Adults</v>
      </c>
    </row>
    <row r="901" spans="1:8">
      <c r="A901">
        <v>19</v>
      </c>
      <c r="B901" t="s">
        <v>8</v>
      </c>
      <c r="C901">
        <v>22.515</v>
      </c>
      <c r="D901">
        <v>0</v>
      </c>
      <c r="E901" t="s">
        <v>12</v>
      </c>
      <c r="F901" t="s">
        <v>14</v>
      </c>
      <c r="G901">
        <v>2117.34</v>
      </c>
      <c r="H901" s="11" t="str" cm="1">
        <f t="array" ref="H901">_xlfn.IFS(Table1[[#This Row],[age]]&lt;=30,"Young Adults",Table1[[#This Row],[age]]&lt;=45,"Adults",Table1[[#This Row],[age]]&lt;=60,"Seniors",Table1[[#This Row],[age]]&gt;=61,"Elderly")</f>
        <v>Young Adults</v>
      </c>
    </row>
    <row r="902" spans="1:8">
      <c r="A902">
        <v>49</v>
      </c>
      <c r="B902" t="s">
        <v>11</v>
      </c>
      <c r="C902">
        <v>22.515</v>
      </c>
      <c r="D902">
        <v>0</v>
      </c>
      <c r="E902" t="s">
        <v>12</v>
      </c>
      <c r="F902" t="s">
        <v>15</v>
      </c>
      <c r="G902">
        <v>8688.86</v>
      </c>
      <c r="H902" s="11" t="str" cm="1">
        <f t="array" ref="H902">_xlfn.IFS(Table1[[#This Row],[age]]&lt;=30,"Young Adults",Table1[[#This Row],[age]]&lt;=45,"Adults",Table1[[#This Row],[age]]&lt;=60,"Seniors",Table1[[#This Row],[age]]&gt;=61,"Elderly")</f>
        <v>Seniors</v>
      </c>
    </row>
    <row r="903" spans="1:8">
      <c r="A903">
        <v>60</v>
      </c>
      <c r="B903" t="s">
        <v>11</v>
      </c>
      <c r="C903">
        <v>40.92</v>
      </c>
      <c r="D903">
        <v>0</v>
      </c>
      <c r="E903" t="s">
        <v>9</v>
      </c>
      <c r="F903" t="s">
        <v>13</v>
      </c>
      <c r="G903">
        <v>48673.56</v>
      </c>
      <c r="H903" s="11" t="str" cm="1">
        <f t="array" ref="H903">_xlfn.IFS(Table1[[#This Row],[age]]&lt;=30,"Young Adults",Table1[[#This Row],[age]]&lt;=45,"Adults",Table1[[#This Row],[age]]&lt;=60,"Seniors",Table1[[#This Row],[age]]&gt;=61,"Elderly")</f>
        <v>Seniors</v>
      </c>
    </row>
    <row r="904" spans="1:8">
      <c r="A904">
        <v>26</v>
      </c>
      <c r="B904" t="s">
        <v>11</v>
      </c>
      <c r="C904">
        <v>27.265</v>
      </c>
      <c r="D904">
        <v>3</v>
      </c>
      <c r="E904" t="s">
        <v>12</v>
      </c>
      <c r="F904" t="s">
        <v>15</v>
      </c>
      <c r="G904">
        <v>4661.29</v>
      </c>
      <c r="H904" s="11" t="str" cm="1">
        <f t="array" ref="H904">_xlfn.IFS(Table1[[#This Row],[age]]&lt;=30,"Young Adults",Table1[[#This Row],[age]]&lt;=45,"Adults",Table1[[#This Row],[age]]&lt;=60,"Seniors",Table1[[#This Row],[age]]&gt;=61,"Elderly")</f>
        <v>Young Adults</v>
      </c>
    </row>
    <row r="905" spans="1:8">
      <c r="A905">
        <v>49</v>
      </c>
      <c r="B905" t="s">
        <v>11</v>
      </c>
      <c r="C905">
        <v>36.85</v>
      </c>
      <c r="D905">
        <v>0</v>
      </c>
      <c r="E905" t="s">
        <v>12</v>
      </c>
      <c r="F905" t="s">
        <v>13</v>
      </c>
      <c r="G905">
        <v>8125.78</v>
      </c>
      <c r="H905" s="11" t="str" cm="1">
        <f t="array" ref="H905">_xlfn.IFS(Table1[[#This Row],[age]]&lt;=30,"Young Adults",Table1[[#This Row],[age]]&lt;=45,"Adults",Table1[[#This Row],[age]]&lt;=60,"Seniors",Table1[[#This Row],[age]]&gt;=61,"Elderly")</f>
        <v>Seniors</v>
      </c>
    </row>
    <row r="906" spans="1:8">
      <c r="A906">
        <v>60</v>
      </c>
      <c r="B906" t="s">
        <v>8</v>
      </c>
      <c r="C906">
        <v>35.1</v>
      </c>
      <c r="D906">
        <v>0</v>
      </c>
      <c r="E906" t="s">
        <v>12</v>
      </c>
      <c r="F906" t="s">
        <v>10</v>
      </c>
      <c r="G906">
        <v>12644.59</v>
      </c>
      <c r="H906" s="11" t="str" cm="1">
        <f t="array" ref="H906">_xlfn.IFS(Table1[[#This Row],[age]]&lt;=30,"Young Adults",Table1[[#This Row],[age]]&lt;=45,"Adults",Table1[[#This Row],[age]]&lt;=60,"Seniors",Table1[[#This Row],[age]]&gt;=61,"Elderly")</f>
        <v>Seniors</v>
      </c>
    </row>
    <row r="907" spans="1:8">
      <c r="A907">
        <v>26</v>
      </c>
      <c r="B907" t="s">
        <v>8</v>
      </c>
      <c r="C907">
        <v>29.355</v>
      </c>
      <c r="D907">
        <v>2</v>
      </c>
      <c r="E907" t="s">
        <v>12</v>
      </c>
      <c r="F907" t="s">
        <v>15</v>
      </c>
      <c r="G907">
        <v>4564.19</v>
      </c>
      <c r="H907" s="11" t="str" cm="1">
        <f t="array" ref="H907">_xlfn.IFS(Table1[[#This Row],[age]]&lt;=30,"Young Adults",Table1[[#This Row],[age]]&lt;=45,"Adults",Table1[[#This Row],[age]]&lt;=60,"Seniors",Table1[[#This Row],[age]]&gt;=61,"Elderly")</f>
        <v>Young Adults</v>
      </c>
    </row>
    <row r="908" spans="1:8">
      <c r="A908">
        <v>27</v>
      </c>
      <c r="B908" t="s">
        <v>11</v>
      </c>
      <c r="C908">
        <v>32.585</v>
      </c>
      <c r="D908">
        <v>3</v>
      </c>
      <c r="E908" t="s">
        <v>12</v>
      </c>
      <c r="F908" t="s">
        <v>15</v>
      </c>
      <c r="G908">
        <v>4846.92</v>
      </c>
      <c r="H908" s="11" t="str" cm="1">
        <f t="array" ref="H908">_xlfn.IFS(Table1[[#This Row],[age]]&lt;=30,"Young Adults",Table1[[#This Row],[age]]&lt;=45,"Adults",Table1[[#This Row],[age]]&lt;=60,"Seniors",Table1[[#This Row],[age]]&gt;=61,"Elderly")</f>
        <v>Young Adults</v>
      </c>
    </row>
    <row r="909" spans="1:8">
      <c r="A909">
        <v>44</v>
      </c>
      <c r="B909" t="s">
        <v>8</v>
      </c>
      <c r="C909">
        <v>32.34</v>
      </c>
      <c r="D909">
        <v>1</v>
      </c>
      <c r="E909" t="s">
        <v>12</v>
      </c>
      <c r="F909" t="s">
        <v>13</v>
      </c>
      <c r="G909">
        <v>7633.72</v>
      </c>
      <c r="H909" s="11" t="str" cm="1">
        <f t="array" ref="H909">_xlfn.IFS(Table1[[#This Row],[age]]&lt;=30,"Young Adults",Table1[[#This Row],[age]]&lt;=45,"Adults",Table1[[#This Row],[age]]&lt;=60,"Seniors",Table1[[#This Row],[age]]&gt;=61,"Elderly")</f>
        <v>Adults</v>
      </c>
    </row>
    <row r="910" spans="1:8">
      <c r="A910">
        <v>63</v>
      </c>
      <c r="B910" t="s">
        <v>11</v>
      </c>
      <c r="C910">
        <v>39.8</v>
      </c>
      <c r="D910">
        <v>3</v>
      </c>
      <c r="E910" t="s">
        <v>12</v>
      </c>
      <c r="F910" t="s">
        <v>10</v>
      </c>
      <c r="G910">
        <v>15170.07</v>
      </c>
      <c r="H910" s="11" t="str" cm="1">
        <f t="array" ref="H910">_xlfn.IFS(Table1[[#This Row],[age]]&lt;=30,"Young Adults",Table1[[#This Row],[age]]&lt;=45,"Adults",Table1[[#This Row],[age]]&lt;=60,"Seniors",Table1[[#This Row],[age]]&gt;=61,"Elderly")</f>
        <v>Elderly</v>
      </c>
    </row>
    <row r="911" spans="1:8">
      <c r="A911">
        <v>32</v>
      </c>
      <c r="B911" t="s">
        <v>8</v>
      </c>
      <c r="C911">
        <v>24.6</v>
      </c>
      <c r="D911">
        <v>0</v>
      </c>
      <c r="E911" t="s">
        <v>9</v>
      </c>
      <c r="F911" t="s">
        <v>10</v>
      </c>
      <c r="G911">
        <v>17496.31</v>
      </c>
      <c r="H911" s="11" t="str" cm="1">
        <f t="array" ref="H911">_xlfn.IFS(Table1[[#This Row],[age]]&lt;=30,"Young Adults",Table1[[#This Row],[age]]&lt;=45,"Adults",Table1[[#This Row],[age]]&lt;=60,"Seniors",Table1[[#This Row],[age]]&gt;=61,"Elderly")</f>
        <v>Adults</v>
      </c>
    </row>
    <row r="912" spans="1:8">
      <c r="A912">
        <v>22</v>
      </c>
      <c r="B912" t="s">
        <v>11</v>
      </c>
      <c r="C912">
        <v>28.31</v>
      </c>
      <c r="D912">
        <v>1</v>
      </c>
      <c r="E912" t="s">
        <v>12</v>
      </c>
      <c r="F912" t="s">
        <v>14</v>
      </c>
      <c r="G912">
        <v>2639.04</v>
      </c>
      <c r="H912" s="11" t="str" cm="1">
        <f t="array" ref="H912">_xlfn.IFS(Table1[[#This Row],[age]]&lt;=30,"Young Adults",Table1[[#This Row],[age]]&lt;=45,"Adults",Table1[[#This Row],[age]]&lt;=60,"Seniors",Table1[[#This Row],[age]]&gt;=61,"Elderly")</f>
        <v>Young Adults</v>
      </c>
    </row>
    <row r="913" spans="1:8">
      <c r="A913">
        <v>18</v>
      </c>
      <c r="B913" t="s">
        <v>11</v>
      </c>
      <c r="C913">
        <v>31.73</v>
      </c>
      <c r="D913">
        <v>0</v>
      </c>
      <c r="E913" t="s">
        <v>9</v>
      </c>
      <c r="F913" t="s">
        <v>15</v>
      </c>
      <c r="G913">
        <v>33732.69</v>
      </c>
      <c r="H913" s="11" t="str" cm="1">
        <f t="array" ref="H913">_xlfn.IFS(Table1[[#This Row],[age]]&lt;=30,"Young Adults",Table1[[#This Row],[age]]&lt;=45,"Adults",Table1[[#This Row],[age]]&lt;=60,"Seniors",Table1[[#This Row],[age]]&gt;=61,"Elderly")</f>
        <v>Young Adults</v>
      </c>
    </row>
    <row r="914" spans="1:8">
      <c r="A914">
        <v>59</v>
      </c>
      <c r="B914" t="s">
        <v>8</v>
      </c>
      <c r="C914">
        <v>26.695</v>
      </c>
      <c r="D914">
        <v>3</v>
      </c>
      <c r="E914" t="s">
        <v>12</v>
      </c>
      <c r="F914" t="s">
        <v>14</v>
      </c>
      <c r="G914">
        <v>14382.71</v>
      </c>
      <c r="H914" s="11" t="str" cm="1">
        <f t="array" ref="H914">_xlfn.IFS(Table1[[#This Row],[age]]&lt;=30,"Young Adults",Table1[[#This Row],[age]]&lt;=45,"Adults",Table1[[#This Row],[age]]&lt;=60,"Seniors",Table1[[#This Row],[age]]&gt;=61,"Elderly")</f>
        <v>Seniors</v>
      </c>
    </row>
    <row r="915" spans="1:8">
      <c r="A915">
        <v>44</v>
      </c>
      <c r="B915" t="s">
        <v>8</v>
      </c>
      <c r="C915">
        <v>27.5</v>
      </c>
      <c r="D915">
        <v>1</v>
      </c>
      <c r="E915" t="s">
        <v>12</v>
      </c>
      <c r="F915" t="s">
        <v>10</v>
      </c>
      <c r="G915">
        <v>7626.99</v>
      </c>
      <c r="H915" s="11" t="str" cm="1">
        <f t="array" ref="H915">_xlfn.IFS(Table1[[#This Row],[age]]&lt;=30,"Young Adults",Table1[[#This Row],[age]]&lt;=45,"Adults",Table1[[#This Row],[age]]&lt;=60,"Seniors",Table1[[#This Row],[age]]&gt;=61,"Elderly")</f>
        <v>Adults</v>
      </c>
    </row>
    <row r="916" spans="1:8">
      <c r="A916">
        <v>33</v>
      </c>
      <c r="B916" t="s">
        <v>11</v>
      </c>
      <c r="C916">
        <v>24.605</v>
      </c>
      <c r="D916">
        <v>2</v>
      </c>
      <c r="E916" t="s">
        <v>12</v>
      </c>
      <c r="F916" t="s">
        <v>14</v>
      </c>
      <c r="G916">
        <v>5257.51</v>
      </c>
      <c r="H916" s="11" t="str" cm="1">
        <f t="array" ref="H916">_xlfn.IFS(Table1[[#This Row],[age]]&lt;=30,"Young Adults",Table1[[#This Row],[age]]&lt;=45,"Adults",Table1[[#This Row],[age]]&lt;=60,"Seniors",Table1[[#This Row],[age]]&gt;=61,"Elderly")</f>
        <v>Adults</v>
      </c>
    </row>
    <row r="917" spans="1:8">
      <c r="A917">
        <v>24</v>
      </c>
      <c r="B917" t="s">
        <v>8</v>
      </c>
      <c r="C917">
        <v>33.99</v>
      </c>
      <c r="D917">
        <v>0</v>
      </c>
      <c r="E917" t="s">
        <v>12</v>
      </c>
      <c r="F917" t="s">
        <v>13</v>
      </c>
      <c r="G917">
        <v>2473.33</v>
      </c>
      <c r="H917" s="11" t="str" cm="1">
        <f t="array" ref="H917">_xlfn.IFS(Table1[[#This Row],[age]]&lt;=30,"Young Adults",Table1[[#This Row],[age]]&lt;=45,"Adults",Table1[[#This Row],[age]]&lt;=60,"Seniors",Table1[[#This Row],[age]]&gt;=61,"Elderly")</f>
        <v>Young Adults</v>
      </c>
    </row>
    <row r="918" spans="1:8">
      <c r="A918">
        <v>43</v>
      </c>
      <c r="B918" t="s">
        <v>8</v>
      </c>
      <c r="C918">
        <v>26.885</v>
      </c>
      <c r="D918">
        <v>0</v>
      </c>
      <c r="E918" t="s">
        <v>9</v>
      </c>
      <c r="F918" t="s">
        <v>14</v>
      </c>
      <c r="G918">
        <v>21774.32</v>
      </c>
      <c r="H918" s="11" t="str" cm="1">
        <f t="array" ref="H918">_xlfn.IFS(Table1[[#This Row],[age]]&lt;=30,"Young Adults",Table1[[#This Row],[age]]&lt;=45,"Adults",Table1[[#This Row],[age]]&lt;=60,"Seniors",Table1[[#This Row],[age]]&gt;=61,"Elderly")</f>
        <v>Adults</v>
      </c>
    </row>
    <row r="919" spans="1:8">
      <c r="A919">
        <v>45</v>
      </c>
      <c r="B919" t="s">
        <v>11</v>
      </c>
      <c r="C919">
        <v>22.895</v>
      </c>
      <c r="D919">
        <v>0</v>
      </c>
      <c r="E919" t="s">
        <v>9</v>
      </c>
      <c r="F919" t="s">
        <v>15</v>
      </c>
      <c r="G919">
        <v>35069.37</v>
      </c>
      <c r="H919" s="11" t="str" cm="1">
        <f t="array" ref="H919">_xlfn.IFS(Table1[[#This Row],[age]]&lt;=30,"Young Adults",Table1[[#This Row],[age]]&lt;=45,"Adults",Table1[[#This Row],[age]]&lt;=60,"Seniors",Table1[[#This Row],[age]]&gt;=61,"Elderly")</f>
        <v>Adults</v>
      </c>
    </row>
    <row r="920" spans="1:8">
      <c r="A920">
        <v>61</v>
      </c>
      <c r="B920" t="s">
        <v>8</v>
      </c>
      <c r="C920">
        <v>28.2</v>
      </c>
      <c r="D920">
        <v>0</v>
      </c>
      <c r="E920" t="s">
        <v>12</v>
      </c>
      <c r="F920" t="s">
        <v>10</v>
      </c>
      <c r="G920">
        <v>13041.92</v>
      </c>
      <c r="H920" s="11" t="str" cm="1">
        <f t="array" ref="H920">_xlfn.IFS(Table1[[#This Row],[age]]&lt;=30,"Young Adults",Table1[[#This Row],[age]]&lt;=45,"Adults",Table1[[#This Row],[age]]&lt;=60,"Seniors",Table1[[#This Row],[age]]&gt;=61,"Elderly")</f>
        <v>Elderly</v>
      </c>
    </row>
    <row r="921" spans="1:8">
      <c r="A921">
        <v>35</v>
      </c>
      <c r="B921" t="s">
        <v>8</v>
      </c>
      <c r="C921">
        <v>34.21</v>
      </c>
      <c r="D921">
        <v>1</v>
      </c>
      <c r="E921" t="s">
        <v>12</v>
      </c>
      <c r="F921" t="s">
        <v>13</v>
      </c>
      <c r="G921">
        <v>5245.23</v>
      </c>
      <c r="H921" s="11" t="str" cm="1">
        <f t="array" ref="H921">_xlfn.IFS(Table1[[#This Row],[age]]&lt;=30,"Young Adults",Table1[[#This Row],[age]]&lt;=45,"Adults",Table1[[#This Row],[age]]&lt;=60,"Seniors",Table1[[#This Row],[age]]&gt;=61,"Elderly")</f>
        <v>Adults</v>
      </c>
    </row>
    <row r="922" spans="1:8">
      <c r="A922">
        <v>62</v>
      </c>
      <c r="B922" t="s">
        <v>8</v>
      </c>
      <c r="C922">
        <v>25</v>
      </c>
      <c r="D922">
        <v>0</v>
      </c>
      <c r="E922" t="s">
        <v>12</v>
      </c>
      <c r="F922" t="s">
        <v>10</v>
      </c>
      <c r="G922">
        <v>13451.12</v>
      </c>
      <c r="H922" s="11" t="str" cm="1">
        <f t="array" ref="H922">_xlfn.IFS(Table1[[#This Row],[age]]&lt;=30,"Young Adults",Table1[[#This Row],[age]]&lt;=45,"Adults",Table1[[#This Row],[age]]&lt;=60,"Seniors",Table1[[#This Row],[age]]&gt;=61,"Elderly")</f>
        <v>Elderly</v>
      </c>
    </row>
    <row r="923" spans="1:8">
      <c r="A923">
        <v>62</v>
      </c>
      <c r="B923" t="s">
        <v>8</v>
      </c>
      <c r="C923">
        <v>33.2</v>
      </c>
      <c r="D923">
        <v>0</v>
      </c>
      <c r="E923" t="s">
        <v>12</v>
      </c>
      <c r="F923" t="s">
        <v>10</v>
      </c>
      <c r="G923">
        <v>13462.52</v>
      </c>
      <c r="H923" s="11" t="str" cm="1">
        <f t="array" ref="H923">_xlfn.IFS(Table1[[#This Row],[age]]&lt;=30,"Young Adults",Table1[[#This Row],[age]]&lt;=45,"Adults",Table1[[#This Row],[age]]&lt;=60,"Seniors",Table1[[#This Row],[age]]&gt;=61,"Elderly")</f>
        <v>Elderly</v>
      </c>
    </row>
    <row r="924" spans="1:8">
      <c r="A924">
        <v>38</v>
      </c>
      <c r="B924" t="s">
        <v>11</v>
      </c>
      <c r="C924">
        <v>31</v>
      </c>
      <c r="D924">
        <v>1</v>
      </c>
      <c r="E924" t="s">
        <v>12</v>
      </c>
      <c r="F924" t="s">
        <v>10</v>
      </c>
      <c r="G924">
        <v>5488.26</v>
      </c>
      <c r="H924" s="11" t="str" cm="1">
        <f t="array" ref="H924">_xlfn.IFS(Table1[[#This Row],[age]]&lt;=30,"Young Adults",Table1[[#This Row],[age]]&lt;=45,"Adults",Table1[[#This Row],[age]]&lt;=60,"Seniors",Table1[[#This Row],[age]]&gt;=61,"Elderly")</f>
        <v>Adults</v>
      </c>
    </row>
    <row r="925" spans="1:8">
      <c r="A925">
        <v>34</v>
      </c>
      <c r="B925" t="s">
        <v>11</v>
      </c>
      <c r="C925">
        <v>35.815</v>
      </c>
      <c r="D925">
        <v>0</v>
      </c>
      <c r="E925" t="s">
        <v>12</v>
      </c>
      <c r="F925" t="s">
        <v>14</v>
      </c>
      <c r="G925">
        <v>4320.41</v>
      </c>
      <c r="H925" s="11" t="str" cm="1">
        <f t="array" ref="H925">_xlfn.IFS(Table1[[#This Row],[age]]&lt;=30,"Young Adults",Table1[[#This Row],[age]]&lt;=45,"Adults",Table1[[#This Row],[age]]&lt;=60,"Seniors",Table1[[#This Row],[age]]&gt;=61,"Elderly")</f>
        <v>Adults</v>
      </c>
    </row>
    <row r="926" spans="1:8">
      <c r="A926">
        <v>43</v>
      </c>
      <c r="B926" t="s">
        <v>11</v>
      </c>
      <c r="C926">
        <v>23.2</v>
      </c>
      <c r="D926">
        <v>0</v>
      </c>
      <c r="E926" t="s">
        <v>12</v>
      </c>
      <c r="F926" t="s">
        <v>10</v>
      </c>
      <c r="G926">
        <v>6250.44</v>
      </c>
      <c r="H926" s="11" t="str" cm="1">
        <f t="array" ref="H926">_xlfn.IFS(Table1[[#This Row],[age]]&lt;=30,"Young Adults",Table1[[#This Row],[age]]&lt;=45,"Adults",Table1[[#This Row],[age]]&lt;=60,"Seniors",Table1[[#This Row],[age]]&gt;=61,"Elderly")</f>
        <v>Adults</v>
      </c>
    </row>
    <row r="927" spans="1:8">
      <c r="A927">
        <v>50</v>
      </c>
      <c r="B927" t="s">
        <v>11</v>
      </c>
      <c r="C927">
        <v>32.11</v>
      </c>
      <c r="D927">
        <v>2</v>
      </c>
      <c r="E927" t="s">
        <v>12</v>
      </c>
      <c r="F927" t="s">
        <v>15</v>
      </c>
      <c r="G927">
        <v>25333.33</v>
      </c>
      <c r="H927" s="11" t="str" cm="1">
        <f t="array" ref="H927">_xlfn.IFS(Table1[[#This Row],[age]]&lt;=30,"Young Adults",Table1[[#This Row],[age]]&lt;=45,"Adults",Table1[[#This Row],[age]]&lt;=60,"Seniors",Table1[[#This Row],[age]]&gt;=61,"Elderly")</f>
        <v>Seniors</v>
      </c>
    </row>
    <row r="928" spans="1:8">
      <c r="A928">
        <v>19</v>
      </c>
      <c r="B928" t="s">
        <v>8</v>
      </c>
      <c r="C928">
        <v>23.4</v>
      </c>
      <c r="D928">
        <v>2</v>
      </c>
      <c r="E928" t="s">
        <v>12</v>
      </c>
      <c r="F928" t="s">
        <v>10</v>
      </c>
      <c r="G928">
        <v>2913.57</v>
      </c>
      <c r="H928" s="11" t="str" cm="1">
        <f t="array" ref="H928">_xlfn.IFS(Table1[[#This Row],[age]]&lt;=30,"Young Adults",Table1[[#This Row],[age]]&lt;=45,"Adults",Table1[[#This Row],[age]]&lt;=60,"Seniors",Table1[[#This Row],[age]]&gt;=61,"Elderly")</f>
        <v>Young Adults</v>
      </c>
    </row>
    <row r="929" spans="1:8">
      <c r="A929">
        <v>57</v>
      </c>
      <c r="B929" t="s">
        <v>8</v>
      </c>
      <c r="C929">
        <v>20.1</v>
      </c>
      <c r="D929">
        <v>1</v>
      </c>
      <c r="E929" t="s">
        <v>12</v>
      </c>
      <c r="F929" t="s">
        <v>10</v>
      </c>
      <c r="G929">
        <v>12032.33</v>
      </c>
      <c r="H929" s="11" t="str" cm="1">
        <f t="array" ref="H929">_xlfn.IFS(Table1[[#This Row],[age]]&lt;=30,"Young Adults",Table1[[#This Row],[age]]&lt;=45,"Adults",Table1[[#This Row],[age]]&lt;=60,"Seniors",Table1[[#This Row],[age]]&gt;=61,"Elderly")</f>
        <v>Seniors</v>
      </c>
    </row>
    <row r="930" spans="1:8">
      <c r="A930">
        <v>62</v>
      </c>
      <c r="B930" t="s">
        <v>8</v>
      </c>
      <c r="C930">
        <v>39.16</v>
      </c>
      <c r="D930">
        <v>0</v>
      </c>
      <c r="E930" t="s">
        <v>12</v>
      </c>
      <c r="F930" t="s">
        <v>13</v>
      </c>
      <c r="G930">
        <v>13470.8</v>
      </c>
      <c r="H930" s="11" t="str" cm="1">
        <f t="array" ref="H930">_xlfn.IFS(Table1[[#This Row],[age]]&lt;=30,"Young Adults",Table1[[#This Row],[age]]&lt;=45,"Adults",Table1[[#This Row],[age]]&lt;=60,"Seniors",Table1[[#This Row],[age]]&gt;=61,"Elderly")</f>
        <v>Elderly</v>
      </c>
    </row>
    <row r="931" spans="1:8">
      <c r="A931">
        <v>41</v>
      </c>
      <c r="B931" t="s">
        <v>11</v>
      </c>
      <c r="C931">
        <v>34.21</v>
      </c>
      <c r="D931">
        <v>1</v>
      </c>
      <c r="E931" t="s">
        <v>12</v>
      </c>
      <c r="F931" t="s">
        <v>13</v>
      </c>
      <c r="G931">
        <v>6289.75</v>
      </c>
      <c r="H931" s="11" t="str" cm="1">
        <f t="array" ref="H931">_xlfn.IFS(Table1[[#This Row],[age]]&lt;=30,"Young Adults",Table1[[#This Row],[age]]&lt;=45,"Adults",Table1[[#This Row],[age]]&lt;=60,"Seniors",Table1[[#This Row],[age]]&gt;=61,"Elderly")</f>
        <v>Adults</v>
      </c>
    </row>
    <row r="932" spans="1:8">
      <c r="A932">
        <v>26</v>
      </c>
      <c r="B932" t="s">
        <v>11</v>
      </c>
      <c r="C932">
        <v>46.53</v>
      </c>
      <c r="D932">
        <v>1</v>
      </c>
      <c r="E932" t="s">
        <v>12</v>
      </c>
      <c r="F932" t="s">
        <v>13</v>
      </c>
      <c r="G932">
        <v>2927.06</v>
      </c>
      <c r="H932" s="11" t="str" cm="1">
        <f t="array" ref="H932">_xlfn.IFS(Table1[[#This Row],[age]]&lt;=30,"Young Adults",Table1[[#This Row],[age]]&lt;=45,"Adults",Table1[[#This Row],[age]]&lt;=60,"Seniors",Table1[[#This Row],[age]]&gt;=61,"Elderly")</f>
        <v>Young Adults</v>
      </c>
    </row>
    <row r="933" spans="1:8">
      <c r="A933">
        <v>39</v>
      </c>
      <c r="B933" t="s">
        <v>8</v>
      </c>
      <c r="C933">
        <v>32.5</v>
      </c>
      <c r="D933">
        <v>1</v>
      </c>
      <c r="E933" t="s">
        <v>12</v>
      </c>
      <c r="F933" t="s">
        <v>10</v>
      </c>
      <c r="G933">
        <v>6238.3</v>
      </c>
      <c r="H933" s="11" t="str" cm="1">
        <f t="array" ref="H933">_xlfn.IFS(Table1[[#This Row],[age]]&lt;=30,"Young Adults",Table1[[#This Row],[age]]&lt;=45,"Adults",Table1[[#This Row],[age]]&lt;=60,"Seniors",Table1[[#This Row],[age]]&gt;=61,"Elderly")</f>
        <v>Adults</v>
      </c>
    </row>
    <row r="934" spans="1:8">
      <c r="A934">
        <v>46</v>
      </c>
      <c r="B934" t="s">
        <v>11</v>
      </c>
      <c r="C934">
        <v>25.8</v>
      </c>
      <c r="D934">
        <v>5</v>
      </c>
      <c r="E934" t="s">
        <v>12</v>
      </c>
      <c r="F934" t="s">
        <v>10</v>
      </c>
      <c r="G934">
        <v>10096.97</v>
      </c>
      <c r="H934" s="11" t="str" cm="1">
        <f t="array" ref="H934">_xlfn.IFS(Table1[[#This Row],[age]]&lt;=30,"Young Adults",Table1[[#This Row],[age]]&lt;=45,"Adults",Table1[[#This Row],[age]]&lt;=60,"Seniors",Table1[[#This Row],[age]]&gt;=61,"Elderly")</f>
        <v>Seniors</v>
      </c>
    </row>
    <row r="935" spans="1:8">
      <c r="A935">
        <v>45</v>
      </c>
      <c r="B935" t="s">
        <v>8</v>
      </c>
      <c r="C935">
        <v>35.3</v>
      </c>
      <c r="D935">
        <v>0</v>
      </c>
      <c r="E935" t="s">
        <v>12</v>
      </c>
      <c r="F935" t="s">
        <v>10</v>
      </c>
      <c r="G935">
        <v>7348.14</v>
      </c>
      <c r="H935" s="11" t="str" cm="1">
        <f t="array" ref="H935">_xlfn.IFS(Table1[[#This Row],[age]]&lt;=30,"Young Adults",Table1[[#This Row],[age]]&lt;=45,"Adults",Table1[[#This Row],[age]]&lt;=60,"Seniors",Table1[[#This Row],[age]]&gt;=61,"Elderly")</f>
        <v>Adults</v>
      </c>
    </row>
    <row r="936" spans="1:8">
      <c r="A936">
        <v>32</v>
      </c>
      <c r="B936" t="s">
        <v>11</v>
      </c>
      <c r="C936">
        <v>37.18</v>
      </c>
      <c r="D936">
        <v>2</v>
      </c>
      <c r="E936" t="s">
        <v>12</v>
      </c>
      <c r="F936" t="s">
        <v>13</v>
      </c>
      <c r="G936">
        <v>4673.39</v>
      </c>
      <c r="H936" s="11" t="str" cm="1">
        <f t="array" ref="H936">_xlfn.IFS(Table1[[#This Row],[age]]&lt;=30,"Young Adults",Table1[[#This Row],[age]]&lt;=45,"Adults",Table1[[#This Row],[age]]&lt;=60,"Seniors",Table1[[#This Row],[age]]&gt;=61,"Elderly")</f>
        <v>Adults</v>
      </c>
    </row>
    <row r="937" spans="1:8">
      <c r="A937">
        <v>59</v>
      </c>
      <c r="B937" t="s">
        <v>8</v>
      </c>
      <c r="C937">
        <v>27.5</v>
      </c>
      <c r="D937">
        <v>0</v>
      </c>
      <c r="E937" t="s">
        <v>12</v>
      </c>
      <c r="F937" t="s">
        <v>10</v>
      </c>
      <c r="G937">
        <v>12233.83</v>
      </c>
      <c r="H937" s="11" t="str" cm="1">
        <f t="array" ref="H937">_xlfn.IFS(Table1[[#This Row],[age]]&lt;=30,"Young Adults",Table1[[#This Row],[age]]&lt;=45,"Adults",Table1[[#This Row],[age]]&lt;=60,"Seniors",Table1[[#This Row],[age]]&gt;=61,"Elderly")</f>
        <v>Seniors</v>
      </c>
    </row>
    <row r="938" spans="1:8">
      <c r="A938">
        <v>44</v>
      </c>
      <c r="B938" t="s">
        <v>11</v>
      </c>
      <c r="C938">
        <v>29.735</v>
      </c>
      <c r="D938">
        <v>2</v>
      </c>
      <c r="E938" t="s">
        <v>12</v>
      </c>
      <c r="F938" t="s">
        <v>15</v>
      </c>
      <c r="G938">
        <v>32108.66</v>
      </c>
      <c r="H938" s="11" t="str" cm="1">
        <f t="array" ref="H938">_xlfn.IFS(Table1[[#This Row],[age]]&lt;=30,"Young Adults",Table1[[#This Row],[age]]&lt;=45,"Adults",Table1[[#This Row],[age]]&lt;=60,"Seniors",Table1[[#This Row],[age]]&gt;=61,"Elderly")</f>
        <v>Adults</v>
      </c>
    </row>
    <row r="939" spans="1:8">
      <c r="A939">
        <v>39</v>
      </c>
      <c r="B939" t="s">
        <v>8</v>
      </c>
      <c r="C939">
        <v>24.225</v>
      </c>
      <c r="D939">
        <v>5</v>
      </c>
      <c r="E939" t="s">
        <v>12</v>
      </c>
      <c r="F939" t="s">
        <v>14</v>
      </c>
      <c r="G939">
        <v>8965.8</v>
      </c>
      <c r="H939" s="11" t="str" cm="1">
        <f t="array" ref="H939">_xlfn.IFS(Table1[[#This Row],[age]]&lt;=30,"Young Adults",Table1[[#This Row],[age]]&lt;=45,"Adults",Table1[[#This Row],[age]]&lt;=60,"Seniors",Table1[[#This Row],[age]]&gt;=61,"Elderly")</f>
        <v>Adults</v>
      </c>
    </row>
    <row r="940" spans="1:8">
      <c r="A940">
        <v>18</v>
      </c>
      <c r="B940" t="s">
        <v>11</v>
      </c>
      <c r="C940">
        <v>26.18</v>
      </c>
      <c r="D940">
        <v>2</v>
      </c>
      <c r="E940" t="s">
        <v>12</v>
      </c>
      <c r="F940" t="s">
        <v>13</v>
      </c>
      <c r="G940">
        <v>2304</v>
      </c>
      <c r="H940" s="11" t="str" cm="1">
        <f t="array" ref="H940">_xlfn.IFS(Table1[[#This Row],[age]]&lt;=30,"Young Adults",Table1[[#This Row],[age]]&lt;=45,"Adults",Table1[[#This Row],[age]]&lt;=60,"Seniors",Table1[[#This Row],[age]]&gt;=61,"Elderly")</f>
        <v>Young Adults</v>
      </c>
    </row>
    <row r="941" spans="1:8">
      <c r="A941">
        <v>53</v>
      </c>
      <c r="B941" t="s">
        <v>11</v>
      </c>
      <c r="C941">
        <v>29.48</v>
      </c>
      <c r="D941">
        <v>0</v>
      </c>
      <c r="E941" t="s">
        <v>12</v>
      </c>
      <c r="F941" t="s">
        <v>13</v>
      </c>
      <c r="G941">
        <v>9487.64</v>
      </c>
      <c r="H941" s="11" t="str" cm="1">
        <f t="array" ref="H941">_xlfn.IFS(Table1[[#This Row],[age]]&lt;=30,"Young Adults",Table1[[#This Row],[age]]&lt;=45,"Adults",Table1[[#This Row],[age]]&lt;=60,"Seniors",Table1[[#This Row],[age]]&gt;=61,"Elderly")</f>
        <v>Seniors</v>
      </c>
    </row>
    <row r="942" spans="1:8">
      <c r="A942">
        <v>18</v>
      </c>
      <c r="B942" t="s">
        <v>11</v>
      </c>
      <c r="C942">
        <v>23.21</v>
      </c>
      <c r="D942">
        <v>0</v>
      </c>
      <c r="E942" t="s">
        <v>12</v>
      </c>
      <c r="F942" t="s">
        <v>13</v>
      </c>
      <c r="G942">
        <v>1121.87</v>
      </c>
      <c r="H942" s="11" t="str" cm="1">
        <f t="array" ref="H942">_xlfn.IFS(Table1[[#This Row],[age]]&lt;=30,"Young Adults",Table1[[#This Row],[age]]&lt;=45,"Adults",Table1[[#This Row],[age]]&lt;=60,"Seniors",Table1[[#This Row],[age]]&gt;=61,"Elderly")</f>
        <v>Young Adults</v>
      </c>
    </row>
    <row r="943" spans="1:8">
      <c r="A943">
        <v>50</v>
      </c>
      <c r="B943" t="s">
        <v>8</v>
      </c>
      <c r="C943">
        <v>46.09</v>
      </c>
      <c r="D943">
        <v>1</v>
      </c>
      <c r="E943" t="s">
        <v>12</v>
      </c>
      <c r="F943" t="s">
        <v>13</v>
      </c>
      <c r="G943">
        <v>9549.57</v>
      </c>
      <c r="H943" s="11" t="str" cm="1">
        <f t="array" ref="H943">_xlfn.IFS(Table1[[#This Row],[age]]&lt;=30,"Young Adults",Table1[[#This Row],[age]]&lt;=45,"Adults",Table1[[#This Row],[age]]&lt;=60,"Seniors",Table1[[#This Row],[age]]&gt;=61,"Elderly")</f>
        <v>Seniors</v>
      </c>
    </row>
    <row r="944" spans="1:8">
      <c r="A944">
        <v>18</v>
      </c>
      <c r="B944" t="s">
        <v>8</v>
      </c>
      <c r="C944">
        <v>40.185</v>
      </c>
      <c r="D944">
        <v>0</v>
      </c>
      <c r="E944" t="s">
        <v>12</v>
      </c>
      <c r="F944" t="s">
        <v>15</v>
      </c>
      <c r="G944">
        <v>2217.47</v>
      </c>
      <c r="H944" s="11" t="str" cm="1">
        <f t="array" ref="H944">_xlfn.IFS(Table1[[#This Row],[age]]&lt;=30,"Young Adults",Table1[[#This Row],[age]]&lt;=45,"Adults",Table1[[#This Row],[age]]&lt;=60,"Seniors",Table1[[#This Row],[age]]&gt;=61,"Elderly")</f>
        <v>Young Adults</v>
      </c>
    </row>
    <row r="945" spans="1:8">
      <c r="A945">
        <v>19</v>
      </c>
      <c r="B945" t="s">
        <v>11</v>
      </c>
      <c r="C945">
        <v>22.61</v>
      </c>
      <c r="D945">
        <v>0</v>
      </c>
      <c r="E945" t="s">
        <v>12</v>
      </c>
      <c r="F945" t="s">
        <v>14</v>
      </c>
      <c r="G945">
        <v>1628.47</v>
      </c>
      <c r="H945" s="11" t="str" cm="1">
        <f t="array" ref="H945">_xlfn.IFS(Table1[[#This Row],[age]]&lt;=30,"Young Adults",Table1[[#This Row],[age]]&lt;=45,"Adults",Table1[[#This Row],[age]]&lt;=60,"Seniors",Table1[[#This Row],[age]]&gt;=61,"Elderly")</f>
        <v>Young Adults</v>
      </c>
    </row>
    <row r="946" spans="1:8">
      <c r="A946">
        <v>62</v>
      </c>
      <c r="B946" t="s">
        <v>11</v>
      </c>
      <c r="C946">
        <v>39.93</v>
      </c>
      <c r="D946">
        <v>0</v>
      </c>
      <c r="E946" t="s">
        <v>12</v>
      </c>
      <c r="F946" t="s">
        <v>13</v>
      </c>
      <c r="G946">
        <v>12982.87</v>
      </c>
      <c r="H946" s="11" t="str" cm="1">
        <f t="array" ref="H946">_xlfn.IFS(Table1[[#This Row],[age]]&lt;=30,"Young Adults",Table1[[#This Row],[age]]&lt;=45,"Adults",Table1[[#This Row],[age]]&lt;=60,"Seniors",Table1[[#This Row],[age]]&gt;=61,"Elderly")</f>
        <v>Elderly</v>
      </c>
    </row>
    <row r="947" spans="1:8">
      <c r="A947">
        <v>56</v>
      </c>
      <c r="B947" t="s">
        <v>8</v>
      </c>
      <c r="C947">
        <v>35.8</v>
      </c>
      <c r="D947">
        <v>1</v>
      </c>
      <c r="E947" t="s">
        <v>12</v>
      </c>
      <c r="F947" t="s">
        <v>10</v>
      </c>
      <c r="G947">
        <v>11674.13</v>
      </c>
      <c r="H947" s="11" t="str" cm="1">
        <f t="array" ref="H947">_xlfn.IFS(Table1[[#This Row],[age]]&lt;=30,"Young Adults",Table1[[#This Row],[age]]&lt;=45,"Adults",Table1[[#This Row],[age]]&lt;=60,"Seniors",Table1[[#This Row],[age]]&gt;=61,"Elderly")</f>
        <v>Seniors</v>
      </c>
    </row>
    <row r="948" spans="1:8">
      <c r="A948">
        <v>42</v>
      </c>
      <c r="B948" t="s">
        <v>11</v>
      </c>
      <c r="C948">
        <v>35.8</v>
      </c>
      <c r="D948">
        <v>2</v>
      </c>
      <c r="E948" t="s">
        <v>12</v>
      </c>
      <c r="F948" t="s">
        <v>10</v>
      </c>
      <c r="G948">
        <v>7160.09</v>
      </c>
      <c r="H948" s="11" t="str" cm="1">
        <f t="array" ref="H948">_xlfn.IFS(Table1[[#This Row],[age]]&lt;=30,"Young Adults",Table1[[#This Row],[age]]&lt;=45,"Adults",Table1[[#This Row],[age]]&lt;=60,"Seniors",Table1[[#This Row],[age]]&gt;=61,"Elderly")</f>
        <v>Adults</v>
      </c>
    </row>
    <row r="949" spans="1:8">
      <c r="A949">
        <v>37</v>
      </c>
      <c r="B949" t="s">
        <v>11</v>
      </c>
      <c r="C949">
        <v>34.2</v>
      </c>
      <c r="D949">
        <v>1</v>
      </c>
      <c r="E949" t="s">
        <v>9</v>
      </c>
      <c r="F949" t="s">
        <v>15</v>
      </c>
      <c r="G949">
        <v>39047.29</v>
      </c>
      <c r="H949" s="11" t="str" cm="1">
        <f t="array" ref="H949">_xlfn.IFS(Table1[[#This Row],[age]]&lt;=30,"Young Adults",Table1[[#This Row],[age]]&lt;=45,"Adults",Table1[[#This Row],[age]]&lt;=60,"Seniors",Table1[[#This Row],[age]]&gt;=61,"Elderly")</f>
        <v>Adults</v>
      </c>
    </row>
    <row r="950" spans="1:8">
      <c r="A950">
        <v>42</v>
      </c>
      <c r="B950" t="s">
        <v>11</v>
      </c>
      <c r="C950">
        <v>31.255</v>
      </c>
      <c r="D950">
        <v>0</v>
      </c>
      <c r="E950" t="s">
        <v>12</v>
      </c>
      <c r="F950" t="s">
        <v>14</v>
      </c>
      <c r="G950">
        <v>6358.78</v>
      </c>
      <c r="H950" s="11" t="str" cm="1">
        <f t="array" ref="H950">_xlfn.IFS(Table1[[#This Row],[age]]&lt;=30,"Young Adults",Table1[[#This Row],[age]]&lt;=45,"Adults",Table1[[#This Row],[age]]&lt;=60,"Seniors",Table1[[#This Row],[age]]&gt;=61,"Elderly")</f>
        <v>Adults</v>
      </c>
    </row>
    <row r="951" spans="1:8">
      <c r="A951">
        <v>25</v>
      </c>
      <c r="B951" t="s">
        <v>11</v>
      </c>
      <c r="C951">
        <v>29.7</v>
      </c>
      <c r="D951">
        <v>3</v>
      </c>
      <c r="E951" t="s">
        <v>9</v>
      </c>
      <c r="F951" t="s">
        <v>10</v>
      </c>
      <c r="G951">
        <v>19933.46</v>
      </c>
      <c r="H951" s="11" t="str" cm="1">
        <f t="array" ref="H951">_xlfn.IFS(Table1[[#This Row],[age]]&lt;=30,"Young Adults",Table1[[#This Row],[age]]&lt;=45,"Adults",Table1[[#This Row],[age]]&lt;=60,"Seniors",Table1[[#This Row],[age]]&gt;=61,"Elderly")</f>
        <v>Young Adults</v>
      </c>
    </row>
    <row r="952" spans="1:8">
      <c r="A952">
        <v>57</v>
      </c>
      <c r="B952" t="s">
        <v>11</v>
      </c>
      <c r="C952">
        <v>18.335</v>
      </c>
      <c r="D952">
        <v>0</v>
      </c>
      <c r="E952" t="s">
        <v>12</v>
      </c>
      <c r="F952" t="s">
        <v>15</v>
      </c>
      <c r="G952">
        <v>11534.87</v>
      </c>
      <c r="H952" s="11" t="str" cm="1">
        <f t="array" ref="H952">_xlfn.IFS(Table1[[#This Row],[age]]&lt;=30,"Young Adults",Table1[[#This Row],[age]]&lt;=45,"Adults",Table1[[#This Row],[age]]&lt;=60,"Seniors",Table1[[#This Row],[age]]&gt;=61,"Elderly")</f>
        <v>Seniors</v>
      </c>
    </row>
    <row r="953" spans="1:8">
      <c r="A953">
        <v>51</v>
      </c>
      <c r="B953" t="s">
        <v>11</v>
      </c>
      <c r="C953">
        <v>42.9</v>
      </c>
      <c r="D953">
        <v>2</v>
      </c>
      <c r="E953" t="s">
        <v>9</v>
      </c>
      <c r="F953" t="s">
        <v>13</v>
      </c>
      <c r="G953">
        <v>47462.89</v>
      </c>
      <c r="H953" s="11" t="str" cm="1">
        <f t="array" ref="H953">_xlfn.IFS(Table1[[#This Row],[age]]&lt;=30,"Young Adults",Table1[[#This Row],[age]]&lt;=45,"Adults",Table1[[#This Row],[age]]&lt;=60,"Seniors",Table1[[#This Row],[age]]&gt;=61,"Elderly")</f>
        <v>Seniors</v>
      </c>
    </row>
    <row r="954" spans="1:8">
      <c r="A954">
        <v>30</v>
      </c>
      <c r="B954" t="s">
        <v>8</v>
      </c>
      <c r="C954">
        <v>28.405</v>
      </c>
      <c r="D954">
        <v>1</v>
      </c>
      <c r="E954" t="s">
        <v>12</v>
      </c>
      <c r="F954" t="s">
        <v>14</v>
      </c>
      <c r="G954">
        <v>4527.18</v>
      </c>
      <c r="H954" s="11" t="str" cm="1">
        <f t="array" ref="H954">_xlfn.IFS(Table1[[#This Row],[age]]&lt;=30,"Young Adults",Table1[[#This Row],[age]]&lt;=45,"Adults",Table1[[#This Row],[age]]&lt;=60,"Seniors",Table1[[#This Row],[age]]&gt;=61,"Elderly")</f>
        <v>Young Adults</v>
      </c>
    </row>
    <row r="955" spans="1:8">
      <c r="A955">
        <v>44</v>
      </c>
      <c r="B955" t="s">
        <v>11</v>
      </c>
      <c r="C955">
        <v>30.2</v>
      </c>
      <c r="D955">
        <v>2</v>
      </c>
      <c r="E955" t="s">
        <v>9</v>
      </c>
      <c r="F955" t="s">
        <v>10</v>
      </c>
      <c r="G955">
        <v>38998.55</v>
      </c>
      <c r="H955" s="11" t="str" cm="1">
        <f t="array" ref="H955">_xlfn.IFS(Table1[[#This Row],[age]]&lt;=30,"Young Adults",Table1[[#This Row],[age]]&lt;=45,"Adults",Table1[[#This Row],[age]]&lt;=60,"Seniors",Table1[[#This Row],[age]]&gt;=61,"Elderly")</f>
        <v>Adults</v>
      </c>
    </row>
    <row r="956" spans="1:8">
      <c r="A956">
        <v>34</v>
      </c>
      <c r="B956" t="s">
        <v>11</v>
      </c>
      <c r="C956">
        <v>27.835</v>
      </c>
      <c r="D956">
        <v>1</v>
      </c>
      <c r="E956" t="s">
        <v>9</v>
      </c>
      <c r="F956" t="s">
        <v>14</v>
      </c>
      <c r="G956">
        <v>20009.63</v>
      </c>
      <c r="H956" s="11" t="str" cm="1">
        <f t="array" ref="H956">_xlfn.IFS(Table1[[#This Row],[age]]&lt;=30,"Young Adults",Table1[[#This Row],[age]]&lt;=45,"Adults",Table1[[#This Row],[age]]&lt;=60,"Seniors",Table1[[#This Row],[age]]&gt;=61,"Elderly")</f>
        <v>Adults</v>
      </c>
    </row>
    <row r="957" spans="1:8">
      <c r="A957">
        <v>31</v>
      </c>
      <c r="B957" t="s">
        <v>11</v>
      </c>
      <c r="C957">
        <v>39.49</v>
      </c>
      <c r="D957">
        <v>1</v>
      </c>
      <c r="E957" t="s">
        <v>12</v>
      </c>
      <c r="F957" t="s">
        <v>13</v>
      </c>
      <c r="G957">
        <v>3875.73</v>
      </c>
      <c r="H957" s="11" t="str" cm="1">
        <f t="array" ref="H957">_xlfn.IFS(Table1[[#This Row],[age]]&lt;=30,"Young Adults",Table1[[#This Row],[age]]&lt;=45,"Adults",Table1[[#This Row],[age]]&lt;=60,"Seniors",Table1[[#This Row],[age]]&gt;=61,"Elderly")</f>
        <v>Adults</v>
      </c>
    </row>
    <row r="958" spans="1:8">
      <c r="A958">
        <v>54</v>
      </c>
      <c r="B958" t="s">
        <v>11</v>
      </c>
      <c r="C958">
        <v>30.8</v>
      </c>
      <c r="D958">
        <v>1</v>
      </c>
      <c r="E958" t="s">
        <v>9</v>
      </c>
      <c r="F958" t="s">
        <v>13</v>
      </c>
      <c r="G958">
        <v>41999.52</v>
      </c>
      <c r="H958" s="11" t="str" cm="1">
        <f t="array" ref="H958">_xlfn.IFS(Table1[[#This Row],[age]]&lt;=30,"Young Adults",Table1[[#This Row],[age]]&lt;=45,"Adults",Table1[[#This Row],[age]]&lt;=60,"Seniors",Table1[[#This Row],[age]]&gt;=61,"Elderly")</f>
        <v>Seniors</v>
      </c>
    </row>
    <row r="959" spans="1:8">
      <c r="A959">
        <v>24</v>
      </c>
      <c r="B959" t="s">
        <v>11</v>
      </c>
      <c r="C959">
        <v>26.79</v>
      </c>
      <c r="D959">
        <v>1</v>
      </c>
      <c r="E959" t="s">
        <v>12</v>
      </c>
      <c r="F959" t="s">
        <v>14</v>
      </c>
      <c r="G959">
        <v>12609.89</v>
      </c>
      <c r="H959" s="11" t="str" cm="1">
        <f t="array" ref="H959">_xlfn.IFS(Table1[[#This Row],[age]]&lt;=30,"Young Adults",Table1[[#This Row],[age]]&lt;=45,"Adults",Table1[[#This Row],[age]]&lt;=60,"Seniors",Table1[[#This Row],[age]]&gt;=61,"Elderly")</f>
        <v>Young Adults</v>
      </c>
    </row>
    <row r="960" spans="1:8">
      <c r="A960">
        <v>43</v>
      </c>
      <c r="B960" t="s">
        <v>11</v>
      </c>
      <c r="C960">
        <v>34.96</v>
      </c>
      <c r="D960">
        <v>1</v>
      </c>
      <c r="E960" t="s">
        <v>9</v>
      </c>
      <c r="F960" t="s">
        <v>15</v>
      </c>
      <c r="G960">
        <v>41034.22</v>
      </c>
      <c r="H960" s="11" t="str" cm="1">
        <f t="array" ref="H960">_xlfn.IFS(Table1[[#This Row],[age]]&lt;=30,"Young Adults",Table1[[#This Row],[age]]&lt;=45,"Adults",Table1[[#This Row],[age]]&lt;=60,"Seniors",Table1[[#This Row],[age]]&gt;=61,"Elderly")</f>
        <v>Adults</v>
      </c>
    </row>
    <row r="961" spans="1:8">
      <c r="A961">
        <v>48</v>
      </c>
      <c r="B961" t="s">
        <v>11</v>
      </c>
      <c r="C961">
        <v>36.67</v>
      </c>
      <c r="D961">
        <v>1</v>
      </c>
      <c r="E961" t="s">
        <v>12</v>
      </c>
      <c r="F961" t="s">
        <v>14</v>
      </c>
      <c r="G961">
        <v>28468.92</v>
      </c>
      <c r="H961" s="11" t="str" cm="1">
        <f t="array" ref="H961">_xlfn.IFS(Table1[[#This Row],[age]]&lt;=30,"Young Adults",Table1[[#This Row],[age]]&lt;=45,"Adults",Table1[[#This Row],[age]]&lt;=60,"Seniors",Table1[[#This Row],[age]]&gt;=61,"Elderly")</f>
        <v>Seniors</v>
      </c>
    </row>
    <row r="962" spans="1:8">
      <c r="A962">
        <v>19</v>
      </c>
      <c r="B962" t="s">
        <v>8</v>
      </c>
      <c r="C962">
        <v>39.615</v>
      </c>
      <c r="D962">
        <v>1</v>
      </c>
      <c r="E962" t="s">
        <v>12</v>
      </c>
      <c r="F962" t="s">
        <v>14</v>
      </c>
      <c r="G962">
        <v>2730.11</v>
      </c>
      <c r="H962" s="11" t="str" cm="1">
        <f t="array" ref="H962">_xlfn.IFS(Table1[[#This Row],[age]]&lt;=30,"Young Adults",Table1[[#This Row],[age]]&lt;=45,"Adults",Table1[[#This Row],[age]]&lt;=60,"Seniors",Table1[[#This Row],[age]]&gt;=61,"Elderly")</f>
        <v>Young Adults</v>
      </c>
    </row>
    <row r="963" spans="1:8">
      <c r="A963">
        <v>29</v>
      </c>
      <c r="B963" t="s">
        <v>8</v>
      </c>
      <c r="C963">
        <v>25.9</v>
      </c>
      <c r="D963">
        <v>0</v>
      </c>
      <c r="E963" t="s">
        <v>12</v>
      </c>
      <c r="F963" t="s">
        <v>10</v>
      </c>
      <c r="G963">
        <v>3353.28</v>
      </c>
      <c r="H963" s="11" t="str" cm="1">
        <f t="array" ref="H963">_xlfn.IFS(Table1[[#This Row],[age]]&lt;=30,"Young Adults",Table1[[#This Row],[age]]&lt;=45,"Adults",Table1[[#This Row],[age]]&lt;=60,"Seniors",Table1[[#This Row],[age]]&gt;=61,"Elderly")</f>
        <v>Young Adults</v>
      </c>
    </row>
    <row r="964" spans="1:8">
      <c r="A964">
        <v>63</v>
      </c>
      <c r="B964" t="s">
        <v>8</v>
      </c>
      <c r="C964">
        <v>35.2</v>
      </c>
      <c r="D964">
        <v>1</v>
      </c>
      <c r="E964" t="s">
        <v>12</v>
      </c>
      <c r="F964" t="s">
        <v>13</v>
      </c>
      <c r="G964">
        <v>14474.68</v>
      </c>
      <c r="H964" s="11" t="str" cm="1">
        <f t="array" ref="H964">_xlfn.IFS(Table1[[#This Row],[age]]&lt;=30,"Young Adults",Table1[[#This Row],[age]]&lt;=45,"Adults",Table1[[#This Row],[age]]&lt;=60,"Seniors",Table1[[#This Row],[age]]&gt;=61,"Elderly")</f>
        <v>Elderly</v>
      </c>
    </row>
    <row r="965" spans="1:8">
      <c r="A965">
        <v>46</v>
      </c>
      <c r="B965" t="s">
        <v>11</v>
      </c>
      <c r="C965">
        <v>24.795</v>
      </c>
      <c r="D965">
        <v>3</v>
      </c>
      <c r="E965" t="s">
        <v>12</v>
      </c>
      <c r="F965" t="s">
        <v>15</v>
      </c>
      <c r="G965">
        <v>9500.57</v>
      </c>
      <c r="H965" s="11" t="str" cm="1">
        <f t="array" ref="H965">_xlfn.IFS(Table1[[#This Row],[age]]&lt;=30,"Young Adults",Table1[[#This Row],[age]]&lt;=45,"Adults",Table1[[#This Row],[age]]&lt;=60,"Seniors",Table1[[#This Row],[age]]&gt;=61,"Elderly")</f>
        <v>Seniors</v>
      </c>
    </row>
    <row r="966" spans="1:8">
      <c r="A966">
        <v>52</v>
      </c>
      <c r="B966" t="s">
        <v>11</v>
      </c>
      <c r="C966">
        <v>36.765</v>
      </c>
      <c r="D966">
        <v>2</v>
      </c>
      <c r="E966" t="s">
        <v>12</v>
      </c>
      <c r="F966" t="s">
        <v>14</v>
      </c>
      <c r="G966">
        <v>26467.1</v>
      </c>
      <c r="H966" s="11" t="str" cm="1">
        <f t="array" ref="H966">_xlfn.IFS(Table1[[#This Row],[age]]&lt;=30,"Young Adults",Table1[[#This Row],[age]]&lt;=45,"Adults",Table1[[#This Row],[age]]&lt;=60,"Seniors",Table1[[#This Row],[age]]&gt;=61,"Elderly")</f>
        <v>Seniors</v>
      </c>
    </row>
    <row r="967" spans="1:8">
      <c r="A967">
        <v>35</v>
      </c>
      <c r="B967" t="s">
        <v>11</v>
      </c>
      <c r="C967">
        <v>27.1</v>
      </c>
      <c r="D967">
        <v>1</v>
      </c>
      <c r="E967" t="s">
        <v>12</v>
      </c>
      <c r="F967" t="s">
        <v>10</v>
      </c>
      <c r="G967">
        <v>4746.34</v>
      </c>
      <c r="H967" s="11" t="str" cm="1">
        <f t="array" ref="H967">_xlfn.IFS(Table1[[#This Row],[age]]&lt;=30,"Young Adults",Table1[[#This Row],[age]]&lt;=45,"Adults",Table1[[#This Row],[age]]&lt;=60,"Seniors",Table1[[#This Row],[age]]&gt;=61,"Elderly")</f>
        <v>Adults</v>
      </c>
    </row>
    <row r="968" spans="1:8">
      <c r="A968">
        <v>51</v>
      </c>
      <c r="B968" t="s">
        <v>11</v>
      </c>
      <c r="C968">
        <v>24.795</v>
      </c>
      <c r="D968">
        <v>2</v>
      </c>
      <c r="E968" t="s">
        <v>9</v>
      </c>
      <c r="F968" t="s">
        <v>14</v>
      </c>
      <c r="G968">
        <v>23967.38</v>
      </c>
      <c r="H968" s="11" t="str" cm="1">
        <f t="array" ref="H968">_xlfn.IFS(Table1[[#This Row],[age]]&lt;=30,"Young Adults",Table1[[#This Row],[age]]&lt;=45,"Adults",Table1[[#This Row],[age]]&lt;=60,"Seniors",Table1[[#This Row],[age]]&gt;=61,"Elderly")</f>
        <v>Seniors</v>
      </c>
    </row>
    <row r="969" spans="1:8">
      <c r="A969">
        <v>44</v>
      </c>
      <c r="B969" t="s">
        <v>11</v>
      </c>
      <c r="C969">
        <v>25.365</v>
      </c>
      <c r="D969">
        <v>1</v>
      </c>
      <c r="E969" t="s">
        <v>12</v>
      </c>
      <c r="F969" t="s">
        <v>14</v>
      </c>
      <c r="G969">
        <v>7518.03</v>
      </c>
      <c r="H969" s="11" t="str" cm="1">
        <f t="array" ref="H969">_xlfn.IFS(Table1[[#This Row],[age]]&lt;=30,"Young Adults",Table1[[#This Row],[age]]&lt;=45,"Adults",Table1[[#This Row],[age]]&lt;=60,"Seniors",Table1[[#This Row],[age]]&gt;=61,"Elderly")</f>
        <v>Adults</v>
      </c>
    </row>
    <row r="970" spans="1:8">
      <c r="A970">
        <v>21</v>
      </c>
      <c r="B970" t="s">
        <v>11</v>
      </c>
      <c r="C970">
        <v>25.745</v>
      </c>
      <c r="D970">
        <v>2</v>
      </c>
      <c r="E970" t="s">
        <v>12</v>
      </c>
      <c r="F970" t="s">
        <v>15</v>
      </c>
      <c r="G970">
        <v>3279.87</v>
      </c>
      <c r="H970" s="11" t="str" cm="1">
        <f t="array" ref="H970">_xlfn.IFS(Table1[[#This Row],[age]]&lt;=30,"Young Adults",Table1[[#This Row],[age]]&lt;=45,"Adults",Table1[[#This Row],[age]]&lt;=60,"Seniors",Table1[[#This Row],[age]]&gt;=61,"Elderly")</f>
        <v>Young Adults</v>
      </c>
    </row>
    <row r="971" spans="1:8">
      <c r="A971">
        <v>39</v>
      </c>
      <c r="B971" t="s">
        <v>8</v>
      </c>
      <c r="C971">
        <v>34.32</v>
      </c>
      <c r="D971">
        <v>5</v>
      </c>
      <c r="E971" t="s">
        <v>12</v>
      </c>
      <c r="F971" t="s">
        <v>13</v>
      </c>
      <c r="G971">
        <v>8596.83</v>
      </c>
      <c r="H971" s="11" t="str" cm="1">
        <f t="array" ref="H971">_xlfn.IFS(Table1[[#This Row],[age]]&lt;=30,"Young Adults",Table1[[#This Row],[age]]&lt;=45,"Adults",Table1[[#This Row],[age]]&lt;=60,"Seniors",Table1[[#This Row],[age]]&gt;=61,"Elderly")</f>
        <v>Adults</v>
      </c>
    </row>
    <row r="972" spans="1:8">
      <c r="A972">
        <v>50</v>
      </c>
      <c r="B972" t="s">
        <v>8</v>
      </c>
      <c r="C972">
        <v>28.16</v>
      </c>
      <c r="D972">
        <v>3</v>
      </c>
      <c r="E972" t="s">
        <v>12</v>
      </c>
      <c r="F972" t="s">
        <v>13</v>
      </c>
      <c r="G972">
        <v>10702.64</v>
      </c>
      <c r="H972" s="11" t="str" cm="1">
        <f t="array" ref="H972">_xlfn.IFS(Table1[[#This Row],[age]]&lt;=30,"Young Adults",Table1[[#This Row],[age]]&lt;=45,"Adults",Table1[[#This Row],[age]]&lt;=60,"Seniors",Table1[[#This Row],[age]]&gt;=61,"Elderly")</f>
        <v>Seniors</v>
      </c>
    </row>
    <row r="973" spans="1:8">
      <c r="A973">
        <v>34</v>
      </c>
      <c r="B973" t="s">
        <v>8</v>
      </c>
      <c r="C973">
        <v>23.56</v>
      </c>
      <c r="D973">
        <v>0</v>
      </c>
      <c r="E973" t="s">
        <v>12</v>
      </c>
      <c r="F973" t="s">
        <v>15</v>
      </c>
      <c r="G973">
        <v>4992.38</v>
      </c>
      <c r="H973" s="11" t="str" cm="1">
        <f t="array" ref="H973">_xlfn.IFS(Table1[[#This Row],[age]]&lt;=30,"Young Adults",Table1[[#This Row],[age]]&lt;=45,"Adults",Table1[[#This Row],[age]]&lt;=60,"Seniors",Table1[[#This Row],[age]]&gt;=61,"Elderly")</f>
        <v>Adults</v>
      </c>
    </row>
    <row r="974" spans="1:8">
      <c r="A974">
        <v>22</v>
      </c>
      <c r="B974" t="s">
        <v>8</v>
      </c>
      <c r="C974">
        <v>20.235</v>
      </c>
      <c r="D974">
        <v>0</v>
      </c>
      <c r="E974" t="s">
        <v>12</v>
      </c>
      <c r="F974" t="s">
        <v>14</v>
      </c>
      <c r="G974">
        <v>2527.82</v>
      </c>
      <c r="H974" s="11" t="str" cm="1">
        <f t="array" ref="H974">_xlfn.IFS(Table1[[#This Row],[age]]&lt;=30,"Young Adults",Table1[[#This Row],[age]]&lt;=45,"Adults",Table1[[#This Row],[age]]&lt;=60,"Seniors",Table1[[#This Row],[age]]&gt;=61,"Elderly")</f>
        <v>Young Adults</v>
      </c>
    </row>
    <row r="975" spans="1:8">
      <c r="A975">
        <v>19</v>
      </c>
      <c r="B975" t="s">
        <v>8</v>
      </c>
      <c r="C975">
        <v>40.5</v>
      </c>
      <c r="D975">
        <v>0</v>
      </c>
      <c r="E975" t="s">
        <v>12</v>
      </c>
      <c r="F975" t="s">
        <v>10</v>
      </c>
      <c r="G975">
        <v>1759.34</v>
      </c>
      <c r="H975" s="11" t="str" cm="1">
        <f t="array" ref="H975">_xlfn.IFS(Table1[[#This Row],[age]]&lt;=30,"Young Adults",Table1[[#This Row],[age]]&lt;=45,"Adults",Table1[[#This Row],[age]]&lt;=60,"Seniors",Table1[[#This Row],[age]]&gt;=61,"Elderly")</f>
        <v>Young Adults</v>
      </c>
    </row>
    <row r="976" spans="1:8">
      <c r="A976">
        <v>26</v>
      </c>
      <c r="B976" t="s">
        <v>11</v>
      </c>
      <c r="C976">
        <v>35.42</v>
      </c>
      <c r="D976">
        <v>0</v>
      </c>
      <c r="E976" t="s">
        <v>12</v>
      </c>
      <c r="F976" t="s">
        <v>13</v>
      </c>
      <c r="G976">
        <v>2322.62</v>
      </c>
      <c r="H976" s="11" t="str" cm="1">
        <f t="array" ref="H976">_xlfn.IFS(Table1[[#This Row],[age]]&lt;=30,"Young Adults",Table1[[#This Row],[age]]&lt;=45,"Adults",Table1[[#This Row],[age]]&lt;=60,"Seniors",Table1[[#This Row],[age]]&gt;=61,"Elderly")</f>
        <v>Young Adults</v>
      </c>
    </row>
    <row r="977" spans="1:8">
      <c r="A977">
        <v>29</v>
      </c>
      <c r="B977" t="s">
        <v>11</v>
      </c>
      <c r="C977">
        <v>22.895</v>
      </c>
      <c r="D977">
        <v>0</v>
      </c>
      <c r="E977" t="s">
        <v>9</v>
      </c>
      <c r="F977" t="s">
        <v>15</v>
      </c>
      <c r="G977">
        <v>16138.76</v>
      </c>
      <c r="H977" s="11" t="str" cm="1">
        <f t="array" ref="H977">_xlfn.IFS(Table1[[#This Row],[age]]&lt;=30,"Young Adults",Table1[[#This Row],[age]]&lt;=45,"Adults",Table1[[#This Row],[age]]&lt;=60,"Seniors",Table1[[#This Row],[age]]&gt;=61,"Elderly")</f>
        <v>Young Adults</v>
      </c>
    </row>
    <row r="978" spans="1:8">
      <c r="A978">
        <v>48</v>
      </c>
      <c r="B978" t="s">
        <v>11</v>
      </c>
      <c r="C978">
        <v>40.15</v>
      </c>
      <c r="D978">
        <v>0</v>
      </c>
      <c r="E978" t="s">
        <v>12</v>
      </c>
      <c r="F978" t="s">
        <v>13</v>
      </c>
      <c r="G978">
        <v>7804.16</v>
      </c>
      <c r="H978" s="11" t="str" cm="1">
        <f t="array" ref="H978">_xlfn.IFS(Table1[[#This Row],[age]]&lt;=30,"Young Adults",Table1[[#This Row],[age]]&lt;=45,"Adults",Table1[[#This Row],[age]]&lt;=60,"Seniors",Table1[[#This Row],[age]]&gt;=61,"Elderly")</f>
        <v>Seniors</v>
      </c>
    </row>
    <row r="979" spans="1:8">
      <c r="A979">
        <v>26</v>
      </c>
      <c r="B979" t="s">
        <v>11</v>
      </c>
      <c r="C979">
        <v>29.15</v>
      </c>
      <c r="D979">
        <v>1</v>
      </c>
      <c r="E979" t="s">
        <v>12</v>
      </c>
      <c r="F979" t="s">
        <v>13</v>
      </c>
      <c r="G979">
        <v>2902.91</v>
      </c>
      <c r="H979" s="11" t="str" cm="1">
        <f t="array" ref="H979">_xlfn.IFS(Table1[[#This Row],[age]]&lt;=30,"Young Adults",Table1[[#This Row],[age]]&lt;=45,"Adults",Table1[[#This Row],[age]]&lt;=60,"Seniors",Table1[[#This Row],[age]]&gt;=61,"Elderly")</f>
        <v>Young Adults</v>
      </c>
    </row>
    <row r="980" spans="1:8">
      <c r="A980">
        <v>45</v>
      </c>
      <c r="B980" t="s">
        <v>8</v>
      </c>
      <c r="C980">
        <v>39.995</v>
      </c>
      <c r="D980">
        <v>3</v>
      </c>
      <c r="E980" t="s">
        <v>12</v>
      </c>
      <c r="F980" t="s">
        <v>15</v>
      </c>
      <c r="G980">
        <v>9704.67</v>
      </c>
      <c r="H980" s="11" t="str" cm="1">
        <f t="array" ref="H980">_xlfn.IFS(Table1[[#This Row],[age]]&lt;=30,"Young Adults",Table1[[#This Row],[age]]&lt;=45,"Adults",Table1[[#This Row],[age]]&lt;=60,"Seniors",Table1[[#This Row],[age]]&gt;=61,"Elderly")</f>
        <v>Adults</v>
      </c>
    </row>
    <row r="981" spans="1:8">
      <c r="A981">
        <v>36</v>
      </c>
      <c r="B981" t="s">
        <v>8</v>
      </c>
      <c r="C981">
        <v>29.92</v>
      </c>
      <c r="D981">
        <v>0</v>
      </c>
      <c r="E981" t="s">
        <v>12</v>
      </c>
      <c r="F981" t="s">
        <v>13</v>
      </c>
      <c r="G981">
        <v>4889.04</v>
      </c>
      <c r="H981" s="11" t="str" cm="1">
        <f t="array" ref="H981">_xlfn.IFS(Table1[[#This Row],[age]]&lt;=30,"Young Adults",Table1[[#This Row],[age]]&lt;=45,"Adults",Table1[[#This Row],[age]]&lt;=60,"Seniors",Table1[[#This Row],[age]]&gt;=61,"Elderly")</f>
        <v>Adults</v>
      </c>
    </row>
    <row r="982" spans="1:8">
      <c r="A982">
        <v>54</v>
      </c>
      <c r="B982" t="s">
        <v>11</v>
      </c>
      <c r="C982">
        <v>25.46</v>
      </c>
      <c r="D982">
        <v>1</v>
      </c>
      <c r="E982" t="s">
        <v>12</v>
      </c>
      <c r="F982" t="s">
        <v>15</v>
      </c>
      <c r="G982">
        <v>25517.11</v>
      </c>
      <c r="H982" s="11" t="str" cm="1">
        <f t="array" ref="H982">_xlfn.IFS(Table1[[#This Row],[age]]&lt;=30,"Young Adults",Table1[[#This Row],[age]]&lt;=45,"Adults",Table1[[#This Row],[age]]&lt;=60,"Seniors",Table1[[#This Row],[age]]&gt;=61,"Elderly")</f>
        <v>Seniors</v>
      </c>
    </row>
    <row r="983" spans="1:8">
      <c r="A983">
        <v>34</v>
      </c>
      <c r="B983" t="s">
        <v>11</v>
      </c>
      <c r="C983">
        <v>21.375</v>
      </c>
      <c r="D983">
        <v>0</v>
      </c>
      <c r="E983" t="s">
        <v>12</v>
      </c>
      <c r="F983" t="s">
        <v>15</v>
      </c>
      <c r="G983">
        <v>4500.34</v>
      </c>
      <c r="H983" s="11" t="str" cm="1">
        <f t="array" ref="H983">_xlfn.IFS(Table1[[#This Row],[age]]&lt;=30,"Young Adults",Table1[[#This Row],[age]]&lt;=45,"Adults",Table1[[#This Row],[age]]&lt;=60,"Seniors",Table1[[#This Row],[age]]&gt;=61,"Elderly")</f>
        <v>Adults</v>
      </c>
    </row>
    <row r="984" spans="1:8">
      <c r="A984">
        <v>31</v>
      </c>
      <c r="B984" t="s">
        <v>11</v>
      </c>
      <c r="C984">
        <v>25.9</v>
      </c>
      <c r="D984">
        <v>3</v>
      </c>
      <c r="E984" t="s">
        <v>9</v>
      </c>
      <c r="F984" t="s">
        <v>10</v>
      </c>
      <c r="G984">
        <v>19199.94</v>
      </c>
      <c r="H984" s="11" t="str" cm="1">
        <f t="array" ref="H984">_xlfn.IFS(Table1[[#This Row],[age]]&lt;=30,"Young Adults",Table1[[#This Row],[age]]&lt;=45,"Adults",Table1[[#This Row],[age]]&lt;=60,"Seniors",Table1[[#This Row],[age]]&gt;=61,"Elderly")</f>
        <v>Adults</v>
      </c>
    </row>
    <row r="985" spans="1:8">
      <c r="A985">
        <v>27</v>
      </c>
      <c r="B985" t="s">
        <v>8</v>
      </c>
      <c r="C985">
        <v>30.59</v>
      </c>
      <c r="D985">
        <v>1</v>
      </c>
      <c r="E985" t="s">
        <v>12</v>
      </c>
      <c r="F985" t="s">
        <v>15</v>
      </c>
      <c r="G985">
        <v>16796.41</v>
      </c>
      <c r="H985" s="11" t="str" cm="1">
        <f t="array" ref="H985">_xlfn.IFS(Table1[[#This Row],[age]]&lt;=30,"Young Adults",Table1[[#This Row],[age]]&lt;=45,"Adults",Table1[[#This Row],[age]]&lt;=60,"Seniors",Table1[[#This Row],[age]]&gt;=61,"Elderly")</f>
        <v>Young Adults</v>
      </c>
    </row>
    <row r="986" spans="1:8">
      <c r="A986">
        <v>20</v>
      </c>
      <c r="B986" t="s">
        <v>11</v>
      </c>
      <c r="C986">
        <v>30.115</v>
      </c>
      <c r="D986">
        <v>5</v>
      </c>
      <c r="E986" t="s">
        <v>12</v>
      </c>
      <c r="F986" t="s">
        <v>15</v>
      </c>
      <c r="G986">
        <v>4915.06</v>
      </c>
      <c r="H986" s="11" t="str" cm="1">
        <f t="array" ref="H986">_xlfn.IFS(Table1[[#This Row],[age]]&lt;=30,"Young Adults",Table1[[#This Row],[age]]&lt;=45,"Adults",Table1[[#This Row],[age]]&lt;=60,"Seniors",Table1[[#This Row],[age]]&gt;=61,"Elderly")</f>
        <v>Young Adults</v>
      </c>
    </row>
    <row r="987" spans="1:8">
      <c r="A987">
        <v>44</v>
      </c>
      <c r="B987" t="s">
        <v>8</v>
      </c>
      <c r="C987">
        <v>25.8</v>
      </c>
      <c r="D987">
        <v>1</v>
      </c>
      <c r="E987" t="s">
        <v>12</v>
      </c>
      <c r="F987" t="s">
        <v>10</v>
      </c>
      <c r="G987">
        <v>7624.63</v>
      </c>
      <c r="H987" s="11" t="str" cm="1">
        <f t="array" ref="H987">_xlfn.IFS(Table1[[#This Row],[age]]&lt;=30,"Young Adults",Table1[[#This Row],[age]]&lt;=45,"Adults",Table1[[#This Row],[age]]&lt;=60,"Seniors",Table1[[#This Row],[age]]&gt;=61,"Elderly")</f>
        <v>Adults</v>
      </c>
    </row>
    <row r="988" spans="1:8">
      <c r="A988">
        <v>43</v>
      </c>
      <c r="B988" t="s">
        <v>11</v>
      </c>
      <c r="C988">
        <v>30.115</v>
      </c>
      <c r="D988">
        <v>3</v>
      </c>
      <c r="E988" t="s">
        <v>12</v>
      </c>
      <c r="F988" t="s">
        <v>14</v>
      </c>
      <c r="G988">
        <v>8410.05</v>
      </c>
      <c r="H988" s="11" t="str" cm="1">
        <f t="array" ref="H988">_xlfn.IFS(Table1[[#This Row],[age]]&lt;=30,"Young Adults",Table1[[#This Row],[age]]&lt;=45,"Adults",Table1[[#This Row],[age]]&lt;=60,"Seniors",Table1[[#This Row],[age]]&gt;=61,"Elderly")</f>
        <v>Adults</v>
      </c>
    </row>
    <row r="989" spans="1:8">
      <c r="A989">
        <v>45</v>
      </c>
      <c r="B989" t="s">
        <v>8</v>
      </c>
      <c r="C989">
        <v>27.645</v>
      </c>
      <c r="D989">
        <v>1</v>
      </c>
      <c r="E989" t="s">
        <v>12</v>
      </c>
      <c r="F989" t="s">
        <v>14</v>
      </c>
      <c r="G989">
        <v>28340.19</v>
      </c>
      <c r="H989" s="11" t="str" cm="1">
        <f t="array" ref="H989">_xlfn.IFS(Table1[[#This Row],[age]]&lt;=30,"Young Adults",Table1[[#This Row],[age]]&lt;=45,"Adults",Table1[[#This Row],[age]]&lt;=60,"Seniors",Table1[[#This Row],[age]]&gt;=61,"Elderly")</f>
        <v>Adults</v>
      </c>
    </row>
    <row r="990" spans="1:8">
      <c r="A990">
        <v>34</v>
      </c>
      <c r="B990" t="s">
        <v>11</v>
      </c>
      <c r="C990">
        <v>34.675</v>
      </c>
      <c r="D990">
        <v>0</v>
      </c>
      <c r="E990" t="s">
        <v>12</v>
      </c>
      <c r="F990" t="s">
        <v>15</v>
      </c>
      <c r="G990">
        <v>4518.83</v>
      </c>
      <c r="H990" s="11" t="str" cm="1">
        <f t="array" ref="H990">_xlfn.IFS(Table1[[#This Row],[age]]&lt;=30,"Young Adults",Table1[[#This Row],[age]]&lt;=45,"Adults",Table1[[#This Row],[age]]&lt;=60,"Seniors",Table1[[#This Row],[age]]&gt;=61,"Elderly")</f>
        <v>Adults</v>
      </c>
    </row>
    <row r="991" spans="1:8">
      <c r="A991">
        <v>24</v>
      </c>
      <c r="B991" t="s">
        <v>8</v>
      </c>
      <c r="C991">
        <v>20.52</v>
      </c>
      <c r="D991">
        <v>0</v>
      </c>
      <c r="E991" t="s">
        <v>9</v>
      </c>
      <c r="F991" t="s">
        <v>15</v>
      </c>
      <c r="G991">
        <v>14571.89</v>
      </c>
      <c r="H991" s="11" t="str" cm="1">
        <f t="array" ref="H991">_xlfn.IFS(Table1[[#This Row],[age]]&lt;=30,"Young Adults",Table1[[#This Row],[age]]&lt;=45,"Adults",Table1[[#This Row],[age]]&lt;=60,"Seniors",Table1[[#This Row],[age]]&gt;=61,"Elderly")</f>
        <v>Young Adults</v>
      </c>
    </row>
    <row r="992" spans="1:8">
      <c r="A992">
        <v>26</v>
      </c>
      <c r="B992" t="s">
        <v>8</v>
      </c>
      <c r="C992">
        <v>19.8</v>
      </c>
      <c r="D992">
        <v>1</v>
      </c>
      <c r="E992" t="s">
        <v>12</v>
      </c>
      <c r="F992" t="s">
        <v>10</v>
      </c>
      <c r="G992">
        <v>3378.91</v>
      </c>
      <c r="H992" s="11" t="str" cm="1">
        <f t="array" ref="H992">_xlfn.IFS(Table1[[#This Row],[age]]&lt;=30,"Young Adults",Table1[[#This Row],[age]]&lt;=45,"Adults",Table1[[#This Row],[age]]&lt;=60,"Seniors",Table1[[#This Row],[age]]&gt;=61,"Elderly")</f>
        <v>Young Adults</v>
      </c>
    </row>
    <row r="993" spans="1:8">
      <c r="A993">
        <v>38</v>
      </c>
      <c r="B993" t="s">
        <v>8</v>
      </c>
      <c r="C993">
        <v>27.835</v>
      </c>
      <c r="D993">
        <v>2</v>
      </c>
      <c r="E993" t="s">
        <v>12</v>
      </c>
      <c r="F993" t="s">
        <v>15</v>
      </c>
      <c r="G993">
        <v>7144.86</v>
      </c>
      <c r="H993" s="11" t="str" cm="1">
        <f t="array" ref="H993">_xlfn.IFS(Table1[[#This Row],[age]]&lt;=30,"Young Adults",Table1[[#This Row],[age]]&lt;=45,"Adults",Table1[[#This Row],[age]]&lt;=60,"Seniors",Table1[[#This Row],[age]]&gt;=61,"Elderly")</f>
        <v>Adults</v>
      </c>
    </row>
    <row r="994" spans="1:8">
      <c r="A994">
        <v>50</v>
      </c>
      <c r="B994" t="s">
        <v>8</v>
      </c>
      <c r="C994">
        <v>31.6</v>
      </c>
      <c r="D994">
        <v>2</v>
      </c>
      <c r="E994" t="s">
        <v>12</v>
      </c>
      <c r="F994" t="s">
        <v>10</v>
      </c>
      <c r="G994">
        <v>10118.42</v>
      </c>
      <c r="H994" s="11" t="str" cm="1">
        <f t="array" ref="H994">_xlfn.IFS(Table1[[#This Row],[age]]&lt;=30,"Young Adults",Table1[[#This Row],[age]]&lt;=45,"Adults",Table1[[#This Row],[age]]&lt;=60,"Seniors",Table1[[#This Row],[age]]&gt;=61,"Elderly")</f>
        <v>Seniors</v>
      </c>
    </row>
    <row r="995" spans="1:8">
      <c r="A995">
        <v>38</v>
      </c>
      <c r="B995" t="s">
        <v>11</v>
      </c>
      <c r="C995">
        <v>28.27</v>
      </c>
      <c r="D995">
        <v>1</v>
      </c>
      <c r="E995" t="s">
        <v>12</v>
      </c>
      <c r="F995" t="s">
        <v>13</v>
      </c>
      <c r="G995">
        <v>5484.47</v>
      </c>
      <c r="H995" s="11" t="str" cm="1">
        <f t="array" ref="H995">_xlfn.IFS(Table1[[#This Row],[age]]&lt;=30,"Young Adults",Table1[[#This Row],[age]]&lt;=45,"Adults",Table1[[#This Row],[age]]&lt;=60,"Seniors",Table1[[#This Row],[age]]&gt;=61,"Elderly")</f>
        <v>Adults</v>
      </c>
    </row>
    <row r="996" spans="1:8">
      <c r="A996">
        <v>27</v>
      </c>
      <c r="B996" t="s">
        <v>8</v>
      </c>
      <c r="C996">
        <v>20.045</v>
      </c>
      <c r="D996">
        <v>3</v>
      </c>
      <c r="E996" t="s">
        <v>9</v>
      </c>
      <c r="F996" t="s">
        <v>14</v>
      </c>
      <c r="G996">
        <v>16420.49</v>
      </c>
      <c r="H996" s="11" t="str" cm="1">
        <f t="array" ref="H996">_xlfn.IFS(Table1[[#This Row],[age]]&lt;=30,"Young Adults",Table1[[#This Row],[age]]&lt;=45,"Adults",Table1[[#This Row],[age]]&lt;=60,"Seniors",Table1[[#This Row],[age]]&gt;=61,"Elderly")</f>
        <v>Young Adults</v>
      </c>
    </row>
    <row r="997" spans="1:8">
      <c r="A997">
        <v>39</v>
      </c>
      <c r="B997" t="s">
        <v>8</v>
      </c>
      <c r="C997">
        <v>23.275</v>
      </c>
      <c r="D997">
        <v>3</v>
      </c>
      <c r="E997" t="s">
        <v>12</v>
      </c>
      <c r="F997" t="s">
        <v>15</v>
      </c>
      <c r="G997">
        <v>7986.48</v>
      </c>
      <c r="H997" s="11" t="str" cm="1">
        <f t="array" ref="H997">_xlfn.IFS(Table1[[#This Row],[age]]&lt;=30,"Young Adults",Table1[[#This Row],[age]]&lt;=45,"Adults",Table1[[#This Row],[age]]&lt;=60,"Seniors",Table1[[#This Row],[age]]&gt;=61,"Elderly")</f>
        <v>Adults</v>
      </c>
    </row>
    <row r="998" spans="1:8">
      <c r="A998">
        <v>39</v>
      </c>
      <c r="B998" t="s">
        <v>8</v>
      </c>
      <c r="C998">
        <v>34.1</v>
      </c>
      <c r="D998">
        <v>3</v>
      </c>
      <c r="E998" t="s">
        <v>12</v>
      </c>
      <c r="F998" t="s">
        <v>10</v>
      </c>
      <c r="G998">
        <v>7418.52</v>
      </c>
      <c r="H998" s="11" t="str" cm="1">
        <f t="array" ref="H998">_xlfn.IFS(Table1[[#This Row],[age]]&lt;=30,"Young Adults",Table1[[#This Row],[age]]&lt;=45,"Adults",Table1[[#This Row],[age]]&lt;=60,"Seniors",Table1[[#This Row],[age]]&gt;=61,"Elderly")</f>
        <v>Adults</v>
      </c>
    </row>
    <row r="999" spans="1:8">
      <c r="A999">
        <v>63</v>
      </c>
      <c r="B999" t="s">
        <v>8</v>
      </c>
      <c r="C999">
        <v>36.85</v>
      </c>
      <c r="D999">
        <v>0</v>
      </c>
      <c r="E999" t="s">
        <v>12</v>
      </c>
      <c r="F999" t="s">
        <v>13</v>
      </c>
      <c r="G999">
        <v>13887.97</v>
      </c>
      <c r="H999" s="11" t="str" cm="1">
        <f t="array" ref="H999">_xlfn.IFS(Table1[[#This Row],[age]]&lt;=30,"Young Adults",Table1[[#This Row],[age]]&lt;=45,"Adults",Table1[[#This Row],[age]]&lt;=60,"Seniors",Table1[[#This Row],[age]]&gt;=61,"Elderly")</f>
        <v>Elderly</v>
      </c>
    </row>
    <row r="1000" spans="1:8">
      <c r="A1000">
        <v>33</v>
      </c>
      <c r="B1000" t="s">
        <v>8</v>
      </c>
      <c r="C1000">
        <v>36.29</v>
      </c>
      <c r="D1000">
        <v>3</v>
      </c>
      <c r="E1000" t="s">
        <v>12</v>
      </c>
      <c r="F1000" t="s">
        <v>15</v>
      </c>
      <c r="G1000">
        <v>6551.75</v>
      </c>
      <c r="H1000" s="11" t="str" cm="1">
        <f t="array" ref="H1000">_xlfn.IFS(Table1[[#This Row],[age]]&lt;=30,"Young Adults",Table1[[#This Row],[age]]&lt;=45,"Adults",Table1[[#This Row],[age]]&lt;=60,"Seniors",Table1[[#This Row],[age]]&gt;=61,"Elderly")</f>
        <v>Adults</v>
      </c>
    </row>
    <row r="1001" spans="1:8">
      <c r="A1001">
        <v>36</v>
      </c>
      <c r="B1001" t="s">
        <v>8</v>
      </c>
      <c r="C1001">
        <v>26.885</v>
      </c>
      <c r="D1001">
        <v>0</v>
      </c>
      <c r="E1001" t="s">
        <v>12</v>
      </c>
      <c r="F1001" t="s">
        <v>14</v>
      </c>
      <c r="G1001">
        <v>5267.82</v>
      </c>
      <c r="H1001" s="11" t="str" cm="1">
        <f t="array" ref="H1001">_xlfn.IFS(Table1[[#This Row],[age]]&lt;=30,"Young Adults",Table1[[#This Row],[age]]&lt;=45,"Adults",Table1[[#This Row],[age]]&lt;=60,"Seniors",Table1[[#This Row],[age]]&gt;=61,"Elderly")</f>
        <v>Adults</v>
      </c>
    </row>
    <row r="1002" spans="1:8">
      <c r="A1002">
        <v>30</v>
      </c>
      <c r="B1002" t="s">
        <v>11</v>
      </c>
      <c r="C1002">
        <v>22.99</v>
      </c>
      <c r="D1002">
        <v>2</v>
      </c>
      <c r="E1002" t="s">
        <v>9</v>
      </c>
      <c r="F1002" t="s">
        <v>14</v>
      </c>
      <c r="G1002">
        <v>17361.77</v>
      </c>
      <c r="H1002" s="11" t="str" cm="1">
        <f t="array" ref="H1002">_xlfn.IFS(Table1[[#This Row],[age]]&lt;=30,"Young Adults",Table1[[#This Row],[age]]&lt;=45,"Adults",Table1[[#This Row],[age]]&lt;=60,"Seniors",Table1[[#This Row],[age]]&gt;=61,"Elderly")</f>
        <v>Young Adults</v>
      </c>
    </row>
    <row r="1003" spans="1:8">
      <c r="A1003">
        <v>24</v>
      </c>
      <c r="B1003" t="s">
        <v>11</v>
      </c>
      <c r="C1003">
        <v>32.7</v>
      </c>
      <c r="D1003">
        <v>0</v>
      </c>
      <c r="E1003" t="s">
        <v>9</v>
      </c>
      <c r="F1003" t="s">
        <v>10</v>
      </c>
      <c r="G1003">
        <v>34472.84</v>
      </c>
      <c r="H1003" s="11" t="str" cm="1">
        <f t="array" ref="H1003">_xlfn.IFS(Table1[[#This Row],[age]]&lt;=30,"Young Adults",Table1[[#This Row],[age]]&lt;=45,"Adults",Table1[[#This Row],[age]]&lt;=60,"Seniors",Table1[[#This Row],[age]]&gt;=61,"Elderly")</f>
        <v>Young Adults</v>
      </c>
    </row>
    <row r="1004" spans="1:8">
      <c r="A1004">
        <v>24</v>
      </c>
      <c r="B1004" t="s">
        <v>11</v>
      </c>
      <c r="C1004">
        <v>25.8</v>
      </c>
      <c r="D1004">
        <v>0</v>
      </c>
      <c r="E1004" t="s">
        <v>12</v>
      </c>
      <c r="F1004" t="s">
        <v>10</v>
      </c>
      <c r="G1004">
        <v>1972.95</v>
      </c>
      <c r="H1004" s="11" t="str" cm="1">
        <f t="array" ref="H1004">_xlfn.IFS(Table1[[#This Row],[age]]&lt;=30,"Young Adults",Table1[[#This Row],[age]]&lt;=45,"Adults",Table1[[#This Row],[age]]&lt;=60,"Seniors",Table1[[#This Row],[age]]&gt;=61,"Elderly")</f>
        <v>Young Adults</v>
      </c>
    </row>
    <row r="1005" spans="1:8">
      <c r="A1005">
        <v>48</v>
      </c>
      <c r="B1005" t="s">
        <v>11</v>
      </c>
      <c r="C1005">
        <v>29.6</v>
      </c>
      <c r="D1005">
        <v>0</v>
      </c>
      <c r="E1005" t="s">
        <v>12</v>
      </c>
      <c r="F1005" t="s">
        <v>10</v>
      </c>
      <c r="G1005">
        <v>21232.18</v>
      </c>
      <c r="H1005" s="11" t="str" cm="1">
        <f t="array" ref="H1005">_xlfn.IFS(Table1[[#This Row],[age]]&lt;=30,"Young Adults",Table1[[#This Row],[age]]&lt;=45,"Adults",Table1[[#This Row],[age]]&lt;=60,"Seniors",Table1[[#This Row],[age]]&gt;=61,"Elderly")</f>
        <v>Seniors</v>
      </c>
    </row>
    <row r="1006" spans="1:8">
      <c r="A1006">
        <v>47</v>
      </c>
      <c r="B1006" t="s">
        <v>11</v>
      </c>
      <c r="C1006">
        <v>19.19</v>
      </c>
      <c r="D1006">
        <v>1</v>
      </c>
      <c r="E1006" t="s">
        <v>12</v>
      </c>
      <c r="F1006" t="s">
        <v>15</v>
      </c>
      <c r="G1006">
        <v>8627.54</v>
      </c>
      <c r="H1006" s="11" t="str" cm="1">
        <f t="array" ref="H1006">_xlfn.IFS(Table1[[#This Row],[age]]&lt;=30,"Young Adults",Table1[[#This Row],[age]]&lt;=45,"Adults",Table1[[#This Row],[age]]&lt;=60,"Seniors",Table1[[#This Row],[age]]&gt;=61,"Elderly")</f>
        <v>Seniors</v>
      </c>
    </row>
    <row r="1007" spans="1:8">
      <c r="A1007">
        <v>29</v>
      </c>
      <c r="B1007" t="s">
        <v>11</v>
      </c>
      <c r="C1007">
        <v>31.73</v>
      </c>
      <c r="D1007">
        <v>2</v>
      </c>
      <c r="E1007" t="s">
        <v>12</v>
      </c>
      <c r="F1007" t="s">
        <v>14</v>
      </c>
      <c r="G1007">
        <v>4433.39</v>
      </c>
      <c r="H1007" s="11" t="str" cm="1">
        <f t="array" ref="H1007">_xlfn.IFS(Table1[[#This Row],[age]]&lt;=30,"Young Adults",Table1[[#This Row],[age]]&lt;=45,"Adults",Table1[[#This Row],[age]]&lt;=60,"Seniors",Table1[[#This Row],[age]]&gt;=61,"Elderly")</f>
        <v>Young Adults</v>
      </c>
    </row>
    <row r="1008" spans="1:8">
      <c r="A1008">
        <v>28</v>
      </c>
      <c r="B1008" t="s">
        <v>11</v>
      </c>
      <c r="C1008">
        <v>29.26</v>
      </c>
      <c r="D1008">
        <v>2</v>
      </c>
      <c r="E1008" t="s">
        <v>12</v>
      </c>
      <c r="F1008" t="s">
        <v>15</v>
      </c>
      <c r="G1008">
        <v>4438.26</v>
      </c>
      <c r="H1008" s="11" t="str" cm="1">
        <f t="array" ref="H1008">_xlfn.IFS(Table1[[#This Row],[age]]&lt;=30,"Young Adults",Table1[[#This Row],[age]]&lt;=45,"Adults",Table1[[#This Row],[age]]&lt;=60,"Seniors",Table1[[#This Row],[age]]&gt;=61,"Elderly")</f>
        <v>Young Adults</v>
      </c>
    </row>
    <row r="1009" spans="1:8">
      <c r="A1009">
        <v>47</v>
      </c>
      <c r="B1009" t="s">
        <v>11</v>
      </c>
      <c r="C1009">
        <v>28.215</v>
      </c>
      <c r="D1009">
        <v>3</v>
      </c>
      <c r="E1009" t="s">
        <v>9</v>
      </c>
      <c r="F1009" t="s">
        <v>14</v>
      </c>
      <c r="G1009">
        <v>24915.22</v>
      </c>
      <c r="H1009" s="11" t="str" cm="1">
        <f t="array" ref="H1009">_xlfn.IFS(Table1[[#This Row],[age]]&lt;=30,"Young Adults",Table1[[#This Row],[age]]&lt;=45,"Adults",Table1[[#This Row],[age]]&lt;=60,"Seniors",Table1[[#This Row],[age]]&gt;=61,"Elderly")</f>
        <v>Seniors</v>
      </c>
    </row>
    <row r="1010" spans="1:8">
      <c r="A1010">
        <v>25</v>
      </c>
      <c r="B1010" t="s">
        <v>11</v>
      </c>
      <c r="C1010">
        <v>24.985</v>
      </c>
      <c r="D1010">
        <v>2</v>
      </c>
      <c r="E1010" t="s">
        <v>12</v>
      </c>
      <c r="F1010" t="s">
        <v>15</v>
      </c>
      <c r="G1010">
        <v>23241.47</v>
      </c>
      <c r="H1010" s="11" t="str" cm="1">
        <f t="array" ref="H1010">_xlfn.IFS(Table1[[#This Row],[age]]&lt;=30,"Young Adults",Table1[[#This Row],[age]]&lt;=45,"Adults",Table1[[#This Row],[age]]&lt;=60,"Seniors",Table1[[#This Row],[age]]&gt;=61,"Elderly")</f>
        <v>Young Adults</v>
      </c>
    </row>
    <row r="1011" spans="1:8">
      <c r="A1011">
        <v>51</v>
      </c>
      <c r="B1011" t="s">
        <v>11</v>
      </c>
      <c r="C1011">
        <v>27.74</v>
      </c>
      <c r="D1011">
        <v>1</v>
      </c>
      <c r="E1011" t="s">
        <v>12</v>
      </c>
      <c r="F1011" t="s">
        <v>15</v>
      </c>
      <c r="G1011">
        <v>9957.72</v>
      </c>
      <c r="H1011" s="11" t="str" cm="1">
        <f t="array" ref="H1011">_xlfn.IFS(Table1[[#This Row],[age]]&lt;=30,"Young Adults",Table1[[#This Row],[age]]&lt;=45,"Adults",Table1[[#This Row],[age]]&lt;=60,"Seniors",Table1[[#This Row],[age]]&gt;=61,"Elderly")</f>
        <v>Seniors</v>
      </c>
    </row>
    <row r="1012" spans="1:8">
      <c r="A1012">
        <v>48</v>
      </c>
      <c r="B1012" t="s">
        <v>8</v>
      </c>
      <c r="C1012">
        <v>22.8</v>
      </c>
      <c r="D1012">
        <v>0</v>
      </c>
      <c r="E1012" t="s">
        <v>12</v>
      </c>
      <c r="F1012" t="s">
        <v>10</v>
      </c>
      <c r="G1012">
        <v>8269.04</v>
      </c>
      <c r="H1012" s="11" t="str" cm="1">
        <f t="array" ref="H1012">_xlfn.IFS(Table1[[#This Row],[age]]&lt;=30,"Young Adults",Table1[[#This Row],[age]]&lt;=45,"Adults",Table1[[#This Row],[age]]&lt;=60,"Seniors",Table1[[#This Row],[age]]&gt;=61,"Elderly")</f>
        <v>Seniors</v>
      </c>
    </row>
    <row r="1013" spans="1:8">
      <c r="A1013">
        <v>43</v>
      </c>
      <c r="B1013" t="s">
        <v>11</v>
      </c>
      <c r="C1013">
        <v>20.13</v>
      </c>
      <c r="D1013">
        <v>2</v>
      </c>
      <c r="E1013" t="s">
        <v>9</v>
      </c>
      <c r="F1013" t="s">
        <v>13</v>
      </c>
      <c r="G1013">
        <v>18767.74</v>
      </c>
      <c r="H1013" s="11" t="str" cm="1">
        <f t="array" ref="H1013">_xlfn.IFS(Table1[[#This Row],[age]]&lt;=30,"Young Adults",Table1[[#This Row],[age]]&lt;=45,"Adults",Table1[[#This Row],[age]]&lt;=60,"Seniors",Table1[[#This Row],[age]]&gt;=61,"Elderly")</f>
        <v>Adults</v>
      </c>
    </row>
    <row r="1014" spans="1:8">
      <c r="A1014">
        <v>61</v>
      </c>
      <c r="B1014" t="s">
        <v>8</v>
      </c>
      <c r="C1014">
        <v>33.33</v>
      </c>
      <c r="D1014">
        <v>4</v>
      </c>
      <c r="E1014" t="s">
        <v>12</v>
      </c>
      <c r="F1014" t="s">
        <v>13</v>
      </c>
      <c r="G1014">
        <v>36580.28</v>
      </c>
      <c r="H1014" s="11" t="str" cm="1">
        <f t="array" ref="H1014">_xlfn.IFS(Table1[[#This Row],[age]]&lt;=30,"Young Adults",Table1[[#This Row],[age]]&lt;=45,"Adults",Table1[[#This Row],[age]]&lt;=60,"Seniors",Table1[[#This Row],[age]]&gt;=61,"Elderly")</f>
        <v>Elderly</v>
      </c>
    </row>
    <row r="1015" spans="1:8">
      <c r="A1015">
        <v>48</v>
      </c>
      <c r="B1015" t="s">
        <v>11</v>
      </c>
      <c r="C1015">
        <v>32.3</v>
      </c>
      <c r="D1015">
        <v>1</v>
      </c>
      <c r="E1015" t="s">
        <v>12</v>
      </c>
      <c r="F1015" t="s">
        <v>14</v>
      </c>
      <c r="G1015">
        <v>8765.25</v>
      </c>
      <c r="H1015" s="11" t="str" cm="1">
        <f t="array" ref="H1015">_xlfn.IFS(Table1[[#This Row],[age]]&lt;=30,"Young Adults",Table1[[#This Row],[age]]&lt;=45,"Adults",Table1[[#This Row],[age]]&lt;=60,"Seniors",Table1[[#This Row],[age]]&gt;=61,"Elderly")</f>
        <v>Seniors</v>
      </c>
    </row>
    <row r="1016" spans="1:8">
      <c r="A1016">
        <v>38</v>
      </c>
      <c r="B1016" t="s">
        <v>8</v>
      </c>
      <c r="C1016">
        <v>27.6</v>
      </c>
      <c r="D1016">
        <v>0</v>
      </c>
      <c r="E1016" t="s">
        <v>12</v>
      </c>
      <c r="F1016" t="s">
        <v>10</v>
      </c>
      <c r="G1016">
        <v>5383.54</v>
      </c>
      <c r="H1016" s="11" t="str" cm="1">
        <f t="array" ref="H1016">_xlfn.IFS(Table1[[#This Row],[age]]&lt;=30,"Young Adults",Table1[[#This Row],[age]]&lt;=45,"Adults",Table1[[#This Row],[age]]&lt;=60,"Seniors",Table1[[#This Row],[age]]&gt;=61,"Elderly")</f>
        <v>Adults</v>
      </c>
    </row>
    <row r="1017" spans="1:8">
      <c r="A1017">
        <v>59</v>
      </c>
      <c r="B1017" t="s">
        <v>11</v>
      </c>
      <c r="C1017">
        <v>25.46</v>
      </c>
      <c r="D1017">
        <v>0</v>
      </c>
      <c r="E1017" t="s">
        <v>12</v>
      </c>
      <c r="F1017" t="s">
        <v>14</v>
      </c>
      <c r="G1017">
        <v>12124.99</v>
      </c>
      <c r="H1017" s="11" t="str" cm="1">
        <f t="array" ref="H1017">_xlfn.IFS(Table1[[#This Row],[age]]&lt;=30,"Young Adults",Table1[[#This Row],[age]]&lt;=45,"Adults",Table1[[#This Row],[age]]&lt;=60,"Seniors",Table1[[#This Row],[age]]&gt;=61,"Elderly")</f>
        <v>Seniors</v>
      </c>
    </row>
    <row r="1018" spans="1:8">
      <c r="A1018">
        <v>19</v>
      </c>
      <c r="B1018" t="s">
        <v>8</v>
      </c>
      <c r="C1018">
        <v>24.605</v>
      </c>
      <c r="D1018">
        <v>1</v>
      </c>
      <c r="E1018" t="s">
        <v>12</v>
      </c>
      <c r="F1018" t="s">
        <v>14</v>
      </c>
      <c r="G1018">
        <v>2709.24</v>
      </c>
      <c r="H1018" s="11" t="str" cm="1">
        <f t="array" ref="H1018">_xlfn.IFS(Table1[[#This Row],[age]]&lt;=30,"Young Adults",Table1[[#This Row],[age]]&lt;=45,"Adults",Table1[[#This Row],[age]]&lt;=60,"Seniors",Table1[[#This Row],[age]]&gt;=61,"Elderly")</f>
        <v>Young Adults</v>
      </c>
    </row>
    <row r="1019" spans="1:8">
      <c r="A1019">
        <v>26</v>
      </c>
      <c r="B1019" t="s">
        <v>8</v>
      </c>
      <c r="C1019">
        <v>34.2</v>
      </c>
      <c r="D1019">
        <v>2</v>
      </c>
      <c r="E1019" t="s">
        <v>12</v>
      </c>
      <c r="F1019" t="s">
        <v>10</v>
      </c>
      <c r="G1019">
        <v>3987.93</v>
      </c>
      <c r="H1019" s="11" t="str" cm="1">
        <f t="array" ref="H1019">_xlfn.IFS(Table1[[#This Row],[age]]&lt;=30,"Young Adults",Table1[[#This Row],[age]]&lt;=45,"Adults",Table1[[#This Row],[age]]&lt;=60,"Seniors",Table1[[#This Row],[age]]&gt;=61,"Elderly")</f>
        <v>Young Adults</v>
      </c>
    </row>
    <row r="1020" spans="1:8">
      <c r="A1020">
        <v>54</v>
      </c>
      <c r="B1020" t="s">
        <v>8</v>
      </c>
      <c r="C1020">
        <v>35.815</v>
      </c>
      <c r="D1020">
        <v>3</v>
      </c>
      <c r="E1020" t="s">
        <v>12</v>
      </c>
      <c r="F1020" t="s">
        <v>14</v>
      </c>
      <c r="G1020">
        <v>12495.29</v>
      </c>
      <c r="H1020" s="11" t="str" cm="1">
        <f t="array" ref="H1020">_xlfn.IFS(Table1[[#This Row],[age]]&lt;=30,"Young Adults",Table1[[#This Row],[age]]&lt;=45,"Adults",Table1[[#This Row],[age]]&lt;=60,"Seniors",Table1[[#This Row],[age]]&gt;=61,"Elderly")</f>
        <v>Seniors</v>
      </c>
    </row>
    <row r="1021" spans="1:8">
      <c r="A1021">
        <v>21</v>
      </c>
      <c r="B1021" t="s">
        <v>8</v>
      </c>
      <c r="C1021">
        <v>32.68</v>
      </c>
      <c r="D1021">
        <v>2</v>
      </c>
      <c r="E1021" t="s">
        <v>12</v>
      </c>
      <c r="F1021" t="s">
        <v>14</v>
      </c>
      <c r="G1021">
        <v>26018.95</v>
      </c>
      <c r="H1021" s="11" t="str" cm="1">
        <f t="array" ref="H1021">_xlfn.IFS(Table1[[#This Row],[age]]&lt;=30,"Young Adults",Table1[[#This Row],[age]]&lt;=45,"Adults",Table1[[#This Row],[age]]&lt;=60,"Seniors",Table1[[#This Row],[age]]&gt;=61,"Elderly")</f>
        <v>Young Adults</v>
      </c>
    </row>
    <row r="1022" spans="1:8">
      <c r="A1022">
        <v>51</v>
      </c>
      <c r="B1022" t="s">
        <v>11</v>
      </c>
      <c r="C1022">
        <v>37</v>
      </c>
      <c r="D1022">
        <v>0</v>
      </c>
      <c r="E1022" t="s">
        <v>12</v>
      </c>
      <c r="F1022" t="s">
        <v>10</v>
      </c>
      <c r="G1022">
        <v>8798.59</v>
      </c>
      <c r="H1022" s="11" t="str" cm="1">
        <f t="array" ref="H1022">_xlfn.IFS(Table1[[#This Row],[age]]&lt;=30,"Young Adults",Table1[[#This Row],[age]]&lt;=45,"Adults",Table1[[#This Row],[age]]&lt;=60,"Seniors",Table1[[#This Row],[age]]&gt;=61,"Elderly")</f>
        <v>Seniors</v>
      </c>
    </row>
    <row r="1023" spans="1:8">
      <c r="A1023">
        <v>22</v>
      </c>
      <c r="B1023" t="s">
        <v>8</v>
      </c>
      <c r="C1023">
        <v>31.02</v>
      </c>
      <c r="D1023">
        <v>3</v>
      </c>
      <c r="E1023" t="s">
        <v>9</v>
      </c>
      <c r="F1023" t="s">
        <v>13</v>
      </c>
      <c r="G1023">
        <v>35595.59</v>
      </c>
      <c r="H1023" s="11" t="str" cm="1">
        <f t="array" ref="H1023">_xlfn.IFS(Table1[[#This Row],[age]]&lt;=30,"Young Adults",Table1[[#This Row],[age]]&lt;=45,"Adults",Table1[[#This Row],[age]]&lt;=60,"Seniors",Table1[[#This Row],[age]]&gt;=61,"Elderly")</f>
        <v>Young Adults</v>
      </c>
    </row>
    <row r="1024" spans="1:8">
      <c r="A1024">
        <v>47</v>
      </c>
      <c r="B1024" t="s">
        <v>11</v>
      </c>
      <c r="C1024">
        <v>36.08</v>
      </c>
      <c r="D1024">
        <v>1</v>
      </c>
      <c r="E1024" t="s">
        <v>9</v>
      </c>
      <c r="F1024" t="s">
        <v>13</v>
      </c>
      <c r="G1024">
        <v>42211.14</v>
      </c>
      <c r="H1024" s="11" t="str" cm="1">
        <f t="array" ref="H1024">_xlfn.IFS(Table1[[#This Row],[age]]&lt;=30,"Young Adults",Table1[[#This Row],[age]]&lt;=45,"Adults",Table1[[#This Row],[age]]&lt;=60,"Seniors",Table1[[#This Row],[age]]&gt;=61,"Elderly")</f>
        <v>Seniors</v>
      </c>
    </row>
    <row r="1025" spans="1:8">
      <c r="A1025">
        <v>18</v>
      </c>
      <c r="B1025" t="s">
        <v>11</v>
      </c>
      <c r="C1025">
        <v>23.32</v>
      </c>
      <c r="D1025">
        <v>1</v>
      </c>
      <c r="E1025" t="s">
        <v>12</v>
      </c>
      <c r="F1025" t="s">
        <v>13</v>
      </c>
      <c r="G1025">
        <v>1711.03</v>
      </c>
      <c r="H1025" s="11" t="str" cm="1">
        <f t="array" ref="H1025">_xlfn.IFS(Table1[[#This Row],[age]]&lt;=30,"Young Adults",Table1[[#This Row],[age]]&lt;=45,"Adults",Table1[[#This Row],[age]]&lt;=60,"Seniors",Table1[[#This Row],[age]]&gt;=61,"Elderly")</f>
        <v>Young Adults</v>
      </c>
    </row>
    <row r="1026" spans="1:8">
      <c r="A1026">
        <v>47</v>
      </c>
      <c r="B1026" t="s">
        <v>8</v>
      </c>
      <c r="C1026">
        <v>45.32</v>
      </c>
      <c r="D1026">
        <v>1</v>
      </c>
      <c r="E1026" t="s">
        <v>12</v>
      </c>
      <c r="F1026" t="s">
        <v>13</v>
      </c>
      <c r="G1026">
        <v>8569.86</v>
      </c>
      <c r="H1026" s="11" t="str" cm="1">
        <f t="array" ref="H1026">_xlfn.IFS(Table1[[#This Row],[age]]&lt;=30,"Young Adults",Table1[[#This Row],[age]]&lt;=45,"Adults",Table1[[#This Row],[age]]&lt;=60,"Seniors",Table1[[#This Row],[age]]&gt;=61,"Elderly")</f>
        <v>Seniors</v>
      </c>
    </row>
    <row r="1027" spans="1:8">
      <c r="A1027">
        <v>21</v>
      </c>
      <c r="B1027" t="s">
        <v>8</v>
      </c>
      <c r="C1027">
        <v>34.6</v>
      </c>
      <c r="D1027">
        <v>0</v>
      </c>
      <c r="E1027" t="s">
        <v>12</v>
      </c>
      <c r="F1027" t="s">
        <v>10</v>
      </c>
      <c r="G1027">
        <v>2020.18</v>
      </c>
      <c r="H1027" s="11" t="str" cm="1">
        <f t="array" ref="H1027">_xlfn.IFS(Table1[[#This Row],[age]]&lt;=30,"Young Adults",Table1[[#This Row],[age]]&lt;=45,"Adults",Table1[[#This Row],[age]]&lt;=60,"Seniors",Table1[[#This Row],[age]]&gt;=61,"Elderly")</f>
        <v>Young Adults</v>
      </c>
    </row>
    <row r="1028" spans="1:8">
      <c r="A1028">
        <v>19</v>
      </c>
      <c r="B1028" t="s">
        <v>11</v>
      </c>
      <c r="C1028">
        <v>26.03</v>
      </c>
      <c r="D1028">
        <v>1</v>
      </c>
      <c r="E1028" t="s">
        <v>9</v>
      </c>
      <c r="F1028" t="s">
        <v>14</v>
      </c>
      <c r="G1028">
        <v>16450.89</v>
      </c>
      <c r="H1028" s="11" t="str" cm="1">
        <f t="array" ref="H1028">_xlfn.IFS(Table1[[#This Row],[age]]&lt;=30,"Young Adults",Table1[[#This Row],[age]]&lt;=45,"Adults",Table1[[#This Row],[age]]&lt;=60,"Seniors",Table1[[#This Row],[age]]&gt;=61,"Elderly")</f>
        <v>Young Adults</v>
      </c>
    </row>
    <row r="1029" spans="1:8">
      <c r="A1029">
        <v>23</v>
      </c>
      <c r="B1029" t="s">
        <v>11</v>
      </c>
      <c r="C1029">
        <v>18.715</v>
      </c>
      <c r="D1029">
        <v>0</v>
      </c>
      <c r="E1029" t="s">
        <v>12</v>
      </c>
      <c r="F1029" t="s">
        <v>14</v>
      </c>
      <c r="G1029">
        <v>21595.38</v>
      </c>
      <c r="H1029" s="11" t="str" cm="1">
        <f t="array" ref="H1029">_xlfn.IFS(Table1[[#This Row],[age]]&lt;=30,"Young Adults",Table1[[#This Row],[age]]&lt;=45,"Adults",Table1[[#This Row],[age]]&lt;=60,"Seniors",Table1[[#This Row],[age]]&gt;=61,"Elderly")</f>
        <v>Young Adults</v>
      </c>
    </row>
    <row r="1030" spans="1:8">
      <c r="A1030">
        <v>54</v>
      </c>
      <c r="B1030" t="s">
        <v>11</v>
      </c>
      <c r="C1030">
        <v>31.6</v>
      </c>
      <c r="D1030">
        <v>0</v>
      </c>
      <c r="E1030" t="s">
        <v>12</v>
      </c>
      <c r="F1030" t="s">
        <v>10</v>
      </c>
      <c r="G1030">
        <v>9850.43</v>
      </c>
      <c r="H1030" s="11" t="str" cm="1">
        <f t="array" ref="H1030">_xlfn.IFS(Table1[[#This Row],[age]]&lt;=30,"Young Adults",Table1[[#This Row],[age]]&lt;=45,"Adults",Table1[[#This Row],[age]]&lt;=60,"Seniors",Table1[[#This Row],[age]]&gt;=61,"Elderly")</f>
        <v>Seniors</v>
      </c>
    </row>
    <row r="1031" spans="1:8">
      <c r="A1031">
        <v>37</v>
      </c>
      <c r="B1031" t="s">
        <v>8</v>
      </c>
      <c r="C1031">
        <v>17.29</v>
      </c>
      <c r="D1031">
        <v>2</v>
      </c>
      <c r="E1031" t="s">
        <v>12</v>
      </c>
      <c r="F1031" t="s">
        <v>15</v>
      </c>
      <c r="G1031">
        <v>6877.98</v>
      </c>
      <c r="H1031" s="11" t="str" cm="1">
        <f t="array" ref="H1031">_xlfn.IFS(Table1[[#This Row],[age]]&lt;=30,"Young Adults",Table1[[#This Row],[age]]&lt;=45,"Adults",Table1[[#This Row],[age]]&lt;=60,"Seniors",Table1[[#This Row],[age]]&gt;=61,"Elderly")</f>
        <v>Adults</v>
      </c>
    </row>
    <row r="1032" spans="1:8">
      <c r="A1032">
        <v>46</v>
      </c>
      <c r="B1032" t="s">
        <v>8</v>
      </c>
      <c r="C1032">
        <v>23.655</v>
      </c>
      <c r="D1032">
        <v>1</v>
      </c>
      <c r="E1032" t="s">
        <v>9</v>
      </c>
      <c r="F1032" t="s">
        <v>14</v>
      </c>
      <c r="G1032">
        <v>21677.28</v>
      </c>
      <c r="H1032" s="11" t="str" cm="1">
        <f t="array" ref="H1032">_xlfn.IFS(Table1[[#This Row],[age]]&lt;=30,"Young Adults",Table1[[#This Row],[age]]&lt;=45,"Adults",Table1[[#This Row],[age]]&lt;=60,"Seniors",Table1[[#This Row],[age]]&gt;=61,"Elderly")</f>
        <v>Seniors</v>
      </c>
    </row>
    <row r="1033" spans="1:8">
      <c r="A1033">
        <v>55</v>
      </c>
      <c r="B1033" t="s">
        <v>8</v>
      </c>
      <c r="C1033">
        <v>35.2</v>
      </c>
      <c r="D1033">
        <v>0</v>
      </c>
      <c r="E1033" t="s">
        <v>9</v>
      </c>
      <c r="F1033" t="s">
        <v>13</v>
      </c>
      <c r="G1033">
        <v>44423.8</v>
      </c>
      <c r="H1033" s="11" t="str" cm="1">
        <f t="array" ref="H1033">_xlfn.IFS(Table1[[#This Row],[age]]&lt;=30,"Young Adults",Table1[[#This Row],[age]]&lt;=45,"Adults",Table1[[#This Row],[age]]&lt;=60,"Seniors",Table1[[#This Row],[age]]&gt;=61,"Elderly")</f>
        <v>Seniors</v>
      </c>
    </row>
    <row r="1034" spans="1:8">
      <c r="A1034">
        <v>30</v>
      </c>
      <c r="B1034" t="s">
        <v>8</v>
      </c>
      <c r="C1034">
        <v>27.93</v>
      </c>
      <c r="D1034">
        <v>0</v>
      </c>
      <c r="E1034" t="s">
        <v>12</v>
      </c>
      <c r="F1034" t="s">
        <v>15</v>
      </c>
      <c r="G1034">
        <v>4137.52</v>
      </c>
      <c r="H1034" s="11" t="str" cm="1">
        <f t="array" ref="H1034">_xlfn.IFS(Table1[[#This Row],[age]]&lt;=30,"Young Adults",Table1[[#This Row],[age]]&lt;=45,"Adults",Table1[[#This Row],[age]]&lt;=60,"Seniors",Table1[[#This Row],[age]]&gt;=61,"Elderly")</f>
        <v>Young Adults</v>
      </c>
    </row>
    <row r="1035" spans="1:8">
      <c r="A1035">
        <v>18</v>
      </c>
      <c r="B1035" t="s">
        <v>11</v>
      </c>
      <c r="C1035">
        <v>21.565</v>
      </c>
      <c r="D1035">
        <v>0</v>
      </c>
      <c r="E1035" t="s">
        <v>9</v>
      </c>
      <c r="F1035" t="s">
        <v>15</v>
      </c>
      <c r="G1035">
        <v>13747.87</v>
      </c>
      <c r="H1035" s="11" t="str" cm="1">
        <f t="array" ref="H1035">_xlfn.IFS(Table1[[#This Row],[age]]&lt;=30,"Young Adults",Table1[[#This Row],[age]]&lt;=45,"Adults",Table1[[#This Row],[age]]&lt;=60,"Seniors",Table1[[#This Row],[age]]&gt;=61,"Elderly")</f>
        <v>Young Adults</v>
      </c>
    </row>
    <row r="1036" spans="1:8">
      <c r="A1036">
        <v>61</v>
      </c>
      <c r="B1036" t="s">
        <v>11</v>
      </c>
      <c r="C1036">
        <v>38.38</v>
      </c>
      <c r="D1036">
        <v>0</v>
      </c>
      <c r="E1036" t="s">
        <v>12</v>
      </c>
      <c r="F1036" t="s">
        <v>14</v>
      </c>
      <c r="G1036">
        <v>12950.07</v>
      </c>
      <c r="H1036" s="11" t="str" cm="1">
        <f t="array" ref="H1036">_xlfn.IFS(Table1[[#This Row],[age]]&lt;=30,"Young Adults",Table1[[#This Row],[age]]&lt;=45,"Adults",Table1[[#This Row],[age]]&lt;=60,"Seniors",Table1[[#This Row],[age]]&gt;=61,"Elderly")</f>
        <v>Elderly</v>
      </c>
    </row>
    <row r="1037" spans="1:8">
      <c r="A1037">
        <v>54</v>
      </c>
      <c r="B1037" t="s">
        <v>8</v>
      </c>
      <c r="C1037">
        <v>23</v>
      </c>
      <c r="D1037">
        <v>3</v>
      </c>
      <c r="E1037" t="s">
        <v>12</v>
      </c>
      <c r="F1037" t="s">
        <v>10</v>
      </c>
      <c r="G1037">
        <v>12094.48</v>
      </c>
      <c r="H1037" s="11" t="str" cm="1">
        <f t="array" ref="H1037">_xlfn.IFS(Table1[[#This Row],[age]]&lt;=30,"Young Adults",Table1[[#This Row],[age]]&lt;=45,"Adults",Table1[[#This Row],[age]]&lt;=60,"Seniors",Table1[[#This Row],[age]]&gt;=61,"Elderly")</f>
        <v>Seniors</v>
      </c>
    </row>
    <row r="1038" spans="1:8">
      <c r="A1038">
        <v>22</v>
      </c>
      <c r="B1038" t="s">
        <v>11</v>
      </c>
      <c r="C1038">
        <v>37.07</v>
      </c>
      <c r="D1038">
        <v>2</v>
      </c>
      <c r="E1038" t="s">
        <v>9</v>
      </c>
      <c r="F1038" t="s">
        <v>13</v>
      </c>
      <c r="G1038">
        <v>37484.45</v>
      </c>
      <c r="H1038" s="11" t="str" cm="1">
        <f t="array" ref="H1038">_xlfn.IFS(Table1[[#This Row],[age]]&lt;=30,"Young Adults",Table1[[#This Row],[age]]&lt;=45,"Adults",Table1[[#This Row],[age]]&lt;=60,"Seniors",Table1[[#This Row],[age]]&gt;=61,"Elderly")</f>
        <v>Young Adults</v>
      </c>
    </row>
    <row r="1039" spans="1:8">
      <c r="A1039">
        <v>45</v>
      </c>
      <c r="B1039" t="s">
        <v>8</v>
      </c>
      <c r="C1039">
        <v>30.495</v>
      </c>
      <c r="D1039">
        <v>1</v>
      </c>
      <c r="E1039" t="s">
        <v>9</v>
      </c>
      <c r="F1039" t="s">
        <v>14</v>
      </c>
      <c r="G1039">
        <v>39725.52</v>
      </c>
      <c r="H1039" s="11" t="str" cm="1">
        <f t="array" ref="H1039">_xlfn.IFS(Table1[[#This Row],[age]]&lt;=30,"Young Adults",Table1[[#This Row],[age]]&lt;=45,"Adults",Table1[[#This Row],[age]]&lt;=60,"Seniors",Table1[[#This Row],[age]]&gt;=61,"Elderly")</f>
        <v>Adults</v>
      </c>
    </row>
    <row r="1040" spans="1:8">
      <c r="A1040">
        <v>22</v>
      </c>
      <c r="B1040" t="s">
        <v>11</v>
      </c>
      <c r="C1040">
        <v>28.88</v>
      </c>
      <c r="D1040">
        <v>0</v>
      </c>
      <c r="E1040" t="s">
        <v>12</v>
      </c>
      <c r="F1040" t="s">
        <v>15</v>
      </c>
      <c r="G1040">
        <v>2250.84</v>
      </c>
      <c r="H1040" s="11" t="str" cm="1">
        <f t="array" ref="H1040">_xlfn.IFS(Table1[[#This Row],[age]]&lt;=30,"Young Adults",Table1[[#This Row],[age]]&lt;=45,"Adults",Table1[[#This Row],[age]]&lt;=60,"Seniors",Table1[[#This Row],[age]]&gt;=61,"Elderly")</f>
        <v>Young Adults</v>
      </c>
    </row>
    <row r="1041" spans="1:8">
      <c r="A1041">
        <v>19</v>
      </c>
      <c r="B1041" t="s">
        <v>11</v>
      </c>
      <c r="C1041">
        <v>27.265</v>
      </c>
      <c r="D1041">
        <v>2</v>
      </c>
      <c r="E1041" t="s">
        <v>12</v>
      </c>
      <c r="F1041" t="s">
        <v>14</v>
      </c>
      <c r="G1041">
        <v>22493.66</v>
      </c>
      <c r="H1041" s="11" t="str" cm="1">
        <f t="array" ref="H1041">_xlfn.IFS(Table1[[#This Row],[age]]&lt;=30,"Young Adults",Table1[[#This Row],[age]]&lt;=45,"Adults",Table1[[#This Row],[age]]&lt;=60,"Seniors",Table1[[#This Row],[age]]&gt;=61,"Elderly")</f>
        <v>Young Adults</v>
      </c>
    </row>
    <row r="1042" spans="1:8">
      <c r="A1042">
        <v>35</v>
      </c>
      <c r="B1042" t="s">
        <v>8</v>
      </c>
      <c r="C1042">
        <v>28.025</v>
      </c>
      <c r="D1042">
        <v>0</v>
      </c>
      <c r="E1042" t="s">
        <v>9</v>
      </c>
      <c r="F1042" t="s">
        <v>14</v>
      </c>
      <c r="G1042">
        <v>20234.85</v>
      </c>
      <c r="H1042" s="11" t="str" cm="1">
        <f t="array" ref="H1042">_xlfn.IFS(Table1[[#This Row],[age]]&lt;=30,"Young Adults",Table1[[#This Row],[age]]&lt;=45,"Adults",Table1[[#This Row],[age]]&lt;=60,"Seniors",Table1[[#This Row],[age]]&gt;=61,"Elderly")</f>
        <v>Adults</v>
      </c>
    </row>
    <row r="1043" spans="1:8">
      <c r="A1043">
        <v>18</v>
      </c>
      <c r="B1043" t="s">
        <v>11</v>
      </c>
      <c r="C1043">
        <v>23.085</v>
      </c>
      <c r="D1043">
        <v>0</v>
      </c>
      <c r="E1043" t="s">
        <v>12</v>
      </c>
      <c r="F1043" t="s">
        <v>15</v>
      </c>
      <c r="G1043">
        <v>1704.7</v>
      </c>
      <c r="H1043" s="11" t="str" cm="1">
        <f t="array" ref="H1043">_xlfn.IFS(Table1[[#This Row],[age]]&lt;=30,"Young Adults",Table1[[#This Row],[age]]&lt;=45,"Adults",Table1[[#This Row],[age]]&lt;=60,"Seniors",Table1[[#This Row],[age]]&gt;=61,"Elderly")</f>
        <v>Young Adults</v>
      </c>
    </row>
    <row r="1044" spans="1:8">
      <c r="A1044">
        <v>20</v>
      </c>
      <c r="B1044" t="s">
        <v>11</v>
      </c>
      <c r="C1044">
        <v>30.685</v>
      </c>
      <c r="D1044">
        <v>0</v>
      </c>
      <c r="E1044" t="s">
        <v>9</v>
      </c>
      <c r="F1044" t="s">
        <v>15</v>
      </c>
      <c r="G1044">
        <v>33475.82</v>
      </c>
      <c r="H1044" s="11" t="str" cm="1">
        <f t="array" ref="H1044">_xlfn.IFS(Table1[[#This Row],[age]]&lt;=30,"Young Adults",Table1[[#This Row],[age]]&lt;=45,"Adults",Table1[[#This Row],[age]]&lt;=60,"Seniors",Table1[[#This Row],[age]]&gt;=61,"Elderly")</f>
        <v>Young Adults</v>
      </c>
    </row>
    <row r="1045" spans="1:8">
      <c r="A1045">
        <v>28</v>
      </c>
      <c r="B1045" t="s">
        <v>8</v>
      </c>
      <c r="C1045">
        <v>25.8</v>
      </c>
      <c r="D1045">
        <v>0</v>
      </c>
      <c r="E1045" t="s">
        <v>12</v>
      </c>
      <c r="F1045" t="s">
        <v>10</v>
      </c>
      <c r="G1045">
        <v>3161.45</v>
      </c>
      <c r="H1045" s="11" t="str" cm="1">
        <f t="array" ref="H1045">_xlfn.IFS(Table1[[#This Row],[age]]&lt;=30,"Young Adults",Table1[[#This Row],[age]]&lt;=45,"Adults",Table1[[#This Row],[age]]&lt;=60,"Seniors",Table1[[#This Row],[age]]&gt;=61,"Elderly")</f>
        <v>Young Adults</v>
      </c>
    </row>
    <row r="1046" spans="1:8">
      <c r="A1046">
        <v>55</v>
      </c>
      <c r="B1046" t="s">
        <v>11</v>
      </c>
      <c r="C1046">
        <v>35.245</v>
      </c>
      <c r="D1046">
        <v>1</v>
      </c>
      <c r="E1046" t="s">
        <v>12</v>
      </c>
      <c r="F1046" t="s">
        <v>15</v>
      </c>
      <c r="G1046">
        <v>11394.07</v>
      </c>
      <c r="H1046" s="11" t="str" cm="1">
        <f t="array" ref="H1046">_xlfn.IFS(Table1[[#This Row],[age]]&lt;=30,"Young Adults",Table1[[#This Row],[age]]&lt;=45,"Adults",Table1[[#This Row],[age]]&lt;=60,"Seniors",Table1[[#This Row],[age]]&gt;=61,"Elderly")</f>
        <v>Seniors</v>
      </c>
    </row>
    <row r="1047" spans="1:8">
      <c r="A1047">
        <v>43</v>
      </c>
      <c r="B1047" t="s">
        <v>8</v>
      </c>
      <c r="C1047">
        <v>24.7</v>
      </c>
      <c r="D1047">
        <v>2</v>
      </c>
      <c r="E1047" t="s">
        <v>9</v>
      </c>
      <c r="F1047" t="s">
        <v>14</v>
      </c>
      <c r="G1047">
        <v>21880.82</v>
      </c>
      <c r="H1047" s="11" t="str" cm="1">
        <f t="array" ref="H1047">_xlfn.IFS(Table1[[#This Row],[age]]&lt;=30,"Young Adults",Table1[[#This Row],[age]]&lt;=45,"Adults",Table1[[#This Row],[age]]&lt;=60,"Seniors",Table1[[#This Row],[age]]&gt;=61,"Elderly")</f>
        <v>Adults</v>
      </c>
    </row>
    <row r="1048" spans="1:8">
      <c r="A1048">
        <v>43</v>
      </c>
      <c r="B1048" t="s">
        <v>8</v>
      </c>
      <c r="C1048">
        <v>25.08</v>
      </c>
      <c r="D1048">
        <v>0</v>
      </c>
      <c r="E1048" t="s">
        <v>12</v>
      </c>
      <c r="F1048" t="s">
        <v>15</v>
      </c>
      <c r="G1048">
        <v>7325.05</v>
      </c>
      <c r="H1048" s="11" t="str" cm="1">
        <f t="array" ref="H1048">_xlfn.IFS(Table1[[#This Row],[age]]&lt;=30,"Young Adults",Table1[[#This Row],[age]]&lt;=45,"Adults",Table1[[#This Row],[age]]&lt;=60,"Seniors",Table1[[#This Row],[age]]&gt;=61,"Elderly")</f>
        <v>Adults</v>
      </c>
    </row>
    <row r="1049" spans="1:8">
      <c r="A1049">
        <v>22</v>
      </c>
      <c r="B1049" t="s">
        <v>11</v>
      </c>
      <c r="C1049">
        <v>52.58</v>
      </c>
      <c r="D1049">
        <v>1</v>
      </c>
      <c r="E1049" t="s">
        <v>9</v>
      </c>
      <c r="F1049" t="s">
        <v>13</v>
      </c>
      <c r="G1049">
        <v>44501.4</v>
      </c>
      <c r="H1049" s="11" t="str" cm="1">
        <f t="array" ref="H1049">_xlfn.IFS(Table1[[#This Row],[age]]&lt;=30,"Young Adults",Table1[[#This Row],[age]]&lt;=45,"Adults",Table1[[#This Row],[age]]&lt;=60,"Seniors",Table1[[#This Row],[age]]&gt;=61,"Elderly")</f>
        <v>Young Adults</v>
      </c>
    </row>
    <row r="1050" spans="1:8">
      <c r="A1050">
        <v>25</v>
      </c>
      <c r="B1050" t="s">
        <v>8</v>
      </c>
      <c r="C1050">
        <v>22.515</v>
      </c>
      <c r="D1050">
        <v>1</v>
      </c>
      <c r="E1050" t="s">
        <v>12</v>
      </c>
      <c r="F1050" t="s">
        <v>14</v>
      </c>
      <c r="G1050">
        <v>3594.17</v>
      </c>
      <c r="H1050" s="11" t="str" cm="1">
        <f t="array" ref="H1050">_xlfn.IFS(Table1[[#This Row],[age]]&lt;=30,"Young Adults",Table1[[#This Row],[age]]&lt;=45,"Adults",Table1[[#This Row],[age]]&lt;=60,"Seniors",Table1[[#This Row],[age]]&gt;=61,"Elderly")</f>
        <v>Young Adults</v>
      </c>
    </row>
    <row r="1051" spans="1:8">
      <c r="A1051">
        <v>49</v>
      </c>
      <c r="B1051" t="s">
        <v>11</v>
      </c>
      <c r="C1051">
        <v>30.9</v>
      </c>
      <c r="D1051">
        <v>0</v>
      </c>
      <c r="E1051" t="s">
        <v>9</v>
      </c>
      <c r="F1051" t="s">
        <v>10</v>
      </c>
      <c r="G1051">
        <v>39727.61</v>
      </c>
      <c r="H1051" s="11" t="str" cm="1">
        <f t="array" ref="H1051">_xlfn.IFS(Table1[[#This Row],[age]]&lt;=30,"Young Adults",Table1[[#This Row],[age]]&lt;=45,"Adults",Table1[[#This Row],[age]]&lt;=60,"Seniors",Table1[[#This Row],[age]]&gt;=61,"Elderly")</f>
        <v>Seniors</v>
      </c>
    </row>
    <row r="1052" spans="1:8">
      <c r="A1052">
        <v>44</v>
      </c>
      <c r="B1052" t="s">
        <v>8</v>
      </c>
      <c r="C1052">
        <v>36.955</v>
      </c>
      <c r="D1052">
        <v>1</v>
      </c>
      <c r="E1052" t="s">
        <v>12</v>
      </c>
      <c r="F1052" t="s">
        <v>14</v>
      </c>
      <c r="G1052">
        <v>8023.14</v>
      </c>
      <c r="H1052" s="11" t="str" cm="1">
        <f t="array" ref="H1052">_xlfn.IFS(Table1[[#This Row],[age]]&lt;=30,"Young Adults",Table1[[#This Row],[age]]&lt;=45,"Adults",Table1[[#This Row],[age]]&lt;=60,"Seniors",Table1[[#This Row],[age]]&gt;=61,"Elderly")</f>
        <v>Adults</v>
      </c>
    </row>
    <row r="1053" spans="1:8">
      <c r="A1053">
        <v>64</v>
      </c>
      <c r="B1053" t="s">
        <v>11</v>
      </c>
      <c r="C1053">
        <v>26.41</v>
      </c>
      <c r="D1053">
        <v>0</v>
      </c>
      <c r="E1053" t="s">
        <v>12</v>
      </c>
      <c r="F1053" t="s">
        <v>15</v>
      </c>
      <c r="G1053">
        <v>14394.56</v>
      </c>
      <c r="H1053" s="11" t="str" cm="1">
        <f t="array" ref="H1053">_xlfn.IFS(Table1[[#This Row],[age]]&lt;=30,"Young Adults",Table1[[#This Row],[age]]&lt;=45,"Adults",Table1[[#This Row],[age]]&lt;=60,"Seniors",Table1[[#This Row],[age]]&gt;=61,"Elderly")</f>
        <v>Elderly</v>
      </c>
    </row>
    <row r="1054" spans="1:8">
      <c r="A1054">
        <v>49</v>
      </c>
      <c r="B1054" t="s">
        <v>11</v>
      </c>
      <c r="C1054">
        <v>29.83</v>
      </c>
      <c r="D1054">
        <v>1</v>
      </c>
      <c r="E1054" t="s">
        <v>12</v>
      </c>
      <c r="F1054" t="s">
        <v>15</v>
      </c>
      <c r="G1054">
        <v>9288.03</v>
      </c>
      <c r="H1054" s="11" t="str" cm="1">
        <f t="array" ref="H1054">_xlfn.IFS(Table1[[#This Row],[age]]&lt;=30,"Young Adults",Table1[[#This Row],[age]]&lt;=45,"Adults",Table1[[#This Row],[age]]&lt;=60,"Seniors",Table1[[#This Row],[age]]&gt;=61,"Elderly")</f>
        <v>Seniors</v>
      </c>
    </row>
    <row r="1055" spans="1:8">
      <c r="A1055">
        <v>47</v>
      </c>
      <c r="B1055" t="s">
        <v>11</v>
      </c>
      <c r="C1055">
        <v>29.8</v>
      </c>
      <c r="D1055">
        <v>3</v>
      </c>
      <c r="E1055" t="s">
        <v>9</v>
      </c>
      <c r="F1055" t="s">
        <v>10</v>
      </c>
      <c r="G1055">
        <v>25309.49</v>
      </c>
      <c r="H1055" s="11" t="str" cm="1">
        <f t="array" ref="H1055">_xlfn.IFS(Table1[[#This Row],[age]]&lt;=30,"Young Adults",Table1[[#This Row],[age]]&lt;=45,"Adults",Table1[[#This Row],[age]]&lt;=60,"Seniors",Table1[[#This Row],[age]]&gt;=61,"Elderly")</f>
        <v>Seniors</v>
      </c>
    </row>
    <row r="1056" spans="1:8">
      <c r="A1056">
        <v>27</v>
      </c>
      <c r="B1056" t="s">
        <v>8</v>
      </c>
      <c r="C1056">
        <v>21.47</v>
      </c>
      <c r="D1056">
        <v>0</v>
      </c>
      <c r="E1056" t="s">
        <v>12</v>
      </c>
      <c r="F1056" t="s">
        <v>14</v>
      </c>
      <c r="G1056">
        <v>3353.47</v>
      </c>
      <c r="H1056" s="11" t="str" cm="1">
        <f t="array" ref="H1056">_xlfn.IFS(Table1[[#This Row],[age]]&lt;=30,"Young Adults",Table1[[#This Row],[age]]&lt;=45,"Adults",Table1[[#This Row],[age]]&lt;=60,"Seniors",Table1[[#This Row],[age]]&gt;=61,"Elderly")</f>
        <v>Young Adults</v>
      </c>
    </row>
    <row r="1057" spans="1:8">
      <c r="A1057">
        <v>55</v>
      </c>
      <c r="B1057" t="s">
        <v>11</v>
      </c>
      <c r="C1057">
        <v>27.645</v>
      </c>
      <c r="D1057">
        <v>0</v>
      </c>
      <c r="E1057" t="s">
        <v>12</v>
      </c>
      <c r="F1057" t="s">
        <v>14</v>
      </c>
      <c r="G1057">
        <v>10594.5</v>
      </c>
      <c r="H1057" s="11" t="str" cm="1">
        <f t="array" ref="H1057">_xlfn.IFS(Table1[[#This Row],[age]]&lt;=30,"Young Adults",Table1[[#This Row],[age]]&lt;=45,"Adults",Table1[[#This Row],[age]]&lt;=60,"Seniors",Table1[[#This Row],[age]]&gt;=61,"Elderly")</f>
        <v>Seniors</v>
      </c>
    </row>
    <row r="1058" spans="1:8">
      <c r="A1058">
        <v>48</v>
      </c>
      <c r="B1058" t="s">
        <v>8</v>
      </c>
      <c r="C1058">
        <v>28.9</v>
      </c>
      <c r="D1058">
        <v>0</v>
      </c>
      <c r="E1058" t="s">
        <v>12</v>
      </c>
      <c r="F1058" t="s">
        <v>10</v>
      </c>
      <c r="G1058">
        <v>8277.52</v>
      </c>
      <c r="H1058" s="11" t="str" cm="1">
        <f t="array" ref="H1058">_xlfn.IFS(Table1[[#This Row],[age]]&lt;=30,"Young Adults",Table1[[#This Row],[age]]&lt;=45,"Adults",Table1[[#This Row],[age]]&lt;=60,"Seniors",Table1[[#This Row],[age]]&gt;=61,"Elderly")</f>
        <v>Seniors</v>
      </c>
    </row>
    <row r="1059" spans="1:8">
      <c r="A1059">
        <v>45</v>
      </c>
      <c r="B1059" t="s">
        <v>8</v>
      </c>
      <c r="C1059">
        <v>31.79</v>
      </c>
      <c r="D1059">
        <v>0</v>
      </c>
      <c r="E1059" t="s">
        <v>12</v>
      </c>
      <c r="F1059" t="s">
        <v>13</v>
      </c>
      <c r="G1059">
        <v>17929.3</v>
      </c>
      <c r="H1059" s="11" t="str" cm="1">
        <f t="array" ref="H1059">_xlfn.IFS(Table1[[#This Row],[age]]&lt;=30,"Young Adults",Table1[[#This Row],[age]]&lt;=45,"Adults",Table1[[#This Row],[age]]&lt;=60,"Seniors",Table1[[#This Row],[age]]&gt;=61,"Elderly")</f>
        <v>Adults</v>
      </c>
    </row>
    <row r="1060" spans="1:8">
      <c r="A1060">
        <v>24</v>
      </c>
      <c r="B1060" t="s">
        <v>8</v>
      </c>
      <c r="C1060">
        <v>39.49</v>
      </c>
      <c r="D1060">
        <v>0</v>
      </c>
      <c r="E1060" t="s">
        <v>12</v>
      </c>
      <c r="F1060" t="s">
        <v>13</v>
      </c>
      <c r="G1060">
        <v>2480.98</v>
      </c>
      <c r="H1060" s="11" t="str" cm="1">
        <f t="array" ref="H1060">_xlfn.IFS(Table1[[#This Row],[age]]&lt;=30,"Young Adults",Table1[[#This Row],[age]]&lt;=45,"Adults",Table1[[#This Row],[age]]&lt;=60,"Seniors",Table1[[#This Row],[age]]&gt;=61,"Elderly")</f>
        <v>Young Adults</v>
      </c>
    </row>
    <row r="1061" spans="1:8">
      <c r="A1061">
        <v>32</v>
      </c>
      <c r="B1061" t="s">
        <v>11</v>
      </c>
      <c r="C1061">
        <v>33.82</v>
      </c>
      <c r="D1061">
        <v>1</v>
      </c>
      <c r="E1061" t="s">
        <v>12</v>
      </c>
      <c r="F1061" t="s">
        <v>14</v>
      </c>
      <c r="G1061">
        <v>4462.72</v>
      </c>
      <c r="H1061" s="11" t="str" cm="1">
        <f t="array" ref="H1061">_xlfn.IFS(Table1[[#This Row],[age]]&lt;=30,"Young Adults",Table1[[#This Row],[age]]&lt;=45,"Adults",Table1[[#This Row],[age]]&lt;=60,"Seniors",Table1[[#This Row],[age]]&gt;=61,"Elderly")</f>
        <v>Adults</v>
      </c>
    </row>
    <row r="1062" spans="1:8">
      <c r="A1062">
        <v>24</v>
      </c>
      <c r="B1062" t="s">
        <v>11</v>
      </c>
      <c r="C1062">
        <v>32.01</v>
      </c>
      <c r="D1062">
        <v>0</v>
      </c>
      <c r="E1062" t="s">
        <v>12</v>
      </c>
      <c r="F1062" t="s">
        <v>13</v>
      </c>
      <c r="G1062">
        <v>1981.58</v>
      </c>
      <c r="H1062" s="11" t="str" cm="1">
        <f t="array" ref="H1062">_xlfn.IFS(Table1[[#This Row],[age]]&lt;=30,"Young Adults",Table1[[#This Row],[age]]&lt;=45,"Adults",Table1[[#This Row],[age]]&lt;=60,"Seniors",Table1[[#This Row],[age]]&gt;=61,"Elderly")</f>
        <v>Young Adults</v>
      </c>
    </row>
    <row r="1063" spans="1:8">
      <c r="A1063">
        <v>57</v>
      </c>
      <c r="B1063" t="s">
        <v>11</v>
      </c>
      <c r="C1063">
        <v>27.94</v>
      </c>
      <c r="D1063">
        <v>1</v>
      </c>
      <c r="E1063" t="s">
        <v>12</v>
      </c>
      <c r="F1063" t="s">
        <v>13</v>
      </c>
      <c r="G1063">
        <v>11554.22</v>
      </c>
      <c r="H1063" s="11" t="str" cm="1">
        <f t="array" ref="H1063">_xlfn.IFS(Table1[[#This Row],[age]]&lt;=30,"Young Adults",Table1[[#This Row],[age]]&lt;=45,"Adults",Table1[[#This Row],[age]]&lt;=60,"Seniors",Table1[[#This Row],[age]]&gt;=61,"Elderly")</f>
        <v>Seniors</v>
      </c>
    </row>
    <row r="1064" spans="1:8">
      <c r="A1064">
        <v>59</v>
      </c>
      <c r="B1064" t="s">
        <v>11</v>
      </c>
      <c r="C1064">
        <v>41.14</v>
      </c>
      <c r="D1064">
        <v>1</v>
      </c>
      <c r="E1064" t="s">
        <v>9</v>
      </c>
      <c r="F1064" t="s">
        <v>13</v>
      </c>
      <c r="G1064">
        <v>48970.25</v>
      </c>
      <c r="H1064" s="11" t="str" cm="1">
        <f t="array" ref="H1064">_xlfn.IFS(Table1[[#This Row],[age]]&lt;=30,"Young Adults",Table1[[#This Row],[age]]&lt;=45,"Adults",Table1[[#This Row],[age]]&lt;=60,"Seniors",Table1[[#This Row],[age]]&gt;=61,"Elderly")</f>
        <v>Seniors</v>
      </c>
    </row>
    <row r="1065" spans="1:8">
      <c r="A1065">
        <v>36</v>
      </c>
      <c r="B1065" t="s">
        <v>11</v>
      </c>
      <c r="C1065">
        <v>28.595</v>
      </c>
      <c r="D1065">
        <v>3</v>
      </c>
      <c r="E1065" t="s">
        <v>12</v>
      </c>
      <c r="F1065" t="s">
        <v>14</v>
      </c>
      <c r="G1065">
        <v>6548.2</v>
      </c>
      <c r="H1065" s="11" t="str" cm="1">
        <f t="array" ref="H1065">_xlfn.IFS(Table1[[#This Row],[age]]&lt;=30,"Young Adults",Table1[[#This Row],[age]]&lt;=45,"Adults",Table1[[#This Row],[age]]&lt;=60,"Seniors",Table1[[#This Row],[age]]&gt;=61,"Elderly")</f>
        <v>Adults</v>
      </c>
    </row>
    <row r="1066" spans="1:8">
      <c r="A1066">
        <v>29</v>
      </c>
      <c r="B1066" t="s">
        <v>8</v>
      </c>
      <c r="C1066">
        <v>25.6</v>
      </c>
      <c r="D1066">
        <v>4</v>
      </c>
      <c r="E1066" t="s">
        <v>12</v>
      </c>
      <c r="F1066" t="s">
        <v>10</v>
      </c>
      <c r="G1066">
        <v>5708.87</v>
      </c>
      <c r="H1066" s="11" t="str" cm="1">
        <f t="array" ref="H1066">_xlfn.IFS(Table1[[#This Row],[age]]&lt;=30,"Young Adults",Table1[[#This Row],[age]]&lt;=45,"Adults",Table1[[#This Row],[age]]&lt;=60,"Seniors",Table1[[#This Row],[age]]&gt;=61,"Elderly")</f>
        <v>Young Adults</v>
      </c>
    </row>
    <row r="1067" spans="1:8">
      <c r="A1067">
        <v>42</v>
      </c>
      <c r="B1067" t="s">
        <v>8</v>
      </c>
      <c r="C1067">
        <v>25.3</v>
      </c>
      <c r="D1067">
        <v>1</v>
      </c>
      <c r="E1067" t="s">
        <v>12</v>
      </c>
      <c r="F1067" t="s">
        <v>10</v>
      </c>
      <c r="G1067">
        <v>7045.5</v>
      </c>
      <c r="H1067" s="11" t="str" cm="1">
        <f t="array" ref="H1067">_xlfn.IFS(Table1[[#This Row],[age]]&lt;=30,"Young Adults",Table1[[#This Row],[age]]&lt;=45,"Adults",Table1[[#This Row],[age]]&lt;=60,"Seniors",Table1[[#This Row],[age]]&gt;=61,"Elderly")</f>
        <v>Adults</v>
      </c>
    </row>
    <row r="1068" spans="1:8">
      <c r="A1068">
        <v>48</v>
      </c>
      <c r="B1068" t="s">
        <v>11</v>
      </c>
      <c r="C1068">
        <v>37.29</v>
      </c>
      <c r="D1068">
        <v>2</v>
      </c>
      <c r="E1068" t="s">
        <v>12</v>
      </c>
      <c r="F1068" t="s">
        <v>13</v>
      </c>
      <c r="G1068">
        <v>8978.19</v>
      </c>
      <c r="H1068" s="11" t="str" cm="1">
        <f t="array" ref="H1068">_xlfn.IFS(Table1[[#This Row],[age]]&lt;=30,"Young Adults",Table1[[#This Row],[age]]&lt;=45,"Adults",Table1[[#This Row],[age]]&lt;=60,"Seniors",Table1[[#This Row],[age]]&gt;=61,"Elderly")</f>
        <v>Seniors</v>
      </c>
    </row>
    <row r="1069" spans="1:8">
      <c r="A1069">
        <v>39</v>
      </c>
      <c r="B1069" t="s">
        <v>11</v>
      </c>
      <c r="C1069">
        <v>42.655</v>
      </c>
      <c r="D1069">
        <v>0</v>
      </c>
      <c r="E1069" t="s">
        <v>12</v>
      </c>
      <c r="F1069" t="s">
        <v>15</v>
      </c>
      <c r="G1069">
        <v>5757.41</v>
      </c>
      <c r="H1069" s="11" t="str" cm="1">
        <f t="array" ref="H1069">_xlfn.IFS(Table1[[#This Row],[age]]&lt;=30,"Young Adults",Table1[[#This Row],[age]]&lt;=45,"Adults",Table1[[#This Row],[age]]&lt;=60,"Seniors",Table1[[#This Row],[age]]&gt;=61,"Elderly")</f>
        <v>Adults</v>
      </c>
    </row>
    <row r="1070" spans="1:8">
      <c r="A1070">
        <v>63</v>
      </c>
      <c r="B1070" t="s">
        <v>11</v>
      </c>
      <c r="C1070">
        <v>21.66</v>
      </c>
      <c r="D1070">
        <v>1</v>
      </c>
      <c r="E1070" t="s">
        <v>12</v>
      </c>
      <c r="F1070" t="s">
        <v>14</v>
      </c>
      <c r="G1070">
        <v>14349.85</v>
      </c>
      <c r="H1070" s="11" t="str" cm="1">
        <f t="array" ref="H1070">_xlfn.IFS(Table1[[#This Row],[age]]&lt;=30,"Young Adults",Table1[[#This Row],[age]]&lt;=45,"Adults",Table1[[#This Row],[age]]&lt;=60,"Seniors",Table1[[#This Row],[age]]&gt;=61,"Elderly")</f>
        <v>Elderly</v>
      </c>
    </row>
    <row r="1071" spans="1:8">
      <c r="A1071">
        <v>54</v>
      </c>
      <c r="B1071" t="s">
        <v>8</v>
      </c>
      <c r="C1071">
        <v>31.9</v>
      </c>
      <c r="D1071">
        <v>1</v>
      </c>
      <c r="E1071" t="s">
        <v>12</v>
      </c>
      <c r="F1071" t="s">
        <v>13</v>
      </c>
      <c r="G1071">
        <v>10928.85</v>
      </c>
      <c r="H1071" s="11" t="str" cm="1">
        <f t="array" ref="H1071">_xlfn.IFS(Table1[[#This Row],[age]]&lt;=30,"Young Adults",Table1[[#This Row],[age]]&lt;=45,"Adults",Table1[[#This Row],[age]]&lt;=60,"Seniors",Table1[[#This Row],[age]]&gt;=61,"Elderly")</f>
        <v>Seniors</v>
      </c>
    </row>
    <row r="1072" spans="1:8">
      <c r="A1072">
        <v>37</v>
      </c>
      <c r="B1072" t="s">
        <v>11</v>
      </c>
      <c r="C1072">
        <v>37.07</v>
      </c>
      <c r="D1072">
        <v>1</v>
      </c>
      <c r="E1072" t="s">
        <v>9</v>
      </c>
      <c r="F1072" t="s">
        <v>13</v>
      </c>
      <c r="G1072">
        <v>39871.7</v>
      </c>
      <c r="H1072" s="11" t="str" cm="1">
        <f t="array" ref="H1072">_xlfn.IFS(Table1[[#This Row],[age]]&lt;=30,"Young Adults",Table1[[#This Row],[age]]&lt;=45,"Adults",Table1[[#This Row],[age]]&lt;=60,"Seniors",Table1[[#This Row],[age]]&gt;=61,"Elderly")</f>
        <v>Adults</v>
      </c>
    </row>
    <row r="1073" spans="1:8">
      <c r="A1073">
        <v>63</v>
      </c>
      <c r="B1073" t="s">
        <v>11</v>
      </c>
      <c r="C1073">
        <v>31.445</v>
      </c>
      <c r="D1073">
        <v>0</v>
      </c>
      <c r="E1073" t="s">
        <v>12</v>
      </c>
      <c r="F1073" t="s">
        <v>15</v>
      </c>
      <c r="G1073">
        <v>13974.46</v>
      </c>
      <c r="H1073" s="11" t="str" cm="1">
        <f t="array" ref="H1073">_xlfn.IFS(Table1[[#This Row],[age]]&lt;=30,"Young Adults",Table1[[#This Row],[age]]&lt;=45,"Adults",Table1[[#This Row],[age]]&lt;=60,"Seniors",Table1[[#This Row],[age]]&gt;=61,"Elderly")</f>
        <v>Elderly</v>
      </c>
    </row>
    <row r="1074" spans="1:8">
      <c r="A1074">
        <v>21</v>
      </c>
      <c r="B1074" t="s">
        <v>11</v>
      </c>
      <c r="C1074">
        <v>31.255</v>
      </c>
      <c r="D1074">
        <v>0</v>
      </c>
      <c r="E1074" t="s">
        <v>12</v>
      </c>
      <c r="F1074" t="s">
        <v>14</v>
      </c>
      <c r="G1074">
        <v>1909.53</v>
      </c>
      <c r="H1074" s="11" t="str" cm="1">
        <f t="array" ref="H1074">_xlfn.IFS(Table1[[#This Row],[age]]&lt;=30,"Young Adults",Table1[[#This Row],[age]]&lt;=45,"Adults",Table1[[#This Row],[age]]&lt;=60,"Seniors",Table1[[#This Row],[age]]&gt;=61,"Elderly")</f>
        <v>Young Adults</v>
      </c>
    </row>
    <row r="1075" spans="1:8">
      <c r="A1075">
        <v>54</v>
      </c>
      <c r="B1075" t="s">
        <v>8</v>
      </c>
      <c r="C1075">
        <v>28.88</v>
      </c>
      <c r="D1075">
        <v>2</v>
      </c>
      <c r="E1075" t="s">
        <v>12</v>
      </c>
      <c r="F1075" t="s">
        <v>15</v>
      </c>
      <c r="G1075">
        <v>12096.65</v>
      </c>
      <c r="H1075" s="11" t="str" cm="1">
        <f t="array" ref="H1075">_xlfn.IFS(Table1[[#This Row],[age]]&lt;=30,"Young Adults",Table1[[#This Row],[age]]&lt;=45,"Adults",Table1[[#This Row],[age]]&lt;=60,"Seniors",Table1[[#This Row],[age]]&gt;=61,"Elderly")</f>
        <v>Seniors</v>
      </c>
    </row>
    <row r="1076" spans="1:8">
      <c r="A1076">
        <v>60</v>
      </c>
      <c r="B1076" t="s">
        <v>8</v>
      </c>
      <c r="C1076">
        <v>18.335</v>
      </c>
      <c r="D1076">
        <v>0</v>
      </c>
      <c r="E1076" t="s">
        <v>12</v>
      </c>
      <c r="F1076" t="s">
        <v>15</v>
      </c>
      <c r="G1076">
        <v>13204.29</v>
      </c>
      <c r="H1076" s="11" t="str" cm="1">
        <f t="array" ref="H1076">_xlfn.IFS(Table1[[#This Row],[age]]&lt;=30,"Young Adults",Table1[[#This Row],[age]]&lt;=45,"Adults",Table1[[#This Row],[age]]&lt;=60,"Seniors",Table1[[#This Row],[age]]&gt;=61,"Elderly")</f>
        <v>Seniors</v>
      </c>
    </row>
    <row r="1077" spans="1:8">
      <c r="A1077">
        <v>32</v>
      </c>
      <c r="B1077" t="s">
        <v>8</v>
      </c>
      <c r="C1077">
        <v>29.59</v>
      </c>
      <c r="D1077">
        <v>1</v>
      </c>
      <c r="E1077" t="s">
        <v>12</v>
      </c>
      <c r="F1077" t="s">
        <v>13</v>
      </c>
      <c r="G1077">
        <v>4562.84</v>
      </c>
      <c r="H1077" s="11" t="str" cm="1">
        <f t="array" ref="H1077">_xlfn.IFS(Table1[[#This Row],[age]]&lt;=30,"Young Adults",Table1[[#This Row],[age]]&lt;=45,"Adults",Table1[[#This Row],[age]]&lt;=60,"Seniors",Table1[[#This Row],[age]]&gt;=61,"Elderly")</f>
        <v>Adults</v>
      </c>
    </row>
    <row r="1078" spans="1:8">
      <c r="A1078">
        <v>47</v>
      </c>
      <c r="B1078" t="s">
        <v>8</v>
      </c>
      <c r="C1078">
        <v>32</v>
      </c>
      <c r="D1078">
        <v>1</v>
      </c>
      <c r="E1078" t="s">
        <v>12</v>
      </c>
      <c r="F1078" t="s">
        <v>10</v>
      </c>
      <c r="G1078">
        <v>8551.35</v>
      </c>
      <c r="H1078" s="11" t="str" cm="1">
        <f t="array" ref="H1078">_xlfn.IFS(Table1[[#This Row],[age]]&lt;=30,"Young Adults",Table1[[#This Row],[age]]&lt;=45,"Adults",Table1[[#This Row],[age]]&lt;=60,"Seniors",Table1[[#This Row],[age]]&gt;=61,"Elderly")</f>
        <v>Seniors</v>
      </c>
    </row>
    <row r="1079" spans="1:8">
      <c r="A1079">
        <v>21</v>
      </c>
      <c r="B1079" t="s">
        <v>11</v>
      </c>
      <c r="C1079">
        <v>26.03</v>
      </c>
      <c r="D1079">
        <v>0</v>
      </c>
      <c r="E1079" t="s">
        <v>12</v>
      </c>
      <c r="F1079" t="s">
        <v>15</v>
      </c>
      <c r="G1079">
        <v>2102.26</v>
      </c>
      <c r="H1079" s="11" t="str" cm="1">
        <f t="array" ref="H1079">_xlfn.IFS(Table1[[#This Row],[age]]&lt;=30,"Young Adults",Table1[[#This Row],[age]]&lt;=45,"Adults",Table1[[#This Row],[age]]&lt;=60,"Seniors",Table1[[#This Row],[age]]&gt;=61,"Elderly")</f>
        <v>Young Adults</v>
      </c>
    </row>
    <row r="1080" spans="1:8">
      <c r="A1080">
        <v>28</v>
      </c>
      <c r="B1080" t="s">
        <v>11</v>
      </c>
      <c r="C1080">
        <v>31.68</v>
      </c>
      <c r="D1080">
        <v>0</v>
      </c>
      <c r="E1080" t="s">
        <v>9</v>
      </c>
      <c r="F1080" t="s">
        <v>13</v>
      </c>
      <c r="G1080">
        <v>34672.15</v>
      </c>
      <c r="H1080" s="11" t="str" cm="1">
        <f t="array" ref="H1080">_xlfn.IFS(Table1[[#This Row],[age]]&lt;=30,"Young Adults",Table1[[#This Row],[age]]&lt;=45,"Adults",Table1[[#This Row],[age]]&lt;=60,"Seniors",Table1[[#This Row],[age]]&gt;=61,"Elderly")</f>
        <v>Young Adults</v>
      </c>
    </row>
    <row r="1081" spans="1:8">
      <c r="A1081">
        <v>63</v>
      </c>
      <c r="B1081" t="s">
        <v>11</v>
      </c>
      <c r="C1081">
        <v>33.66</v>
      </c>
      <c r="D1081">
        <v>3</v>
      </c>
      <c r="E1081" t="s">
        <v>12</v>
      </c>
      <c r="F1081" t="s">
        <v>13</v>
      </c>
      <c r="G1081">
        <v>15161.53</v>
      </c>
      <c r="H1081" s="11" t="str" cm="1">
        <f t="array" ref="H1081">_xlfn.IFS(Table1[[#This Row],[age]]&lt;=30,"Young Adults",Table1[[#This Row],[age]]&lt;=45,"Adults",Table1[[#This Row],[age]]&lt;=60,"Seniors",Table1[[#This Row],[age]]&gt;=61,"Elderly")</f>
        <v>Elderly</v>
      </c>
    </row>
    <row r="1082" spans="1:8">
      <c r="A1082">
        <v>18</v>
      </c>
      <c r="B1082" t="s">
        <v>11</v>
      </c>
      <c r="C1082">
        <v>21.78</v>
      </c>
      <c r="D1082">
        <v>2</v>
      </c>
      <c r="E1082" t="s">
        <v>12</v>
      </c>
      <c r="F1082" t="s">
        <v>13</v>
      </c>
      <c r="G1082">
        <v>11884.05</v>
      </c>
      <c r="H1082" s="11" t="str" cm="1">
        <f t="array" ref="H1082">_xlfn.IFS(Table1[[#This Row],[age]]&lt;=30,"Young Adults",Table1[[#This Row],[age]]&lt;=45,"Adults",Table1[[#This Row],[age]]&lt;=60,"Seniors",Table1[[#This Row],[age]]&gt;=61,"Elderly")</f>
        <v>Young Adults</v>
      </c>
    </row>
    <row r="1083" spans="1:8">
      <c r="A1083">
        <v>32</v>
      </c>
      <c r="B1083" t="s">
        <v>11</v>
      </c>
      <c r="C1083">
        <v>27.835</v>
      </c>
      <c r="D1083">
        <v>1</v>
      </c>
      <c r="E1083" t="s">
        <v>12</v>
      </c>
      <c r="F1083" t="s">
        <v>14</v>
      </c>
      <c r="G1083">
        <v>4454.4</v>
      </c>
      <c r="H1083" s="11" t="str" cm="1">
        <f t="array" ref="H1083">_xlfn.IFS(Table1[[#This Row],[age]]&lt;=30,"Young Adults",Table1[[#This Row],[age]]&lt;=45,"Adults",Table1[[#This Row],[age]]&lt;=60,"Seniors",Table1[[#This Row],[age]]&gt;=61,"Elderly")</f>
        <v>Adults</v>
      </c>
    </row>
    <row r="1084" spans="1:8">
      <c r="A1084">
        <v>38</v>
      </c>
      <c r="B1084" t="s">
        <v>11</v>
      </c>
      <c r="C1084">
        <v>19.95</v>
      </c>
      <c r="D1084">
        <v>1</v>
      </c>
      <c r="E1084" t="s">
        <v>12</v>
      </c>
      <c r="F1084" t="s">
        <v>14</v>
      </c>
      <c r="G1084">
        <v>5855.9</v>
      </c>
      <c r="H1084" s="11" t="str" cm="1">
        <f t="array" ref="H1084">_xlfn.IFS(Table1[[#This Row],[age]]&lt;=30,"Young Adults",Table1[[#This Row],[age]]&lt;=45,"Adults",Table1[[#This Row],[age]]&lt;=60,"Seniors",Table1[[#This Row],[age]]&gt;=61,"Elderly")</f>
        <v>Adults</v>
      </c>
    </row>
    <row r="1085" spans="1:8">
      <c r="A1085">
        <v>32</v>
      </c>
      <c r="B1085" t="s">
        <v>11</v>
      </c>
      <c r="C1085">
        <v>31.5</v>
      </c>
      <c r="D1085">
        <v>1</v>
      </c>
      <c r="E1085" t="s">
        <v>12</v>
      </c>
      <c r="F1085" t="s">
        <v>10</v>
      </c>
      <c r="G1085">
        <v>4076.5</v>
      </c>
      <c r="H1085" s="11" t="str" cm="1">
        <f t="array" ref="H1085">_xlfn.IFS(Table1[[#This Row],[age]]&lt;=30,"Young Adults",Table1[[#This Row],[age]]&lt;=45,"Adults",Table1[[#This Row],[age]]&lt;=60,"Seniors",Table1[[#This Row],[age]]&gt;=61,"Elderly")</f>
        <v>Adults</v>
      </c>
    </row>
    <row r="1086" spans="1:8">
      <c r="A1086">
        <v>62</v>
      </c>
      <c r="B1086" t="s">
        <v>8</v>
      </c>
      <c r="C1086">
        <v>30.495</v>
      </c>
      <c r="D1086">
        <v>2</v>
      </c>
      <c r="E1086" t="s">
        <v>12</v>
      </c>
      <c r="F1086" t="s">
        <v>14</v>
      </c>
      <c r="G1086">
        <v>15019.76</v>
      </c>
      <c r="H1086" s="11" t="str" cm="1">
        <f t="array" ref="H1086">_xlfn.IFS(Table1[[#This Row],[age]]&lt;=30,"Young Adults",Table1[[#This Row],[age]]&lt;=45,"Adults",Table1[[#This Row],[age]]&lt;=60,"Seniors",Table1[[#This Row],[age]]&gt;=61,"Elderly")</f>
        <v>Elderly</v>
      </c>
    </row>
    <row r="1087" spans="1:8">
      <c r="A1087">
        <v>39</v>
      </c>
      <c r="B1087" t="s">
        <v>8</v>
      </c>
      <c r="C1087">
        <v>18.3</v>
      </c>
      <c r="D1087">
        <v>5</v>
      </c>
      <c r="E1087" t="s">
        <v>9</v>
      </c>
      <c r="F1087" t="s">
        <v>10</v>
      </c>
      <c r="G1087">
        <v>19023.26</v>
      </c>
      <c r="H1087" s="11" t="str" cm="1">
        <f t="array" ref="H1087">_xlfn.IFS(Table1[[#This Row],[age]]&lt;=30,"Young Adults",Table1[[#This Row],[age]]&lt;=45,"Adults",Table1[[#This Row],[age]]&lt;=60,"Seniors",Table1[[#This Row],[age]]&gt;=61,"Elderly")</f>
        <v>Adults</v>
      </c>
    </row>
    <row r="1088" spans="1:8">
      <c r="A1088">
        <v>55</v>
      </c>
      <c r="B1088" t="s">
        <v>11</v>
      </c>
      <c r="C1088">
        <v>28.975</v>
      </c>
      <c r="D1088">
        <v>0</v>
      </c>
      <c r="E1088" t="s">
        <v>12</v>
      </c>
      <c r="F1088" t="s">
        <v>15</v>
      </c>
      <c r="G1088">
        <v>10796.35</v>
      </c>
      <c r="H1088" s="11" t="str" cm="1">
        <f t="array" ref="H1088">_xlfn.IFS(Table1[[#This Row],[age]]&lt;=30,"Young Adults",Table1[[#This Row],[age]]&lt;=45,"Adults",Table1[[#This Row],[age]]&lt;=60,"Seniors",Table1[[#This Row],[age]]&gt;=61,"Elderly")</f>
        <v>Seniors</v>
      </c>
    </row>
    <row r="1089" spans="1:8">
      <c r="A1089">
        <v>57</v>
      </c>
      <c r="B1089" t="s">
        <v>11</v>
      </c>
      <c r="C1089">
        <v>31.54</v>
      </c>
      <c r="D1089">
        <v>0</v>
      </c>
      <c r="E1089" t="s">
        <v>12</v>
      </c>
      <c r="F1089" t="s">
        <v>14</v>
      </c>
      <c r="G1089">
        <v>11353.23</v>
      </c>
      <c r="H1089" s="11" t="str" cm="1">
        <f t="array" ref="H1089">_xlfn.IFS(Table1[[#This Row],[age]]&lt;=30,"Young Adults",Table1[[#This Row],[age]]&lt;=45,"Adults",Table1[[#This Row],[age]]&lt;=60,"Seniors",Table1[[#This Row],[age]]&gt;=61,"Elderly")</f>
        <v>Seniors</v>
      </c>
    </row>
    <row r="1090" spans="1:8">
      <c r="A1090">
        <v>52</v>
      </c>
      <c r="B1090" t="s">
        <v>11</v>
      </c>
      <c r="C1090">
        <v>47.74</v>
      </c>
      <c r="D1090">
        <v>1</v>
      </c>
      <c r="E1090" t="s">
        <v>12</v>
      </c>
      <c r="F1090" t="s">
        <v>13</v>
      </c>
      <c r="G1090">
        <v>9748.91</v>
      </c>
      <c r="H1090" s="11" t="str" cm="1">
        <f t="array" ref="H1090">_xlfn.IFS(Table1[[#This Row],[age]]&lt;=30,"Young Adults",Table1[[#This Row],[age]]&lt;=45,"Adults",Table1[[#This Row],[age]]&lt;=60,"Seniors",Table1[[#This Row],[age]]&gt;=61,"Elderly")</f>
        <v>Seniors</v>
      </c>
    </row>
    <row r="1091" spans="1:8">
      <c r="A1091">
        <v>56</v>
      </c>
      <c r="B1091" t="s">
        <v>11</v>
      </c>
      <c r="C1091">
        <v>22.1</v>
      </c>
      <c r="D1091">
        <v>0</v>
      </c>
      <c r="E1091" t="s">
        <v>12</v>
      </c>
      <c r="F1091" t="s">
        <v>10</v>
      </c>
      <c r="G1091">
        <v>10577.09</v>
      </c>
      <c r="H1091" s="11" t="str" cm="1">
        <f t="array" ref="H1091">_xlfn.IFS(Table1[[#This Row],[age]]&lt;=30,"Young Adults",Table1[[#This Row],[age]]&lt;=45,"Adults",Table1[[#This Row],[age]]&lt;=60,"Seniors",Table1[[#This Row],[age]]&gt;=61,"Elderly")</f>
        <v>Seniors</v>
      </c>
    </row>
    <row r="1092" spans="1:8">
      <c r="A1092">
        <v>47</v>
      </c>
      <c r="B1092" t="s">
        <v>11</v>
      </c>
      <c r="C1092">
        <v>36.19</v>
      </c>
      <c r="D1092">
        <v>0</v>
      </c>
      <c r="E1092" t="s">
        <v>9</v>
      </c>
      <c r="F1092" t="s">
        <v>13</v>
      </c>
      <c r="G1092">
        <v>41676.08</v>
      </c>
      <c r="H1092" s="11" t="str" cm="1">
        <f t="array" ref="H1092">_xlfn.IFS(Table1[[#This Row],[age]]&lt;=30,"Young Adults",Table1[[#This Row],[age]]&lt;=45,"Adults",Table1[[#This Row],[age]]&lt;=60,"Seniors",Table1[[#This Row],[age]]&gt;=61,"Elderly")</f>
        <v>Seniors</v>
      </c>
    </row>
    <row r="1093" spans="1:8">
      <c r="A1093">
        <v>55</v>
      </c>
      <c r="B1093" t="s">
        <v>8</v>
      </c>
      <c r="C1093">
        <v>29.83</v>
      </c>
      <c r="D1093">
        <v>0</v>
      </c>
      <c r="E1093" t="s">
        <v>12</v>
      </c>
      <c r="F1093" t="s">
        <v>15</v>
      </c>
      <c r="G1093">
        <v>11286.54</v>
      </c>
      <c r="H1093" s="11" t="str" cm="1">
        <f t="array" ref="H1093">_xlfn.IFS(Table1[[#This Row],[age]]&lt;=30,"Young Adults",Table1[[#This Row],[age]]&lt;=45,"Adults",Table1[[#This Row],[age]]&lt;=60,"Seniors",Table1[[#This Row],[age]]&gt;=61,"Elderly")</f>
        <v>Seniors</v>
      </c>
    </row>
    <row r="1094" spans="1:8">
      <c r="A1094">
        <v>23</v>
      </c>
      <c r="B1094" t="s">
        <v>11</v>
      </c>
      <c r="C1094">
        <v>32.7</v>
      </c>
      <c r="D1094">
        <v>3</v>
      </c>
      <c r="E1094" t="s">
        <v>12</v>
      </c>
      <c r="F1094" t="s">
        <v>10</v>
      </c>
      <c r="G1094">
        <v>3591.48</v>
      </c>
      <c r="H1094" s="11" t="str" cm="1">
        <f t="array" ref="H1094">_xlfn.IFS(Table1[[#This Row],[age]]&lt;=30,"Young Adults",Table1[[#This Row],[age]]&lt;=45,"Adults",Table1[[#This Row],[age]]&lt;=60,"Seniors",Table1[[#This Row],[age]]&gt;=61,"Elderly")</f>
        <v>Young Adults</v>
      </c>
    </row>
    <row r="1095" spans="1:8">
      <c r="A1095">
        <v>22</v>
      </c>
      <c r="B1095" t="s">
        <v>8</v>
      </c>
      <c r="C1095">
        <v>30.4</v>
      </c>
      <c r="D1095">
        <v>0</v>
      </c>
      <c r="E1095" t="s">
        <v>9</v>
      </c>
      <c r="F1095" t="s">
        <v>14</v>
      </c>
      <c r="G1095">
        <v>33907.55</v>
      </c>
      <c r="H1095" s="11" t="str" cm="1">
        <f t="array" ref="H1095">_xlfn.IFS(Table1[[#This Row],[age]]&lt;=30,"Young Adults",Table1[[#This Row],[age]]&lt;=45,"Adults",Table1[[#This Row],[age]]&lt;=60,"Seniors",Table1[[#This Row],[age]]&gt;=61,"Elderly")</f>
        <v>Young Adults</v>
      </c>
    </row>
    <row r="1096" spans="1:8">
      <c r="A1096">
        <v>50</v>
      </c>
      <c r="B1096" t="s">
        <v>8</v>
      </c>
      <c r="C1096">
        <v>33.7</v>
      </c>
      <c r="D1096">
        <v>4</v>
      </c>
      <c r="E1096" t="s">
        <v>12</v>
      </c>
      <c r="F1096" t="s">
        <v>10</v>
      </c>
      <c r="G1096">
        <v>11299.34</v>
      </c>
      <c r="H1096" s="11" t="str" cm="1">
        <f t="array" ref="H1096">_xlfn.IFS(Table1[[#This Row],[age]]&lt;=30,"Young Adults",Table1[[#This Row],[age]]&lt;=45,"Adults",Table1[[#This Row],[age]]&lt;=60,"Seniors",Table1[[#This Row],[age]]&gt;=61,"Elderly")</f>
        <v>Seniors</v>
      </c>
    </row>
    <row r="1097" spans="1:8">
      <c r="A1097">
        <v>18</v>
      </c>
      <c r="B1097" t="s">
        <v>8</v>
      </c>
      <c r="C1097">
        <v>31.35</v>
      </c>
      <c r="D1097">
        <v>4</v>
      </c>
      <c r="E1097" t="s">
        <v>12</v>
      </c>
      <c r="F1097" t="s">
        <v>15</v>
      </c>
      <c r="G1097">
        <v>4561.19</v>
      </c>
      <c r="H1097" s="11" t="str" cm="1">
        <f t="array" ref="H1097">_xlfn.IFS(Table1[[#This Row],[age]]&lt;=30,"Young Adults",Table1[[#This Row],[age]]&lt;=45,"Adults",Table1[[#This Row],[age]]&lt;=60,"Seniors",Table1[[#This Row],[age]]&gt;=61,"Elderly")</f>
        <v>Young Adults</v>
      </c>
    </row>
    <row r="1098" spans="1:8">
      <c r="A1098">
        <v>51</v>
      </c>
      <c r="B1098" t="s">
        <v>8</v>
      </c>
      <c r="C1098">
        <v>34.96</v>
      </c>
      <c r="D1098">
        <v>2</v>
      </c>
      <c r="E1098" t="s">
        <v>9</v>
      </c>
      <c r="F1098" t="s">
        <v>15</v>
      </c>
      <c r="G1098">
        <v>44641.2</v>
      </c>
      <c r="H1098" s="11" t="str" cm="1">
        <f t="array" ref="H1098">_xlfn.IFS(Table1[[#This Row],[age]]&lt;=30,"Young Adults",Table1[[#This Row],[age]]&lt;=45,"Adults",Table1[[#This Row],[age]]&lt;=60,"Seniors",Table1[[#This Row],[age]]&gt;=61,"Elderly")</f>
        <v>Seniors</v>
      </c>
    </row>
    <row r="1099" spans="1:8">
      <c r="A1099">
        <v>22</v>
      </c>
      <c r="B1099" t="s">
        <v>11</v>
      </c>
      <c r="C1099">
        <v>33.77</v>
      </c>
      <c r="D1099">
        <v>0</v>
      </c>
      <c r="E1099" t="s">
        <v>12</v>
      </c>
      <c r="F1099" t="s">
        <v>13</v>
      </c>
      <c r="G1099">
        <v>1674.63</v>
      </c>
      <c r="H1099" s="11" t="str" cm="1">
        <f t="array" ref="H1099">_xlfn.IFS(Table1[[#This Row],[age]]&lt;=30,"Young Adults",Table1[[#This Row],[age]]&lt;=45,"Adults",Table1[[#This Row],[age]]&lt;=60,"Seniors",Table1[[#This Row],[age]]&gt;=61,"Elderly")</f>
        <v>Young Adults</v>
      </c>
    </row>
    <row r="1100" spans="1:8">
      <c r="A1100">
        <v>52</v>
      </c>
      <c r="B1100" t="s">
        <v>8</v>
      </c>
      <c r="C1100">
        <v>30.875</v>
      </c>
      <c r="D1100">
        <v>0</v>
      </c>
      <c r="E1100" t="s">
        <v>12</v>
      </c>
      <c r="F1100" t="s">
        <v>15</v>
      </c>
      <c r="G1100">
        <v>23045.57</v>
      </c>
      <c r="H1100" s="11" t="str" cm="1">
        <f t="array" ref="H1100">_xlfn.IFS(Table1[[#This Row],[age]]&lt;=30,"Young Adults",Table1[[#This Row],[age]]&lt;=45,"Adults",Table1[[#This Row],[age]]&lt;=60,"Seniors",Table1[[#This Row],[age]]&gt;=61,"Elderly")</f>
        <v>Seniors</v>
      </c>
    </row>
    <row r="1101" spans="1:8">
      <c r="A1101">
        <v>25</v>
      </c>
      <c r="B1101" t="s">
        <v>8</v>
      </c>
      <c r="C1101">
        <v>33.99</v>
      </c>
      <c r="D1101">
        <v>1</v>
      </c>
      <c r="E1101" t="s">
        <v>12</v>
      </c>
      <c r="F1101" t="s">
        <v>13</v>
      </c>
      <c r="G1101">
        <v>3227.12</v>
      </c>
      <c r="H1101" s="11" t="str" cm="1">
        <f t="array" ref="H1101">_xlfn.IFS(Table1[[#This Row],[age]]&lt;=30,"Young Adults",Table1[[#This Row],[age]]&lt;=45,"Adults",Table1[[#This Row],[age]]&lt;=60,"Seniors",Table1[[#This Row],[age]]&gt;=61,"Elderly")</f>
        <v>Young Adults</v>
      </c>
    </row>
    <row r="1102" spans="1:8">
      <c r="A1102">
        <v>33</v>
      </c>
      <c r="B1102" t="s">
        <v>8</v>
      </c>
      <c r="C1102">
        <v>19.095</v>
      </c>
      <c r="D1102">
        <v>2</v>
      </c>
      <c r="E1102" t="s">
        <v>9</v>
      </c>
      <c r="F1102" t="s">
        <v>15</v>
      </c>
      <c r="G1102">
        <v>16776.3</v>
      </c>
      <c r="H1102" s="11" t="str" cm="1">
        <f t="array" ref="H1102">_xlfn.IFS(Table1[[#This Row],[age]]&lt;=30,"Young Adults",Table1[[#This Row],[age]]&lt;=45,"Adults",Table1[[#This Row],[age]]&lt;=60,"Seniors",Table1[[#This Row],[age]]&gt;=61,"Elderly")</f>
        <v>Adults</v>
      </c>
    </row>
    <row r="1103" spans="1:8">
      <c r="A1103">
        <v>53</v>
      </c>
      <c r="B1103" t="s">
        <v>11</v>
      </c>
      <c r="C1103">
        <v>28.6</v>
      </c>
      <c r="D1103">
        <v>3</v>
      </c>
      <c r="E1103" t="s">
        <v>12</v>
      </c>
      <c r="F1103" t="s">
        <v>10</v>
      </c>
      <c r="G1103">
        <v>11253.42</v>
      </c>
      <c r="H1103" s="11" t="str" cm="1">
        <f t="array" ref="H1103">_xlfn.IFS(Table1[[#This Row],[age]]&lt;=30,"Young Adults",Table1[[#This Row],[age]]&lt;=45,"Adults",Table1[[#This Row],[age]]&lt;=60,"Seniors",Table1[[#This Row],[age]]&gt;=61,"Elderly")</f>
        <v>Seniors</v>
      </c>
    </row>
    <row r="1104" spans="1:8">
      <c r="A1104">
        <v>29</v>
      </c>
      <c r="B1104" t="s">
        <v>11</v>
      </c>
      <c r="C1104">
        <v>38.94</v>
      </c>
      <c r="D1104">
        <v>1</v>
      </c>
      <c r="E1104" t="s">
        <v>12</v>
      </c>
      <c r="F1104" t="s">
        <v>13</v>
      </c>
      <c r="G1104">
        <v>3471.41</v>
      </c>
      <c r="H1104" s="11" t="str" cm="1">
        <f t="array" ref="H1104">_xlfn.IFS(Table1[[#This Row],[age]]&lt;=30,"Young Adults",Table1[[#This Row],[age]]&lt;=45,"Adults",Table1[[#This Row],[age]]&lt;=60,"Seniors",Table1[[#This Row],[age]]&gt;=61,"Elderly")</f>
        <v>Young Adults</v>
      </c>
    </row>
    <row r="1105" spans="1:8">
      <c r="A1105">
        <v>58</v>
      </c>
      <c r="B1105" t="s">
        <v>11</v>
      </c>
      <c r="C1105">
        <v>36.08</v>
      </c>
      <c r="D1105">
        <v>0</v>
      </c>
      <c r="E1105" t="s">
        <v>12</v>
      </c>
      <c r="F1105" t="s">
        <v>13</v>
      </c>
      <c r="G1105">
        <v>11363.28</v>
      </c>
      <c r="H1105" s="11" t="str" cm="1">
        <f t="array" ref="H1105">_xlfn.IFS(Table1[[#This Row],[age]]&lt;=30,"Young Adults",Table1[[#This Row],[age]]&lt;=45,"Adults",Table1[[#This Row],[age]]&lt;=60,"Seniors",Table1[[#This Row],[age]]&gt;=61,"Elderly")</f>
        <v>Seniors</v>
      </c>
    </row>
    <row r="1106" spans="1:8">
      <c r="A1106">
        <v>37</v>
      </c>
      <c r="B1106" t="s">
        <v>11</v>
      </c>
      <c r="C1106">
        <v>29.8</v>
      </c>
      <c r="D1106">
        <v>0</v>
      </c>
      <c r="E1106" t="s">
        <v>12</v>
      </c>
      <c r="F1106" t="s">
        <v>10</v>
      </c>
      <c r="G1106">
        <v>20420.6</v>
      </c>
      <c r="H1106" s="11" t="str" cm="1">
        <f t="array" ref="H1106">_xlfn.IFS(Table1[[#This Row],[age]]&lt;=30,"Young Adults",Table1[[#This Row],[age]]&lt;=45,"Adults",Table1[[#This Row],[age]]&lt;=60,"Seniors",Table1[[#This Row],[age]]&gt;=61,"Elderly")</f>
        <v>Adults</v>
      </c>
    </row>
    <row r="1107" spans="1:8">
      <c r="A1107">
        <v>54</v>
      </c>
      <c r="B1107" t="s">
        <v>8</v>
      </c>
      <c r="C1107">
        <v>31.24</v>
      </c>
      <c r="D1107">
        <v>0</v>
      </c>
      <c r="E1107" t="s">
        <v>12</v>
      </c>
      <c r="F1107" t="s">
        <v>13</v>
      </c>
      <c r="G1107">
        <v>10338.93</v>
      </c>
      <c r="H1107" s="11" t="str" cm="1">
        <f t="array" ref="H1107">_xlfn.IFS(Table1[[#This Row],[age]]&lt;=30,"Young Adults",Table1[[#This Row],[age]]&lt;=45,"Adults",Table1[[#This Row],[age]]&lt;=60,"Seniors",Table1[[#This Row],[age]]&gt;=61,"Elderly")</f>
        <v>Seniors</v>
      </c>
    </row>
    <row r="1108" spans="1:8">
      <c r="A1108">
        <v>49</v>
      </c>
      <c r="B1108" t="s">
        <v>8</v>
      </c>
      <c r="C1108">
        <v>29.925</v>
      </c>
      <c r="D1108">
        <v>0</v>
      </c>
      <c r="E1108" t="s">
        <v>12</v>
      </c>
      <c r="F1108" t="s">
        <v>14</v>
      </c>
      <c r="G1108">
        <v>8988.16</v>
      </c>
      <c r="H1108" s="11" t="str" cm="1">
        <f t="array" ref="H1108">_xlfn.IFS(Table1[[#This Row],[age]]&lt;=30,"Young Adults",Table1[[#This Row],[age]]&lt;=45,"Adults",Table1[[#This Row],[age]]&lt;=60,"Seniors",Table1[[#This Row],[age]]&gt;=61,"Elderly")</f>
        <v>Seniors</v>
      </c>
    </row>
    <row r="1109" spans="1:8">
      <c r="A1109">
        <v>50</v>
      </c>
      <c r="B1109" t="s">
        <v>8</v>
      </c>
      <c r="C1109">
        <v>26.22</v>
      </c>
      <c r="D1109">
        <v>2</v>
      </c>
      <c r="E1109" t="s">
        <v>12</v>
      </c>
      <c r="F1109" t="s">
        <v>14</v>
      </c>
      <c r="G1109">
        <v>10493.95</v>
      </c>
      <c r="H1109" s="11" t="str" cm="1">
        <f t="array" ref="H1109">_xlfn.IFS(Table1[[#This Row],[age]]&lt;=30,"Young Adults",Table1[[#This Row],[age]]&lt;=45,"Adults",Table1[[#This Row],[age]]&lt;=60,"Seniors",Table1[[#This Row],[age]]&gt;=61,"Elderly")</f>
        <v>Seniors</v>
      </c>
    </row>
    <row r="1110" spans="1:8">
      <c r="A1110">
        <v>26</v>
      </c>
      <c r="B1110" t="s">
        <v>11</v>
      </c>
      <c r="C1110">
        <v>30</v>
      </c>
      <c r="D1110">
        <v>1</v>
      </c>
      <c r="E1110" t="s">
        <v>12</v>
      </c>
      <c r="F1110" t="s">
        <v>10</v>
      </c>
      <c r="G1110">
        <v>2904.09</v>
      </c>
      <c r="H1110" s="11" t="str" cm="1">
        <f t="array" ref="H1110">_xlfn.IFS(Table1[[#This Row],[age]]&lt;=30,"Young Adults",Table1[[#This Row],[age]]&lt;=45,"Adults",Table1[[#This Row],[age]]&lt;=60,"Seniors",Table1[[#This Row],[age]]&gt;=61,"Elderly")</f>
        <v>Young Adults</v>
      </c>
    </row>
    <row r="1111" spans="1:8">
      <c r="A1111">
        <v>45</v>
      </c>
      <c r="B1111" t="s">
        <v>11</v>
      </c>
      <c r="C1111">
        <v>20.35</v>
      </c>
      <c r="D1111">
        <v>3</v>
      </c>
      <c r="E1111" t="s">
        <v>12</v>
      </c>
      <c r="F1111" t="s">
        <v>13</v>
      </c>
      <c r="G1111">
        <v>8605.36</v>
      </c>
      <c r="H1111" s="11" t="str" cm="1">
        <f t="array" ref="H1111">_xlfn.IFS(Table1[[#This Row],[age]]&lt;=30,"Young Adults",Table1[[#This Row],[age]]&lt;=45,"Adults",Table1[[#This Row],[age]]&lt;=60,"Seniors",Table1[[#This Row],[age]]&gt;=61,"Elderly")</f>
        <v>Adults</v>
      </c>
    </row>
    <row r="1112" spans="1:8">
      <c r="A1112">
        <v>54</v>
      </c>
      <c r="B1112" t="s">
        <v>8</v>
      </c>
      <c r="C1112">
        <v>32.3</v>
      </c>
      <c r="D1112">
        <v>1</v>
      </c>
      <c r="E1112" t="s">
        <v>12</v>
      </c>
      <c r="F1112" t="s">
        <v>15</v>
      </c>
      <c r="G1112">
        <v>11512.41</v>
      </c>
      <c r="H1112" s="11" t="str" cm="1">
        <f t="array" ref="H1112">_xlfn.IFS(Table1[[#This Row],[age]]&lt;=30,"Young Adults",Table1[[#This Row],[age]]&lt;=45,"Adults",Table1[[#This Row],[age]]&lt;=60,"Seniors",Table1[[#This Row],[age]]&gt;=61,"Elderly")</f>
        <v>Seniors</v>
      </c>
    </row>
    <row r="1113" spans="1:8">
      <c r="A1113">
        <v>38</v>
      </c>
      <c r="B1113" t="s">
        <v>11</v>
      </c>
      <c r="C1113">
        <v>38.39</v>
      </c>
      <c r="D1113">
        <v>3</v>
      </c>
      <c r="E1113" t="s">
        <v>9</v>
      </c>
      <c r="F1113" t="s">
        <v>13</v>
      </c>
      <c r="G1113">
        <v>41949.24</v>
      </c>
      <c r="H1113" s="11" t="str" cm="1">
        <f t="array" ref="H1113">_xlfn.IFS(Table1[[#This Row],[age]]&lt;=30,"Young Adults",Table1[[#This Row],[age]]&lt;=45,"Adults",Table1[[#This Row],[age]]&lt;=60,"Seniors",Table1[[#This Row],[age]]&gt;=61,"Elderly")</f>
        <v>Adults</v>
      </c>
    </row>
    <row r="1114" spans="1:8">
      <c r="A1114">
        <v>48</v>
      </c>
      <c r="B1114" t="s">
        <v>8</v>
      </c>
      <c r="C1114">
        <v>25.85</v>
      </c>
      <c r="D1114">
        <v>3</v>
      </c>
      <c r="E1114" t="s">
        <v>9</v>
      </c>
      <c r="F1114" t="s">
        <v>13</v>
      </c>
      <c r="G1114">
        <v>24180.93</v>
      </c>
      <c r="H1114" s="11" t="str" cm="1">
        <f t="array" ref="H1114">_xlfn.IFS(Table1[[#This Row],[age]]&lt;=30,"Young Adults",Table1[[#This Row],[age]]&lt;=45,"Adults",Table1[[#This Row],[age]]&lt;=60,"Seniors",Table1[[#This Row],[age]]&gt;=61,"Elderly")</f>
        <v>Seniors</v>
      </c>
    </row>
    <row r="1115" spans="1:8">
      <c r="A1115">
        <v>28</v>
      </c>
      <c r="B1115" t="s">
        <v>8</v>
      </c>
      <c r="C1115">
        <v>26.315</v>
      </c>
      <c r="D1115">
        <v>3</v>
      </c>
      <c r="E1115" t="s">
        <v>12</v>
      </c>
      <c r="F1115" t="s">
        <v>14</v>
      </c>
      <c r="G1115">
        <v>5312.17</v>
      </c>
      <c r="H1115" s="11" t="str" cm="1">
        <f t="array" ref="H1115">_xlfn.IFS(Table1[[#This Row],[age]]&lt;=30,"Young Adults",Table1[[#This Row],[age]]&lt;=45,"Adults",Table1[[#This Row],[age]]&lt;=60,"Seniors",Table1[[#This Row],[age]]&gt;=61,"Elderly")</f>
        <v>Young Adults</v>
      </c>
    </row>
    <row r="1116" spans="1:8">
      <c r="A1116">
        <v>23</v>
      </c>
      <c r="B1116" t="s">
        <v>11</v>
      </c>
      <c r="C1116">
        <v>24.51</v>
      </c>
      <c r="D1116">
        <v>0</v>
      </c>
      <c r="E1116" t="s">
        <v>12</v>
      </c>
      <c r="F1116" t="s">
        <v>15</v>
      </c>
      <c r="G1116">
        <v>2396.1</v>
      </c>
      <c r="H1116" s="11" t="str" cm="1">
        <f t="array" ref="H1116">_xlfn.IFS(Table1[[#This Row],[age]]&lt;=30,"Young Adults",Table1[[#This Row],[age]]&lt;=45,"Adults",Table1[[#This Row],[age]]&lt;=60,"Seniors",Table1[[#This Row],[age]]&gt;=61,"Elderly")</f>
        <v>Young Adults</v>
      </c>
    </row>
    <row r="1117" spans="1:8">
      <c r="A1117">
        <v>55</v>
      </c>
      <c r="B1117" t="s">
        <v>11</v>
      </c>
      <c r="C1117">
        <v>32.67</v>
      </c>
      <c r="D1117">
        <v>1</v>
      </c>
      <c r="E1117" t="s">
        <v>12</v>
      </c>
      <c r="F1117" t="s">
        <v>13</v>
      </c>
      <c r="G1117">
        <v>10807.49</v>
      </c>
      <c r="H1117" s="11" t="str" cm="1">
        <f t="array" ref="H1117">_xlfn.IFS(Table1[[#This Row],[age]]&lt;=30,"Young Adults",Table1[[#This Row],[age]]&lt;=45,"Adults",Table1[[#This Row],[age]]&lt;=60,"Seniors",Table1[[#This Row],[age]]&gt;=61,"Elderly")</f>
        <v>Seniors</v>
      </c>
    </row>
    <row r="1118" spans="1:8">
      <c r="A1118">
        <v>41</v>
      </c>
      <c r="B1118" t="s">
        <v>11</v>
      </c>
      <c r="C1118">
        <v>29.64</v>
      </c>
      <c r="D1118">
        <v>5</v>
      </c>
      <c r="E1118" t="s">
        <v>12</v>
      </c>
      <c r="F1118" t="s">
        <v>15</v>
      </c>
      <c r="G1118">
        <v>9222.4</v>
      </c>
      <c r="H1118" s="11" t="str" cm="1">
        <f t="array" ref="H1118">_xlfn.IFS(Table1[[#This Row],[age]]&lt;=30,"Young Adults",Table1[[#This Row],[age]]&lt;=45,"Adults",Table1[[#This Row],[age]]&lt;=60,"Seniors",Table1[[#This Row],[age]]&gt;=61,"Elderly")</f>
        <v>Adults</v>
      </c>
    </row>
    <row r="1119" spans="1:8">
      <c r="A1119">
        <v>25</v>
      </c>
      <c r="B1119" t="s">
        <v>11</v>
      </c>
      <c r="C1119">
        <v>33.33</v>
      </c>
      <c r="D1119">
        <v>2</v>
      </c>
      <c r="E1119" t="s">
        <v>9</v>
      </c>
      <c r="F1119" t="s">
        <v>13</v>
      </c>
      <c r="G1119">
        <v>36124.57</v>
      </c>
      <c r="H1119" s="11" t="str" cm="1">
        <f t="array" ref="H1119">_xlfn.IFS(Table1[[#This Row],[age]]&lt;=30,"Young Adults",Table1[[#This Row],[age]]&lt;=45,"Adults",Table1[[#This Row],[age]]&lt;=60,"Seniors",Table1[[#This Row],[age]]&gt;=61,"Elderly")</f>
        <v>Young Adults</v>
      </c>
    </row>
    <row r="1120" spans="1:8">
      <c r="A1120">
        <v>33</v>
      </c>
      <c r="B1120" t="s">
        <v>11</v>
      </c>
      <c r="C1120">
        <v>35.75</v>
      </c>
      <c r="D1120">
        <v>1</v>
      </c>
      <c r="E1120" t="s">
        <v>9</v>
      </c>
      <c r="F1120" t="s">
        <v>13</v>
      </c>
      <c r="G1120">
        <v>38282.75</v>
      </c>
      <c r="H1120" s="11" t="str" cm="1">
        <f t="array" ref="H1120">_xlfn.IFS(Table1[[#This Row],[age]]&lt;=30,"Young Adults",Table1[[#This Row],[age]]&lt;=45,"Adults",Table1[[#This Row],[age]]&lt;=60,"Seniors",Table1[[#This Row],[age]]&gt;=61,"Elderly")</f>
        <v>Adults</v>
      </c>
    </row>
    <row r="1121" spans="1:8">
      <c r="A1121">
        <v>30</v>
      </c>
      <c r="B1121" t="s">
        <v>8</v>
      </c>
      <c r="C1121">
        <v>19.95</v>
      </c>
      <c r="D1121">
        <v>3</v>
      </c>
      <c r="E1121" t="s">
        <v>12</v>
      </c>
      <c r="F1121" t="s">
        <v>14</v>
      </c>
      <c r="G1121">
        <v>5693.43</v>
      </c>
      <c r="H1121" s="11" t="str" cm="1">
        <f t="array" ref="H1121">_xlfn.IFS(Table1[[#This Row],[age]]&lt;=30,"Young Adults",Table1[[#This Row],[age]]&lt;=45,"Adults",Table1[[#This Row],[age]]&lt;=60,"Seniors",Table1[[#This Row],[age]]&gt;=61,"Elderly")</f>
        <v>Young Adults</v>
      </c>
    </row>
    <row r="1122" spans="1:8">
      <c r="A1122">
        <v>23</v>
      </c>
      <c r="B1122" t="s">
        <v>8</v>
      </c>
      <c r="C1122">
        <v>31.4</v>
      </c>
      <c r="D1122">
        <v>0</v>
      </c>
      <c r="E1122" t="s">
        <v>9</v>
      </c>
      <c r="F1122" t="s">
        <v>10</v>
      </c>
      <c r="G1122">
        <v>34166.27</v>
      </c>
      <c r="H1122" s="11" t="str" cm="1">
        <f t="array" ref="H1122">_xlfn.IFS(Table1[[#This Row],[age]]&lt;=30,"Young Adults",Table1[[#This Row],[age]]&lt;=45,"Adults",Table1[[#This Row],[age]]&lt;=60,"Seniors",Table1[[#This Row],[age]]&gt;=61,"Elderly")</f>
        <v>Young Adults</v>
      </c>
    </row>
    <row r="1123" spans="1:8">
      <c r="A1123">
        <v>46</v>
      </c>
      <c r="B1123" t="s">
        <v>11</v>
      </c>
      <c r="C1123">
        <v>38.17</v>
      </c>
      <c r="D1123">
        <v>2</v>
      </c>
      <c r="E1123" t="s">
        <v>12</v>
      </c>
      <c r="F1123" t="s">
        <v>13</v>
      </c>
      <c r="G1123">
        <v>8347.16</v>
      </c>
      <c r="H1123" s="11" t="str" cm="1">
        <f t="array" ref="H1123">_xlfn.IFS(Table1[[#This Row],[age]]&lt;=30,"Young Adults",Table1[[#This Row],[age]]&lt;=45,"Adults",Table1[[#This Row],[age]]&lt;=60,"Seniors",Table1[[#This Row],[age]]&gt;=61,"Elderly")</f>
        <v>Seniors</v>
      </c>
    </row>
    <row r="1124" spans="1:8">
      <c r="A1124">
        <v>53</v>
      </c>
      <c r="B1124" t="s">
        <v>8</v>
      </c>
      <c r="C1124">
        <v>36.86</v>
      </c>
      <c r="D1124">
        <v>3</v>
      </c>
      <c r="E1124" t="s">
        <v>9</v>
      </c>
      <c r="F1124" t="s">
        <v>14</v>
      </c>
      <c r="G1124">
        <v>46661.44</v>
      </c>
      <c r="H1124" s="11" t="str" cm="1">
        <f t="array" ref="H1124">_xlfn.IFS(Table1[[#This Row],[age]]&lt;=30,"Young Adults",Table1[[#This Row],[age]]&lt;=45,"Adults",Table1[[#This Row],[age]]&lt;=60,"Seniors",Table1[[#This Row],[age]]&gt;=61,"Elderly")</f>
        <v>Seniors</v>
      </c>
    </row>
    <row r="1125" spans="1:8">
      <c r="A1125">
        <v>27</v>
      </c>
      <c r="B1125" t="s">
        <v>8</v>
      </c>
      <c r="C1125">
        <v>32.395</v>
      </c>
      <c r="D1125">
        <v>1</v>
      </c>
      <c r="E1125" t="s">
        <v>12</v>
      </c>
      <c r="F1125" t="s">
        <v>15</v>
      </c>
      <c r="G1125">
        <v>18903.49</v>
      </c>
      <c r="H1125" s="11" t="str" cm="1">
        <f t="array" ref="H1125">_xlfn.IFS(Table1[[#This Row],[age]]&lt;=30,"Young Adults",Table1[[#This Row],[age]]&lt;=45,"Adults",Table1[[#This Row],[age]]&lt;=60,"Seniors",Table1[[#This Row],[age]]&gt;=61,"Elderly")</f>
        <v>Young Adults</v>
      </c>
    </row>
    <row r="1126" spans="1:8">
      <c r="A1126">
        <v>23</v>
      </c>
      <c r="B1126" t="s">
        <v>8</v>
      </c>
      <c r="C1126">
        <v>42.75</v>
      </c>
      <c r="D1126">
        <v>1</v>
      </c>
      <c r="E1126" t="s">
        <v>9</v>
      </c>
      <c r="F1126" t="s">
        <v>15</v>
      </c>
      <c r="G1126">
        <v>40904.2</v>
      </c>
      <c r="H1126" s="11" t="str" cm="1">
        <f t="array" ref="H1126">_xlfn.IFS(Table1[[#This Row],[age]]&lt;=30,"Young Adults",Table1[[#This Row],[age]]&lt;=45,"Adults",Table1[[#This Row],[age]]&lt;=60,"Seniors",Table1[[#This Row],[age]]&gt;=61,"Elderly")</f>
        <v>Young Adults</v>
      </c>
    </row>
    <row r="1127" spans="1:8">
      <c r="A1127">
        <v>63</v>
      </c>
      <c r="B1127" t="s">
        <v>8</v>
      </c>
      <c r="C1127">
        <v>25.08</v>
      </c>
      <c r="D1127">
        <v>0</v>
      </c>
      <c r="E1127" t="s">
        <v>12</v>
      </c>
      <c r="F1127" t="s">
        <v>14</v>
      </c>
      <c r="G1127">
        <v>14254.61</v>
      </c>
      <c r="H1127" s="11" t="str" cm="1">
        <f t="array" ref="H1127">_xlfn.IFS(Table1[[#This Row],[age]]&lt;=30,"Young Adults",Table1[[#This Row],[age]]&lt;=45,"Adults",Table1[[#This Row],[age]]&lt;=60,"Seniors",Table1[[#This Row],[age]]&gt;=61,"Elderly")</f>
        <v>Elderly</v>
      </c>
    </row>
    <row r="1128" spans="1:8">
      <c r="A1128">
        <v>55</v>
      </c>
      <c r="B1128" t="s">
        <v>11</v>
      </c>
      <c r="C1128">
        <v>29.9</v>
      </c>
      <c r="D1128">
        <v>0</v>
      </c>
      <c r="E1128" t="s">
        <v>12</v>
      </c>
      <c r="F1128" t="s">
        <v>10</v>
      </c>
      <c r="G1128">
        <v>10214.64</v>
      </c>
      <c r="H1128" s="11" t="str" cm="1">
        <f t="array" ref="H1128">_xlfn.IFS(Table1[[#This Row],[age]]&lt;=30,"Young Adults",Table1[[#This Row],[age]]&lt;=45,"Adults",Table1[[#This Row],[age]]&lt;=60,"Seniors",Table1[[#This Row],[age]]&gt;=61,"Elderly")</f>
        <v>Seniors</v>
      </c>
    </row>
    <row r="1129" spans="1:8">
      <c r="A1129">
        <v>35</v>
      </c>
      <c r="B1129" t="s">
        <v>8</v>
      </c>
      <c r="C1129">
        <v>35.86</v>
      </c>
      <c r="D1129">
        <v>2</v>
      </c>
      <c r="E1129" t="s">
        <v>12</v>
      </c>
      <c r="F1129" t="s">
        <v>13</v>
      </c>
      <c r="G1129">
        <v>5836.52</v>
      </c>
      <c r="H1129" s="11" t="str" cm="1">
        <f t="array" ref="H1129">_xlfn.IFS(Table1[[#This Row],[age]]&lt;=30,"Young Adults",Table1[[#This Row],[age]]&lt;=45,"Adults",Table1[[#This Row],[age]]&lt;=60,"Seniors",Table1[[#This Row],[age]]&gt;=61,"Elderly")</f>
        <v>Adults</v>
      </c>
    </row>
    <row r="1130" spans="1:8">
      <c r="A1130">
        <v>34</v>
      </c>
      <c r="B1130" t="s">
        <v>11</v>
      </c>
      <c r="C1130">
        <v>32.8</v>
      </c>
      <c r="D1130">
        <v>1</v>
      </c>
      <c r="E1130" t="s">
        <v>12</v>
      </c>
      <c r="F1130" t="s">
        <v>10</v>
      </c>
      <c r="G1130">
        <v>14358.36</v>
      </c>
      <c r="H1130" s="11" t="str" cm="1">
        <f t="array" ref="H1130">_xlfn.IFS(Table1[[#This Row],[age]]&lt;=30,"Young Adults",Table1[[#This Row],[age]]&lt;=45,"Adults",Table1[[#This Row],[age]]&lt;=60,"Seniors",Table1[[#This Row],[age]]&gt;=61,"Elderly")</f>
        <v>Adults</v>
      </c>
    </row>
    <row r="1131" spans="1:8">
      <c r="A1131">
        <v>19</v>
      </c>
      <c r="B1131" t="s">
        <v>8</v>
      </c>
      <c r="C1131">
        <v>18.6</v>
      </c>
      <c r="D1131">
        <v>0</v>
      </c>
      <c r="E1131" t="s">
        <v>12</v>
      </c>
      <c r="F1131" t="s">
        <v>10</v>
      </c>
      <c r="G1131">
        <v>1728.9</v>
      </c>
      <c r="H1131" s="11" t="str" cm="1">
        <f t="array" ref="H1131">_xlfn.IFS(Table1[[#This Row],[age]]&lt;=30,"Young Adults",Table1[[#This Row],[age]]&lt;=45,"Adults",Table1[[#This Row],[age]]&lt;=60,"Seniors",Table1[[#This Row],[age]]&gt;=61,"Elderly")</f>
        <v>Young Adults</v>
      </c>
    </row>
    <row r="1132" spans="1:8">
      <c r="A1132">
        <v>39</v>
      </c>
      <c r="B1132" t="s">
        <v>8</v>
      </c>
      <c r="C1132">
        <v>23.87</v>
      </c>
      <c r="D1132">
        <v>5</v>
      </c>
      <c r="E1132" t="s">
        <v>12</v>
      </c>
      <c r="F1132" t="s">
        <v>13</v>
      </c>
      <c r="G1132">
        <v>8582.3</v>
      </c>
      <c r="H1132" s="11" t="str" cm="1">
        <f t="array" ref="H1132">_xlfn.IFS(Table1[[#This Row],[age]]&lt;=30,"Young Adults",Table1[[#This Row],[age]]&lt;=45,"Adults",Table1[[#This Row],[age]]&lt;=60,"Seniors",Table1[[#This Row],[age]]&gt;=61,"Elderly")</f>
        <v>Adults</v>
      </c>
    </row>
    <row r="1133" spans="1:8">
      <c r="A1133">
        <v>27</v>
      </c>
      <c r="B1133" t="s">
        <v>11</v>
      </c>
      <c r="C1133">
        <v>45.9</v>
      </c>
      <c r="D1133">
        <v>2</v>
      </c>
      <c r="E1133" t="s">
        <v>12</v>
      </c>
      <c r="F1133" t="s">
        <v>10</v>
      </c>
      <c r="G1133">
        <v>3693.43</v>
      </c>
      <c r="H1133" s="11" t="str" cm="1">
        <f t="array" ref="H1133">_xlfn.IFS(Table1[[#This Row],[age]]&lt;=30,"Young Adults",Table1[[#This Row],[age]]&lt;=45,"Adults",Table1[[#This Row],[age]]&lt;=60,"Seniors",Table1[[#This Row],[age]]&gt;=61,"Elderly")</f>
        <v>Young Adults</v>
      </c>
    </row>
    <row r="1134" spans="1:8">
      <c r="A1134">
        <v>57</v>
      </c>
      <c r="B1134" t="s">
        <v>11</v>
      </c>
      <c r="C1134">
        <v>40.28</v>
      </c>
      <c r="D1134">
        <v>0</v>
      </c>
      <c r="E1134" t="s">
        <v>12</v>
      </c>
      <c r="F1134" t="s">
        <v>15</v>
      </c>
      <c r="G1134">
        <v>20709.02</v>
      </c>
      <c r="H1134" s="11" t="str" cm="1">
        <f t="array" ref="H1134">_xlfn.IFS(Table1[[#This Row],[age]]&lt;=30,"Young Adults",Table1[[#This Row],[age]]&lt;=45,"Adults",Table1[[#This Row],[age]]&lt;=60,"Seniors",Table1[[#This Row],[age]]&gt;=61,"Elderly")</f>
        <v>Seniors</v>
      </c>
    </row>
    <row r="1135" spans="1:8">
      <c r="A1135">
        <v>52</v>
      </c>
      <c r="B1135" t="s">
        <v>8</v>
      </c>
      <c r="C1135">
        <v>18.335</v>
      </c>
      <c r="D1135">
        <v>0</v>
      </c>
      <c r="E1135" t="s">
        <v>12</v>
      </c>
      <c r="F1135" t="s">
        <v>14</v>
      </c>
      <c r="G1135">
        <v>9991.04</v>
      </c>
      <c r="H1135" s="11" t="str" cm="1">
        <f t="array" ref="H1135">_xlfn.IFS(Table1[[#This Row],[age]]&lt;=30,"Young Adults",Table1[[#This Row],[age]]&lt;=45,"Adults",Table1[[#This Row],[age]]&lt;=60,"Seniors",Table1[[#This Row],[age]]&gt;=61,"Elderly")</f>
        <v>Seniors</v>
      </c>
    </row>
    <row r="1136" spans="1:8">
      <c r="A1136">
        <v>28</v>
      </c>
      <c r="B1136" t="s">
        <v>11</v>
      </c>
      <c r="C1136">
        <v>33.82</v>
      </c>
      <c r="D1136">
        <v>0</v>
      </c>
      <c r="E1136" t="s">
        <v>12</v>
      </c>
      <c r="F1136" t="s">
        <v>14</v>
      </c>
      <c r="G1136">
        <v>19673.34</v>
      </c>
      <c r="H1136" s="11" t="str" cm="1">
        <f t="array" ref="H1136">_xlfn.IFS(Table1[[#This Row],[age]]&lt;=30,"Young Adults",Table1[[#This Row],[age]]&lt;=45,"Adults",Table1[[#This Row],[age]]&lt;=60,"Seniors",Table1[[#This Row],[age]]&gt;=61,"Elderly")</f>
        <v>Young Adults</v>
      </c>
    </row>
    <row r="1137" spans="1:8">
      <c r="A1137">
        <v>50</v>
      </c>
      <c r="B1137" t="s">
        <v>8</v>
      </c>
      <c r="C1137">
        <v>28.12</v>
      </c>
      <c r="D1137">
        <v>3</v>
      </c>
      <c r="E1137" t="s">
        <v>12</v>
      </c>
      <c r="F1137" t="s">
        <v>14</v>
      </c>
      <c r="G1137">
        <v>11085.59</v>
      </c>
      <c r="H1137" s="11" t="str" cm="1">
        <f t="array" ref="H1137">_xlfn.IFS(Table1[[#This Row],[age]]&lt;=30,"Young Adults",Table1[[#This Row],[age]]&lt;=45,"Adults",Table1[[#This Row],[age]]&lt;=60,"Seniors",Table1[[#This Row],[age]]&gt;=61,"Elderly")</f>
        <v>Seniors</v>
      </c>
    </row>
    <row r="1138" spans="1:8">
      <c r="A1138">
        <v>44</v>
      </c>
      <c r="B1138" t="s">
        <v>8</v>
      </c>
      <c r="C1138">
        <v>25</v>
      </c>
      <c r="D1138">
        <v>1</v>
      </c>
      <c r="E1138" t="s">
        <v>12</v>
      </c>
      <c r="F1138" t="s">
        <v>10</v>
      </c>
      <c r="G1138">
        <v>7623.52</v>
      </c>
      <c r="H1138" s="11" t="str" cm="1">
        <f t="array" ref="H1138">_xlfn.IFS(Table1[[#This Row],[age]]&lt;=30,"Young Adults",Table1[[#This Row],[age]]&lt;=45,"Adults",Table1[[#This Row],[age]]&lt;=60,"Seniors",Table1[[#This Row],[age]]&gt;=61,"Elderly")</f>
        <v>Adults</v>
      </c>
    </row>
    <row r="1139" spans="1:8">
      <c r="A1139">
        <v>26</v>
      </c>
      <c r="B1139" t="s">
        <v>8</v>
      </c>
      <c r="C1139">
        <v>22.23</v>
      </c>
      <c r="D1139">
        <v>0</v>
      </c>
      <c r="E1139" t="s">
        <v>12</v>
      </c>
      <c r="F1139" t="s">
        <v>14</v>
      </c>
      <c r="G1139">
        <v>3176.29</v>
      </c>
      <c r="H1139" s="11" t="str" cm="1">
        <f t="array" ref="H1139">_xlfn.IFS(Table1[[#This Row],[age]]&lt;=30,"Young Adults",Table1[[#This Row],[age]]&lt;=45,"Adults",Table1[[#This Row],[age]]&lt;=60,"Seniors",Table1[[#This Row],[age]]&gt;=61,"Elderly")</f>
        <v>Young Adults</v>
      </c>
    </row>
    <row r="1140" spans="1:8">
      <c r="A1140">
        <v>33</v>
      </c>
      <c r="B1140" t="s">
        <v>11</v>
      </c>
      <c r="C1140">
        <v>30.25</v>
      </c>
      <c r="D1140">
        <v>0</v>
      </c>
      <c r="E1140" t="s">
        <v>12</v>
      </c>
      <c r="F1140" t="s">
        <v>13</v>
      </c>
      <c r="G1140">
        <v>3704.35</v>
      </c>
      <c r="H1140" s="11" t="str" cm="1">
        <f t="array" ref="H1140">_xlfn.IFS(Table1[[#This Row],[age]]&lt;=30,"Young Adults",Table1[[#This Row],[age]]&lt;=45,"Adults",Table1[[#This Row],[age]]&lt;=60,"Seniors",Table1[[#This Row],[age]]&gt;=61,"Elderly")</f>
        <v>Adults</v>
      </c>
    </row>
    <row r="1141" spans="1:8">
      <c r="A1141">
        <v>19</v>
      </c>
      <c r="B1141" t="s">
        <v>8</v>
      </c>
      <c r="C1141">
        <v>32.49</v>
      </c>
      <c r="D1141">
        <v>0</v>
      </c>
      <c r="E1141" t="s">
        <v>9</v>
      </c>
      <c r="F1141" t="s">
        <v>14</v>
      </c>
      <c r="G1141">
        <v>36898.73</v>
      </c>
      <c r="H1141" s="11" t="str" cm="1">
        <f t="array" ref="H1141">_xlfn.IFS(Table1[[#This Row],[age]]&lt;=30,"Young Adults",Table1[[#This Row],[age]]&lt;=45,"Adults",Table1[[#This Row],[age]]&lt;=60,"Seniors",Table1[[#This Row],[age]]&gt;=61,"Elderly")</f>
        <v>Young Adults</v>
      </c>
    </row>
    <row r="1142" spans="1:8">
      <c r="A1142">
        <v>50</v>
      </c>
      <c r="B1142" t="s">
        <v>11</v>
      </c>
      <c r="C1142">
        <v>37.07</v>
      </c>
      <c r="D1142">
        <v>1</v>
      </c>
      <c r="E1142" t="s">
        <v>12</v>
      </c>
      <c r="F1142" t="s">
        <v>13</v>
      </c>
      <c r="G1142">
        <v>9048.03</v>
      </c>
      <c r="H1142" s="11" t="str" cm="1">
        <f t="array" ref="H1142">_xlfn.IFS(Table1[[#This Row],[age]]&lt;=30,"Young Adults",Table1[[#This Row],[age]]&lt;=45,"Adults",Table1[[#This Row],[age]]&lt;=60,"Seniors",Table1[[#This Row],[age]]&gt;=61,"Elderly")</f>
        <v>Seniors</v>
      </c>
    </row>
    <row r="1143" spans="1:8">
      <c r="A1143">
        <v>41</v>
      </c>
      <c r="B1143" t="s">
        <v>8</v>
      </c>
      <c r="C1143">
        <v>32.6</v>
      </c>
      <c r="D1143">
        <v>3</v>
      </c>
      <c r="E1143" t="s">
        <v>12</v>
      </c>
      <c r="F1143" t="s">
        <v>10</v>
      </c>
      <c r="G1143">
        <v>7954.52</v>
      </c>
      <c r="H1143" s="11" t="str" cm="1">
        <f t="array" ref="H1143">_xlfn.IFS(Table1[[#This Row],[age]]&lt;=30,"Young Adults",Table1[[#This Row],[age]]&lt;=45,"Adults",Table1[[#This Row],[age]]&lt;=60,"Seniors",Table1[[#This Row],[age]]&gt;=61,"Elderly")</f>
        <v>Adults</v>
      </c>
    </row>
    <row r="1144" spans="1:8">
      <c r="A1144">
        <v>52</v>
      </c>
      <c r="B1144" t="s">
        <v>8</v>
      </c>
      <c r="C1144">
        <v>24.86</v>
      </c>
      <c r="D1144">
        <v>0</v>
      </c>
      <c r="E1144" t="s">
        <v>12</v>
      </c>
      <c r="F1144" t="s">
        <v>13</v>
      </c>
      <c r="G1144">
        <v>27117.99</v>
      </c>
      <c r="H1144" s="11" t="str" cm="1">
        <f t="array" ref="H1144">_xlfn.IFS(Table1[[#This Row],[age]]&lt;=30,"Young Adults",Table1[[#This Row],[age]]&lt;=45,"Adults",Table1[[#This Row],[age]]&lt;=60,"Seniors",Table1[[#This Row],[age]]&gt;=61,"Elderly")</f>
        <v>Seniors</v>
      </c>
    </row>
    <row r="1145" spans="1:8">
      <c r="A1145">
        <v>39</v>
      </c>
      <c r="B1145" t="s">
        <v>11</v>
      </c>
      <c r="C1145">
        <v>32.34</v>
      </c>
      <c r="D1145">
        <v>2</v>
      </c>
      <c r="E1145" t="s">
        <v>12</v>
      </c>
      <c r="F1145" t="s">
        <v>13</v>
      </c>
      <c r="G1145">
        <v>6338.08</v>
      </c>
      <c r="H1145" s="11" t="str" cm="1">
        <f t="array" ref="H1145">_xlfn.IFS(Table1[[#This Row],[age]]&lt;=30,"Young Adults",Table1[[#This Row],[age]]&lt;=45,"Adults",Table1[[#This Row],[age]]&lt;=60,"Seniors",Table1[[#This Row],[age]]&gt;=61,"Elderly")</f>
        <v>Adults</v>
      </c>
    </row>
    <row r="1146" spans="1:8">
      <c r="A1146">
        <v>50</v>
      </c>
      <c r="B1146" t="s">
        <v>11</v>
      </c>
      <c r="C1146">
        <v>32.3</v>
      </c>
      <c r="D1146">
        <v>2</v>
      </c>
      <c r="E1146" t="s">
        <v>12</v>
      </c>
      <c r="F1146" t="s">
        <v>10</v>
      </c>
      <c r="G1146">
        <v>9630.4</v>
      </c>
      <c r="H1146" s="11" t="str" cm="1">
        <f t="array" ref="H1146">_xlfn.IFS(Table1[[#This Row],[age]]&lt;=30,"Young Adults",Table1[[#This Row],[age]]&lt;=45,"Adults",Table1[[#This Row],[age]]&lt;=60,"Seniors",Table1[[#This Row],[age]]&gt;=61,"Elderly")</f>
        <v>Seniors</v>
      </c>
    </row>
    <row r="1147" spans="1:8">
      <c r="A1147">
        <v>52</v>
      </c>
      <c r="B1147" t="s">
        <v>11</v>
      </c>
      <c r="C1147">
        <v>32.775</v>
      </c>
      <c r="D1147">
        <v>3</v>
      </c>
      <c r="E1147" t="s">
        <v>12</v>
      </c>
      <c r="F1147" t="s">
        <v>14</v>
      </c>
      <c r="G1147">
        <v>11289.11</v>
      </c>
      <c r="H1147" s="11" t="str" cm="1">
        <f t="array" ref="H1147">_xlfn.IFS(Table1[[#This Row],[age]]&lt;=30,"Young Adults",Table1[[#This Row],[age]]&lt;=45,"Adults",Table1[[#This Row],[age]]&lt;=60,"Seniors",Table1[[#This Row],[age]]&gt;=61,"Elderly")</f>
        <v>Seniors</v>
      </c>
    </row>
    <row r="1148" spans="1:8">
      <c r="A1148">
        <v>60</v>
      </c>
      <c r="B1148" t="s">
        <v>11</v>
      </c>
      <c r="C1148">
        <v>32.8</v>
      </c>
      <c r="D1148">
        <v>0</v>
      </c>
      <c r="E1148" t="s">
        <v>9</v>
      </c>
      <c r="F1148" t="s">
        <v>10</v>
      </c>
      <c r="G1148">
        <v>52590.83</v>
      </c>
      <c r="H1148" s="11" t="str" cm="1">
        <f t="array" ref="H1148">_xlfn.IFS(Table1[[#This Row],[age]]&lt;=30,"Young Adults",Table1[[#This Row],[age]]&lt;=45,"Adults",Table1[[#This Row],[age]]&lt;=60,"Seniors",Table1[[#This Row],[age]]&gt;=61,"Elderly")</f>
        <v>Seniors</v>
      </c>
    </row>
    <row r="1149" spans="1:8">
      <c r="A1149">
        <v>20</v>
      </c>
      <c r="B1149" t="s">
        <v>8</v>
      </c>
      <c r="C1149">
        <v>31.92</v>
      </c>
      <c r="D1149">
        <v>0</v>
      </c>
      <c r="E1149" t="s">
        <v>12</v>
      </c>
      <c r="F1149" t="s">
        <v>14</v>
      </c>
      <c r="G1149">
        <v>2261.57</v>
      </c>
      <c r="H1149" s="11" t="str" cm="1">
        <f t="array" ref="H1149">_xlfn.IFS(Table1[[#This Row],[age]]&lt;=30,"Young Adults",Table1[[#This Row],[age]]&lt;=45,"Adults",Table1[[#This Row],[age]]&lt;=60,"Seniors",Table1[[#This Row],[age]]&gt;=61,"Elderly")</f>
        <v>Young Adults</v>
      </c>
    </row>
    <row r="1150" spans="1:8">
      <c r="A1150">
        <v>55</v>
      </c>
      <c r="B1150" t="s">
        <v>11</v>
      </c>
      <c r="C1150">
        <v>21.5</v>
      </c>
      <c r="D1150">
        <v>1</v>
      </c>
      <c r="E1150" t="s">
        <v>12</v>
      </c>
      <c r="F1150" t="s">
        <v>10</v>
      </c>
      <c r="G1150">
        <v>10791.96</v>
      </c>
      <c r="H1150" s="11" t="str" cm="1">
        <f t="array" ref="H1150">_xlfn.IFS(Table1[[#This Row],[age]]&lt;=30,"Young Adults",Table1[[#This Row],[age]]&lt;=45,"Adults",Table1[[#This Row],[age]]&lt;=60,"Seniors",Table1[[#This Row],[age]]&gt;=61,"Elderly")</f>
        <v>Seniors</v>
      </c>
    </row>
    <row r="1151" spans="1:8">
      <c r="A1151">
        <v>42</v>
      </c>
      <c r="B1151" t="s">
        <v>11</v>
      </c>
      <c r="C1151">
        <v>34.1</v>
      </c>
      <c r="D1151">
        <v>0</v>
      </c>
      <c r="E1151" t="s">
        <v>12</v>
      </c>
      <c r="F1151" t="s">
        <v>10</v>
      </c>
      <c r="G1151">
        <v>5979.73</v>
      </c>
      <c r="H1151" s="11" t="str" cm="1">
        <f t="array" ref="H1151">_xlfn.IFS(Table1[[#This Row],[age]]&lt;=30,"Young Adults",Table1[[#This Row],[age]]&lt;=45,"Adults",Table1[[#This Row],[age]]&lt;=60,"Seniors",Table1[[#This Row],[age]]&gt;=61,"Elderly")</f>
        <v>Adults</v>
      </c>
    </row>
    <row r="1152" spans="1:8">
      <c r="A1152">
        <v>18</v>
      </c>
      <c r="B1152" t="s">
        <v>8</v>
      </c>
      <c r="C1152">
        <v>30.305</v>
      </c>
      <c r="D1152">
        <v>0</v>
      </c>
      <c r="E1152" t="s">
        <v>12</v>
      </c>
      <c r="F1152" t="s">
        <v>15</v>
      </c>
      <c r="G1152">
        <v>2203.74</v>
      </c>
      <c r="H1152" s="11" t="str" cm="1">
        <f t="array" ref="H1152">_xlfn.IFS(Table1[[#This Row],[age]]&lt;=30,"Young Adults",Table1[[#This Row],[age]]&lt;=45,"Adults",Table1[[#This Row],[age]]&lt;=60,"Seniors",Table1[[#This Row],[age]]&gt;=61,"Elderly")</f>
        <v>Young Adults</v>
      </c>
    </row>
    <row r="1153" spans="1:8">
      <c r="A1153">
        <v>58</v>
      </c>
      <c r="B1153" t="s">
        <v>8</v>
      </c>
      <c r="C1153">
        <v>36.48</v>
      </c>
      <c r="D1153">
        <v>0</v>
      </c>
      <c r="E1153" t="s">
        <v>12</v>
      </c>
      <c r="F1153" t="s">
        <v>14</v>
      </c>
      <c r="G1153">
        <v>12235.84</v>
      </c>
      <c r="H1153" s="11" t="str" cm="1">
        <f t="array" ref="H1153">_xlfn.IFS(Table1[[#This Row],[age]]&lt;=30,"Young Adults",Table1[[#This Row],[age]]&lt;=45,"Adults",Table1[[#This Row],[age]]&lt;=60,"Seniors",Table1[[#This Row],[age]]&gt;=61,"Elderly")</f>
        <v>Seniors</v>
      </c>
    </row>
    <row r="1154" spans="1:8">
      <c r="A1154">
        <v>43</v>
      </c>
      <c r="B1154" t="s">
        <v>8</v>
      </c>
      <c r="C1154">
        <v>32.56</v>
      </c>
      <c r="D1154">
        <v>3</v>
      </c>
      <c r="E1154" t="s">
        <v>9</v>
      </c>
      <c r="F1154" t="s">
        <v>13</v>
      </c>
      <c r="G1154">
        <v>40941.29</v>
      </c>
      <c r="H1154" s="11" t="str" cm="1">
        <f t="array" ref="H1154">_xlfn.IFS(Table1[[#This Row],[age]]&lt;=30,"Young Adults",Table1[[#This Row],[age]]&lt;=45,"Adults",Table1[[#This Row],[age]]&lt;=60,"Seniors",Table1[[#This Row],[age]]&gt;=61,"Elderly")</f>
        <v>Adults</v>
      </c>
    </row>
    <row r="1155" spans="1:8">
      <c r="A1155">
        <v>35</v>
      </c>
      <c r="B1155" t="s">
        <v>8</v>
      </c>
      <c r="C1155">
        <v>35.815</v>
      </c>
      <c r="D1155">
        <v>1</v>
      </c>
      <c r="E1155" t="s">
        <v>12</v>
      </c>
      <c r="F1155" t="s">
        <v>14</v>
      </c>
      <c r="G1155">
        <v>5630.46</v>
      </c>
      <c r="H1155" s="11" t="str" cm="1">
        <f t="array" ref="H1155">_xlfn.IFS(Table1[[#This Row],[age]]&lt;=30,"Young Adults",Table1[[#This Row],[age]]&lt;=45,"Adults",Table1[[#This Row],[age]]&lt;=60,"Seniors",Table1[[#This Row],[age]]&gt;=61,"Elderly")</f>
        <v>Adults</v>
      </c>
    </row>
    <row r="1156" spans="1:8">
      <c r="A1156">
        <v>48</v>
      </c>
      <c r="B1156" t="s">
        <v>8</v>
      </c>
      <c r="C1156">
        <v>27.93</v>
      </c>
      <c r="D1156">
        <v>4</v>
      </c>
      <c r="E1156" t="s">
        <v>12</v>
      </c>
      <c r="F1156" t="s">
        <v>14</v>
      </c>
      <c r="G1156">
        <v>11015.17</v>
      </c>
      <c r="H1156" s="11" t="str" cm="1">
        <f t="array" ref="H1156">_xlfn.IFS(Table1[[#This Row],[age]]&lt;=30,"Young Adults",Table1[[#This Row],[age]]&lt;=45,"Adults",Table1[[#This Row],[age]]&lt;=60,"Seniors",Table1[[#This Row],[age]]&gt;=61,"Elderly")</f>
        <v>Seniors</v>
      </c>
    </row>
    <row r="1157" spans="1:8">
      <c r="A1157">
        <v>36</v>
      </c>
      <c r="B1157" t="s">
        <v>8</v>
      </c>
      <c r="C1157">
        <v>22.135</v>
      </c>
      <c r="D1157">
        <v>3</v>
      </c>
      <c r="E1157" t="s">
        <v>12</v>
      </c>
      <c r="F1157" t="s">
        <v>15</v>
      </c>
      <c r="G1157">
        <v>7228.22</v>
      </c>
      <c r="H1157" s="11" t="str" cm="1">
        <f t="array" ref="H1157">_xlfn.IFS(Table1[[#This Row],[age]]&lt;=30,"Young Adults",Table1[[#This Row],[age]]&lt;=45,"Adults",Table1[[#This Row],[age]]&lt;=60,"Seniors",Table1[[#This Row],[age]]&gt;=61,"Elderly")</f>
        <v>Adults</v>
      </c>
    </row>
    <row r="1158" spans="1:8">
      <c r="A1158">
        <v>19</v>
      </c>
      <c r="B1158" t="s">
        <v>11</v>
      </c>
      <c r="C1158">
        <v>44.88</v>
      </c>
      <c r="D1158">
        <v>0</v>
      </c>
      <c r="E1158" t="s">
        <v>9</v>
      </c>
      <c r="F1158" t="s">
        <v>13</v>
      </c>
      <c r="G1158">
        <v>39722.75</v>
      </c>
      <c r="H1158" s="11" t="str" cm="1">
        <f t="array" ref="H1158">_xlfn.IFS(Table1[[#This Row],[age]]&lt;=30,"Young Adults",Table1[[#This Row],[age]]&lt;=45,"Adults",Table1[[#This Row],[age]]&lt;=60,"Seniors",Table1[[#This Row],[age]]&gt;=61,"Elderly")</f>
        <v>Young Adults</v>
      </c>
    </row>
    <row r="1159" spans="1:8">
      <c r="A1159">
        <v>23</v>
      </c>
      <c r="B1159" t="s">
        <v>8</v>
      </c>
      <c r="C1159">
        <v>23.18</v>
      </c>
      <c r="D1159">
        <v>2</v>
      </c>
      <c r="E1159" t="s">
        <v>12</v>
      </c>
      <c r="F1159" t="s">
        <v>14</v>
      </c>
      <c r="G1159">
        <v>14426.07</v>
      </c>
      <c r="H1159" s="11" t="str" cm="1">
        <f t="array" ref="H1159">_xlfn.IFS(Table1[[#This Row],[age]]&lt;=30,"Young Adults",Table1[[#This Row],[age]]&lt;=45,"Adults",Table1[[#This Row],[age]]&lt;=60,"Seniors",Table1[[#This Row],[age]]&gt;=61,"Elderly")</f>
        <v>Young Adults</v>
      </c>
    </row>
    <row r="1160" spans="1:8">
      <c r="A1160">
        <v>20</v>
      </c>
      <c r="B1160" t="s">
        <v>8</v>
      </c>
      <c r="C1160">
        <v>30.59</v>
      </c>
      <c r="D1160">
        <v>0</v>
      </c>
      <c r="E1160" t="s">
        <v>12</v>
      </c>
      <c r="F1160" t="s">
        <v>15</v>
      </c>
      <c r="G1160">
        <v>2459.72</v>
      </c>
      <c r="H1160" s="11" t="str" cm="1">
        <f t="array" ref="H1160">_xlfn.IFS(Table1[[#This Row],[age]]&lt;=30,"Young Adults",Table1[[#This Row],[age]]&lt;=45,"Adults",Table1[[#This Row],[age]]&lt;=60,"Seniors",Table1[[#This Row],[age]]&gt;=61,"Elderly")</f>
        <v>Young Adults</v>
      </c>
    </row>
    <row r="1161" spans="1:8">
      <c r="A1161">
        <v>32</v>
      </c>
      <c r="B1161" t="s">
        <v>8</v>
      </c>
      <c r="C1161">
        <v>41.1</v>
      </c>
      <c r="D1161">
        <v>0</v>
      </c>
      <c r="E1161" t="s">
        <v>12</v>
      </c>
      <c r="F1161" t="s">
        <v>10</v>
      </c>
      <c r="G1161">
        <v>3989.84</v>
      </c>
      <c r="H1161" s="11" t="str" cm="1">
        <f t="array" ref="H1161">_xlfn.IFS(Table1[[#This Row],[age]]&lt;=30,"Young Adults",Table1[[#This Row],[age]]&lt;=45,"Adults",Table1[[#This Row],[age]]&lt;=60,"Seniors",Table1[[#This Row],[age]]&gt;=61,"Elderly")</f>
        <v>Adults</v>
      </c>
    </row>
    <row r="1162" spans="1:8">
      <c r="A1162">
        <v>43</v>
      </c>
      <c r="B1162" t="s">
        <v>8</v>
      </c>
      <c r="C1162">
        <v>34.58</v>
      </c>
      <c r="D1162">
        <v>1</v>
      </c>
      <c r="E1162" t="s">
        <v>12</v>
      </c>
      <c r="F1162" t="s">
        <v>14</v>
      </c>
      <c r="G1162">
        <v>7727.25</v>
      </c>
      <c r="H1162" s="11" t="str" cm="1">
        <f t="array" ref="H1162">_xlfn.IFS(Table1[[#This Row],[age]]&lt;=30,"Young Adults",Table1[[#This Row],[age]]&lt;=45,"Adults",Table1[[#This Row],[age]]&lt;=60,"Seniors",Table1[[#This Row],[age]]&gt;=61,"Elderly")</f>
        <v>Adults</v>
      </c>
    </row>
    <row r="1163" spans="1:8">
      <c r="A1163">
        <v>34</v>
      </c>
      <c r="B1163" t="s">
        <v>11</v>
      </c>
      <c r="C1163">
        <v>42.13</v>
      </c>
      <c r="D1163">
        <v>2</v>
      </c>
      <c r="E1163" t="s">
        <v>12</v>
      </c>
      <c r="F1163" t="s">
        <v>13</v>
      </c>
      <c r="G1163">
        <v>5124.19</v>
      </c>
      <c r="H1163" s="11" t="str" cm="1">
        <f t="array" ref="H1163">_xlfn.IFS(Table1[[#This Row],[age]]&lt;=30,"Young Adults",Table1[[#This Row],[age]]&lt;=45,"Adults",Table1[[#This Row],[age]]&lt;=60,"Seniors",Table1[[#This Row],[age]]&gt;=61,"Elderly")</f>
        <v>Adults</v>
      </c>
    </row>
    <row r="1164" spans="1:8">
      <c r="A1164">
        <v>30</v>
      </c>
      <c r="B1164" t="s">
        <v>11</v>
      </c>
      <c r="C1164">
        <v>38.83</v>
      </c>
      <c r="D1164">
        <v>1</v>
      </c>
      <c r="E1164" t="s">
        <v>12</v>
      </c>
      <c r="F1164" t="s">
        <v>13</v>
      </c>
      <c r="G1164">
        <v>18963.17</v>
      </c>
      <c r="H1164" s="11" t="str" cm="1">
        <f t="array" ref="H1164">_xlfn.IFS(Table1[[#This Row],[age]]&lt;=30,"Young Adults",Table1[[#This Row],[age]]&lt;=45,"Adults",Table1[[#This Row],[age]]&lt;=60,"Seniors",Table1[[#This Row],[age]]&gt;=61,"Elderly")</f>
        <v>Young Adults</v>
      </c>
    </row>
    <row r="1165" spans="1:8">
      <c r="A1165">
        <v>18</v>
      </c>
      <c r="B1165" t="s">
        <v>8</v>
      </c>
      <c r="C1165">
        <v>28.215</v>
      </c>
      <c r="D1165">
        <v>0</v>
      </c>
      <c r="E1165" t="s">
        <v>12</v>
      </c>
      <c r="F1165" t="s">
        <v>15</v>
      </c>
      <c r="G1165">
        <v>2200.83</v>
      </c>
      <c r="H1165" s="11" t="str" cm="1">
        <f t="array" ref="H1165">_xlfn.IFS(Table1[[#This Row],[age]]&lt;=30,"Young Adults",Table1[[#This Row],[age]]&lt;=45,"Adults",Table1[[#This Row],[age]]&lt;=60,"Seniors",Table1[[#This Row],[age]]&gt;=61,"Elderly")</f>
        <v>Young Adults</v>
      </c>
    </row>
    <row r="1166" spans="1:8">
      <c r="A1166">
        <v>41</v>
      </c>
      <c r="B1166" t="s">
        <v>8</v>
      </c>
      <c r="C1166">
        <v>28.31</v>
      </c>
      <c r="D1166">
        <v>1</v>
      </c>
      <c r="E1166" t="s">
        <v>12</v>
      </c>
      <c r="F1166" t="s">
        <v>14</v>
      </c>
      <c r="G1166">
        <v>7153.55</v>
      </c>
      <c r="H1166" s="11" t="str" cm="1">
        <f t="array" ref="H1166">_xlfn.IFS(Table1[[#This Row],[age]]&lt;=30,"Young Adults",Table1[[#This Row],[age]]&lt;=45,"Adults",Table1[[#This Row],[age]]&lt;=60,"Seniors",Table1[[#This Row],[age]]&gt;=61,"Elderly")</f>
        <v>Adults</v>
      </c>
    </row>
    <row r="1167" spans="1:8">
      <c r="A1167">
        <v>35</v>
      </c>
      <c r="B1167" t="s">
        <v>8</v>
      </c>
      <c r="C1167">
        <v>26.125</v>
      </c>
      <c r="D1167">
        <v>0</v>
      </c>
      <c r="E1167" t="s">
        <v>12</v>
      </c>
      <c r="F1167" t="s">
        <v>15</v>
      </c>
      <c r="G1167">
        <v>5227.99</v>
      </c>
      <c r="H1167" s="11" t="str" cm="1">
        <f t="array" ref="H1167">_xlfn.IFS(Table1[[#This Row],[age]]&lt;=30,"Young Adults",Table1[[#This Row],[age]]&lt;=45,"Adults",Table1[[#This Row],[age]]&lt;=60,"Seniors",Table1[[#This Row],[age]]&gt;=61,"Elderly")</f>
        <v>Adults</v>
      </c>
    </row>
    <row r="1168" spans="1:8">
      <c r="A1168">
        <v>57</v>
      </c>
      <c r="B1168" t="s">
        <v>11</v>
      </c>
      <c r="C1168">
        <v>40.37</v>
      </c>
      <c r="D1168">
        <v>0</v>
      </c>
      <c r="E1168" t="s">
        <v>12</v>
      </c>
      <c r="F1168" t="s">
        <v>13</v>
      </c>
      <c r="G1168">
        <v>10982.5</v>
      </c>
      <c r="H1168" s="11" t="str" cm="1">
        <f t="array" ref="H1168">_xlfn.IFS(Table1[[#This Row],[age]]&lt;=30,"Young Adults",Table1[[#This Row],[age]]&lt;=45,"Adults",Table1[[#This Row],[age]]&lt;=60,"Seniors",Table1[[#This Row],[age]]&gt;=61,"Elderly")</f>
        <v>Seniors</v>
      </c>
    </row>
    <row r="1169" spans="1:8">
      <c r="A1169">
        <v>29</v>
      </c>
      <c r="B1169" t="s">
        <v>8</v>
      </c>
      <c r="C1169">
        <v>24.6</v>
      </c>
      <c r="D1169">
        <v>2</v>
      </c>
      <c r="E1169" t="s">
        <v>12</v>
      </c>
      <c r="F1169" t="s">
        <v>10</v>
      </c>
      <c r="G1169">
        <v>4529.48</v>
      </c>
      <c r="H1169" s="11" t="str" cm="1">
        <f t="array" ref="H1169">_xlfn.IFS(Table1[[#This Row],[age]]&lt;=30,"Young Adults",Table1[[#This Row],[age]]&lt;=45,"Adults",Table1[[#This Row],[age]]&lt;=60,"Seniors",Table1[[#This Row],[age]]&gt;=61,"Elderly")</f>
        <v>Young Adults</v>
      </c>
    </row>
    <row r="1170" spans="1:8">
      <c r="A1170">
        <v>32</v>
      </c>
      <c r="B1170" t="s">
        <v>11</v>
      </c>
      <c r="C1170">
        <v>35.2</v>
      </c>
      <c r="D1170">
        <v>2</v>
      </c>
      <c r="E1170" t="s">
        <v>12</v>
      </c>
      <c r="F1170" t="s">
        <v>10</v>
      </c>
      <c r="G1170">
        <v>4670.64</v>
      </c>
      <c r="H1170" s="11" t="str" cm="1">
        <f t="array" ref="H1170">_xlfn.IFS(Table1[[#This Row],[age]]&lt;=30,"Young Adults",Table1[[#This Row],[age]]&lt;=45,"Adults",Table1[[#This Row],[age]]&lt;=60,"Seniors",Table1[[#This Row],[age]]&gt;=61,"Elderly")</f>
        <v>Adults</v>
      </c>
    </row>
    <row r="1171" spans="1:8">
      <c r="A1171">
        <v>37</v>
      </c>
      <c r="B1171" t="s">
        <v>8</v>
      </c>
      <c r="C1171">
        <v>34.105</v>
      </c>
      <c r="D1171">
        <v>1</v>
      </c>
      <c r="E1171" t="s">
        <v>12</v>
      </c>
      <c r="F1171" t="s">
        <v>14</v>
      </c>
      <c r="G1171">
        <v>6112.35</v>
      </c>
      <c r="H1171" s="11" t="str" cm="1">
        <f t="array" ref="H1171">_xlfn.IFS(Table1[[#This Row],[age]]&lt;=30,"Young Adults",Table1[[#This Row],[age]]&lt;=45,"Adults",Table1[[#This Row],[age]]&lt;=60,"Seniors",Table1[[#This Row],[age]]&gt;=61,"Elderly")</f>
        <v>Adults</v>
      </c>
    </row>
    <row r="1172" spans="1:8">
      <c r="A1172">
        <v>18</v>
      </c>
      <c r="B1172" t="s">
        <v>11</v>
      </c>
      <c r="C1172">
        <v>27.36</v>
      </c>
      <c r="D1172">
        <v>1</v>
      </c>
      <c r="E1172" t="s">
        <v>9</v>
      </c>
      <c r="F1172" t="s">
        <v>15</v>
      </c>
      <c r="G1172">
        <v>17178.68</v>
      </c>
      <c r="H1172" s="11" t="str" cm="1">
        <f t="array" ref="H1172">_xlfn.IFS(Table1[[#This Row],[age]]&lt;=30,"Young Adults",Table1[[#This Row],[age]]&lt;=45,"Adults",Table1[[#This Row],[age]]&lt;=60,"Seniors",Table1[[#This Row],[age]]&gt;=61,"Elderly")</f>
        <v>Young Adults</v>
      </c>
    </row>
    <row r="1173" spans="1:8">
      <c r="A1173">
        <v>43</v>
      </c>
      <c r="B1173" t="s">
        <v>8</v>
      </c>
      <c r="C1173">
        <v>26.7</v>
      </c>
      <c r="D1173">
        <v>2</v>
      </c>
      <c r="E1173" t="s">
        <v>9</v>
      </c>
      <c r="F1173" t="s">
        <v>10</v>
      </c>
      <c r="G1173">
        <v>22478.6</v>
      </c>
      <c r="H1173" s="11" t="str" cm="1">
        <f t="array" ref="H1173">_xlfn.IFS(Table1[[#This Row],[age]]&lt;=30,"Young Adults",Table1[[#This Row],[age]]&lt;=45,"Adults",Table1[[#This Row],[age]]&lt;=60,"Seniors",Table1[[#This Row],[age]]&gt;=61,"Elderly")</f>
        <v>Adults</v>
      </c>
    </row>
    <row r="1174" spans="1:8">
      <c r="A1174">
        <v>56</v>
      </c>
      <c r="B1174" t="s">
        <v>8</v>
      </c>
      <c r="C1174">
        <v>41.91</v>
      </c>
      <c r="D1174">
        <v>0</v>
      </c>
      <c r="E1174" t="s">
        <v>12</v>
      </c>
      <c r="F1174" t="s">
        <v>13</v>
      </c>
      <c r="G1174">
        <v>11093.62</v>
      </c>
      <c r="H1174" s="11" t="str" cm="1">
        <f t="array" ref="H1174">_xlfn.IFS(Table1[[#This Row],[age]]&lt;=30,"Young Adults",Table1[[#This Row],[age]]&lt;=45,"Adults",Table1[[#This Row],[age]]&lt;=60,"Seniors",Table1[[#This Row],[age]]&gt;=61,"Elderly")</f>
        <v>Seniors</v>
      </c>
    </row>
    <row r="1175" spans="1:8">
      <c r="A1175">
        <v>38</v>
      </c>
      <c r="B1175" t="s">
        <v>11</v>
      </c>
      <c r="C1175">
        <v>29.26</v>
      </c>
      <c r="D1175">
        <v>2</v>
      </c>
      <c r="E1175" t="s">
        <v>12</v>
      </c>
      <c r="F1175" t="s">
        <v>14</v>
      </c>
      <c r="G1175">
        <v>6457.84</v>
      </c>
      <c r="H1175" s="11" t="str" cm="1">
        <f t="array" ref="H1175">_xlfn.IFS(Table1[[#This Row],[age]]&lt;=30,"Young Adults",Table1[[#This Row],[age]]&lt;=45,"Adults",Table1[[#This Row],[age]]&lt;=60,"Seniors",Table1[[#This Row],[age]]&gt;=61,"Elderly")</f>
        <v>Adults</v>
      </c>
    </row>
    <row r="1176" spans="1:8">
      <c r="A1176">
        <v>29</v>
      </c>
      <c r="B1176" t="s">
        <v>11</v>
      </c>
      <c r="C1176">
        <v>32.11</v>
      </c>
      <c r="D1176">
        <v>2</v>
      </c>
      <c r="E1176" t="s">
        <v>12</v>
      </c>
      <c r="F1176" t="s">
        <v>14</v>
      </c>
      <c r="G1176">
        <v>4433.92</v>
      </c>
      <c r="H1176" s="11" t="str" cm="1">
        <f t="array" ref="H1176">_xlfn.IFS(Table1[[#This Row],[age]]&lt;=30,"Young Adults",Table1[[#This Row],[age]]&lt;=45,"Adults",Table1[[#This Row],[age]]&lt;=60,"Seniors",Table1[[#This Row],[age]]&gt;=61,"Elderly")</f>
        <v>Young Adults</v>
      </c>
    </row>
    <row r="1177" spans="1:8">
      <c r="A1177">
        <v>22</v>
      </c>
      <c r="B1177" t="s">
        <v>8</v>
      </c>
      <c r="C1177">
        <v>27.1</v>
      </c>
      <c r="D1177">
        <v>0</v>
      </c>
      <c r="E1177" t="s">
        <v>12</v>
      </c>
      <c r="F1177" t="s">
        <v>10</v>
      </c>
      <c r="G1177">
        <v>2154.36</v>
      </c>
      <c r="H1177" s="11" t="str" cm="1">
        <f t="array" ref="H1177">_xlfn.IFS(Table1[[#This Row],[age]]&lt;=30,"Young Adults",Table1[[#This Row],[age]]&lt;=45,"Adults",Table1[[#This Row],[age]]&lt;=60,"Seniors",Table1[[#This Row],[age]]&gt;=61,"Elderly")</f>
        <v>Young Adults</v>
      </c>
    </row>
    <row r="1178" spans="1:8">
      <c r="A1178">
        <v>52</v>
      </c>
      <c r="B1178" t="s">
        <v>8</v>
      </c>
      <c r="C1178">
        <v>24.13</v>
      </c>
      <c r="D1178">
        <v>1</v>
      </c>
      <c r="E1178" t="s">
        <v>9</v>
      </c>
      <c r="F1178" t="s">
        <v>14</v>
      </c>
      <c r="G1178">
        <v>23887.66</v>
      </c>
      <c r="H1178" s="11" t="str" cm="1">
        <f t="array" ref="H1178">_xlfn.IFS(Table1[[#This Row],[age]]&lt;=30,"Young Adults",Table1[[#This Row],[age]]&lt;=45,"Adults",Table1[[#This Row],[age]]&lt;=60,"Seniors",Table1[[#This Row],[age]]&gt;=61,"Elderly")</f>
        <v>Seniors</v>
      </c>
    </row>
    <row r="1179" spans="1:8">
      <c r="A1179">
        <v>40</v>
      </c>
      <c r="B1179" t="s">
        <v>8</v>
      </c>
      <c r="C1179">
        <v>27.4</v>
      </c>
      <c r="D1179">
        <v>1</v>
      </c>
      <c r="E1179" t="s">
        <v>12</v>
      </c>
      <c r="F1179" t="s">
        <v>10</v>
      </c>
      <c r="G1179">
        <v>6496.89</v>
      </c>
      <c r="H1179" s="11" t="str" cm="1">
        <f t="array" ref="H1179">_xlfn.IFS(Table1[[#This Row],[age]]&lt;=30,"Young Adults",Table1[[#This Row],[age]]&lt;=45,"Adults",Table1[[#This Row],[age]]&lt;=60,"Seniors",Table1[[#This Row],[age]]&gt;=61,"Elderly")</f>
        <v>Adults</v>
      </c>
    </row>
    <row r="1180" spans="1:8">
      <c r="A1180">
        <v>23</v>
      </c>
      <c r="B1180" t="s">
        <v>8</v>
      </c>
      <c r="C1180">
        <v>34.865</v>
      </c>
      <c r="D1180">
        <v>0</v>
      </c>
      <c r="E1180" t="s">
        <v>12</v>
      </c>
      <c r="F1180" t="s">
        <v>15</v>
      </c>
      <c r="G1180">
        <v>2899.49</v>
      </c>
      <c r="H1180" s="11" t="str" cm="1">
        <f t="array" ref="H1180">_xlfn.IFS(Table1[[#This Row],[age]]&lt;=30,"Young Adults",Table1[[#This Row],[age]]&lt;=45,"Adults",Table1[[#This Row],[age]]&lt;=60,"Seniors",Table1[[#This Row],[age]]&gt;=61,"Elderly")</f>
        <v>Young Adults</v>
      </c>
    </row>
    <row r="1181" spans="1:8">
      <c r="A1181">
        <v>31</v>
      </c>
      <c r="B1181" t="s">
        <v>11</v>
      </c>
      <c r="C1181">
        <v>29.81</v>
      </c>
      <c r="D1181">
        <v>0</v>
      </c>
      <c r="E1181" t="s">
        <v>9</v>
      </c>
      <c r="F1181" t="s">
        <v>13</v>
      </c>
      <c r="G1181">
        <v>19350.37</v>
      </c>
      <c r="H1181" s="11" t="str" cm="1">
        <f t="array" ref="H1181">_xlfn.IFS(Table1[[#This Row],[age]]&lt;=30,"Young Adults",Table1[[#This Row],[age]]&lt;=45,"Adults",Table1[[#This Row],[age]]&lt;=60,"Seniors",Table1[[#This Row],[age]]&gt;=61,"Elderly")</f>
        <v>Adults</v>
      </c>
    </row>
    <row r="1182" spans="1:8">
      <c r="A1182">
        <v>42</v>
      </c>
      <c r="B1182" t="s">
        <v>8</v>
      </c>
      <c r="C1182">
        <v>41.325</v>
      </c>
      <c r="D1182">
        <v>1</v>
      </c>
      <c r="E1182" t="s">
        <v>12</v>
      </c>
      <c r="F1182" t="s">
        <v>15</v>
      </c>
      <c r="G1182">
        <v>7650.77</v>
      </c>
      <c r="H1182" s="11" t="str" cm="1">
        <f t="array" ref="H1182">_xlfn.IFS(Table1[[#This Row],[age]]&lt;=30,"Young Adults",Table1[[#This Row],[age]]&lt;=45,"Adults",Table1[[#This Row],[age]]&lt;=60,"Seniors",Table1[[#This Row],[age]]&gt;=61,"Elderly")</f>
        <v>Adults</v>
      </c>
    </row>
    <row r="1183" spans="1:8">
      <c r="A1183">
        <v>24</v>
      </c>
      <c r="B1183" t="s">
        <v>8</v>
      </c>
      <c r="C1183">
        <v>29.925</v>
      </c>
      <c r="D1183">
        <v>0</v>
      </c>
      <c r="E1183" t="s">
        <v>12</v>
      </c>
      <c r="F1183" t="s">
        <v>14</v>
      </c>
      <c r="G1183">
        <v>2850.68</v>
      </c>
      <c r="H1183" s="11" t="str" cm="1">
        <f t="array" ref="H1183">_xlfn.IFS(Table1[[#This Row],[age]]&lt;=30,"Young Adults",Table1[[#This Row],[age]]&lt;=45,"Adults",Table1[[#This Row],[age]]&lt;=60,"Seniors",Table1[[#This Row],[age]]&gt;=61,"Elderly")</f>
        <v>Young Adults</v>
      </c>
    </row>
    <row r="1184" spans="1:8">
      <c r="A1184">
        <v>25</v>
      </c>
      <c r="B1184" t="s">
        <v>8</v>
      </c>
      <c r="C1184">
        <v>30.3</v>
      </c>
      <c r="D1184">
        <v>0</v>
      </c>
      <c r="E1184" t="s">
        <v>12</v>
      </c>
      <c r="F1184" t="s">
        <v>10</v>
      </c>
      <c r="G1184">
        <v>2632.99</v>
      </c>
      <c r="H1184" s="11" t="str" cm="1">
        <f t="array" ref="H1184">_xlfn.IFS(Table1[[#This Row],[age]]&lt;=30,"Young Adults",Table1[[#This Row],[age]]&lt;=45,"Adults",Table1[[#This Row],[age]]&lt;=60,"Seniors",Table1[[#This Row],[age]]&gt;=61,"Elderly")</f>
        <v>Young Adults</v>
      </c>
    </row>
    <row r="1185" spans="1:8">
      <c r="A1185">
        <v>48</v>
      </c>
      <c r="B1185" t="s">
        <v>8</v>
      </c>
      <c r="C1185">
        <v>27.36</v>
      </c>
      <c r="D1185">
        <v>1</v>
      </c>
      <c r="E1185" t="s">
        <v>12</v>
      </c>
      <c r="F1185" t="s">
        <v>15</v>
      </c>
      <c r="G1185">
        <v>9447.38</v>
      </c>
      <c r="H1185" s="11" t="str" cm="1">
        <f t="array" ref="H1185">_xlfn.IFS(Table1[[#This Row],[age]]&lt;=30,"Young Adults",Table1[[#This Row],[age]]&lt;=45,"Adults",Table1[[#This Row],[age]]&lt;=60,"Seniors",Table1[[#This Row],[age]]&gt;=61,"Elderly")</f>
        <v>Seniors</v>
      </c>
    </row>
    <row r="1186" spans="1:8">
      <c r="A1186">
        <v>23</v>
      </c>
      <c r="B1186" t="s">
        <v>8</v>
      </c>
      <c r="C1186">
        <v>28.49</v>
      </c>
      <c r="D1186">
        <v>1</v>
      </c>
      <c r="E1186" t="s">
        <v>9</v>
      </c>
      <c r="F1186" t="s">
        <v>13</v>
      </c>
      <c r="G1186">
        <v>18328.24</v>
      </c>
      <c r="H1186" s="11" t="str" cm="1">
        <f t="array" ref="H1186">_xlfn.IFS(Table1[[#This Row],[age]]&lt;=30,"Young Adults",Table1[[#This Row],[age]]&lt;=45,"Adults",Table1[[#This Row],[age]]&lt;=60,"Seniors",Table1[[#This Row],[age]]&gt;=61,"Elderly")</f>
        <v>Young Adults</v>
      </c>
    </row>
    <row r="1187" spans="1:8">
      <c r="A1187">
        <v>45</v>
      </c>
      <c r="B1187" t="s">
        <v>11</v>
      </c>
      <c r="C1187">
        <v>23.56</v>
      </c>
      <c r="D1187">
        <v>2</v>
      </c>
      <c r="E1187" t="s">
        <v>12</v>
      </c>
      <c r="F1187" t="s">
        <v>15</v>
      </c>
      <c r="G1187">
        <v>8603.82</v>
      </c>
      <c r="H1187" s="11" t="str" cm="1">
        <f t="array" ref="H1187">_xlfn.IFS(Table1[[#This Row],[age]]&lt;=30,"Young Adults",Table1[[#This Row],[age]]&lt;=45,"Adults",Table1[[#This Row],[age]]&lt;=60,"Seniors",Table1[[#This Row],[age]]&gt;=61,"Elderly")</f>
        <v>Adults</v>
      </c>
    </row>
    <row r="1188" spans="1:8">
      <c r="A1188">
        <v>20</v>
      </c>
      <c r="B1188" t="s">
        <v>11</v>
      </c>
      <c r="C1188">
        <v>35.625</v>
      </c>
      <c r="D1188">
        <v>3</v>
      </c>
      <c r="E1188" t="s">
        <v>9</v>
      </c>
      <c r="F1188" t="s">
        <v>14</v>
      </c>
      <c r="G1188">
        <v>37465.34</v>
      </c>
      <c r="H1188" s="11" t="str" cm="1">
        <f t="array" ref="H1188">_xlfn.IFS(Table1[[#This Row],[age]]&lt;=30,"Young Adults",Table1[[#This Row],[age]]&lt;=45,"Adults",Table1[[#This Row],[age]]&lt;=60,"Seniors",Table1[[#This Row],[age]]&gt;=61,"Elderly")</f>
        <v>Young Adults</v>
      </c>
    </row>
    <row r="1189" spans="1:8">
      <c r="A1189">
        <v>62</v>
      </c>
      <c r="B1189" t="s">
        <v>8</v>
      </c>
      <c r="C1189">
        <v>32.68</v>
      </c>
      <c r="D1189">
        <v>0</v>
      </c>
      <c r="E1189" t="s">
        <v>12</v>
      </c>
      <c r="F1189" t="s">
        <v>14</v>
      </c>
      <c r="G1189">
        <v>13844.8</v>
      </c>
      <c r="H1189" s="11" t="str" cm="1">
        <f t="array" ref="H1189">_xlfn.IFS(Table1[[#This Row],[age]]&lt;=30,"Young Adults",Table1[[#This Row],[age]]&lt;=45,"Adults",Table1[[#This Row],[age]]&lt;=60,"Seniors",Table1[[#This Row],[age]]&gt;=61,"Elderly")</f>
        <v>Elderly</v>
      </c>
    </row>
    <row r="1190" spans="1:8">
      <c r="A1190">
        <v>43</v>
      </c>
      <c r="B1190" t="s">
        <v>8</v>
      </c>
      <c r="C1190">
        <v>25.27</v>
      </c>
      <c r="D1190">
        <v>1</v>
      </c>
      <c r="E1190" t="s">
        <v>9</v>
      </c>
      <c r="F1190" t="s">
        <v>15</v>
      </c>
      <c r="G1190">
        <v>21771.34</v>
      </c>
      <c r="H1190" s="11" t="str" cm="1">
        <f t="array" ref="H1190">_xlfn.IFS(Table1[[#This Row],[age]]&lt;=30,"Young Adults",Table1[[#This Row],[age]]&lt;=45,"Adults",Table1[[#This Row],[age]]&lt;=60,"Seniors",Table1[[#This Row],[age]]&gt;=61,"Elderly")</f>
        <v>Adults</v>
      </c>
    </row>
    <row r="1191" spans="1:8">
      <c r="A1191">
        <v>23</v>
      </c>
      <c r="B1191" t="s">
        <v>8</v>
      </c>
      <c r="C1191">
        <v>28</v>
      </c>
      <c r="D1191">
        <v>0</v>
      </c>
      <c r="E1191" t="s">
        <v>12</v>
      </c>
      <c r="F1191" t="s">
        <v>10</v>
      </c>
      <c r="G1191">
        <v>13126.68</v>
      </c>
      <c r="H1191" s="11" t="str" cm="1">
        <f t="array" ref="H1191">_xlfn.IFS(Table1[[#This Row],[age]]&lt;=30,"Young Adults",Table1[[#This Row],[age]]&lt;=45,"Adults",Table1[[#This Row],[age]]&lt;=60,"Seniors",Table1[[#This Row],[age]]&gt;=61,"Elderly")</f>
        <v>Young Adults</v>
      </c>
    </row>
    <row r="1192" spans="1:8">
      <c r="A1192">
        <v>31</v>
      </c>
      <c r="B1192" t="s">
        <v>8</v>
      </c>
      <c r="C1192">
        <v>32.775</v>
      </c>
      <c r="D1192">
        <v>2</v>
      </c>
      <c r="E1192" t="s">
        <v>12</v>
      </c>
      <c r="F1192" t="s">
        <v>14</v>
      </c>
      <c r="G1192">
        <v>5327.4</v>
      </c>
      <c r="H1192" s="11" t="str" cm="1">
        <f t="array" ref="H1192">_xlfn.IFS(Table1[[#This Row],[age]]&lt;=30,"Young Adults",Table1[[#This Row],[age]]&lt;=45,"Adults",Table1[[#This Row],[age]]&lt;=60,"Seniors",Table1[[#This Row],[age]]&gt;=61,"Elderly")</f>
        <v>Adults</v>
      </c>
    </row>
    <row r="1193" spans="1:8">
      <c r="A1193">
        <v>41</v>
      </c>
      <c r="B1193" t="s">
        <v>8</v>
      </c>
      <c r="C1193">
        <v>21.755</v>
      </c>
      <c r="D1193">
        <v>1</v>
      </c>
      <c r="E1193" t="s">
        <v>12</v>
      </c>
      <c r="F1193" t="s">
        <v>15</v>
      </c>
      <c r="G1193">
        <v>13725.47</v>
      </c>
      <c r="H1193" s="11" t="str" cm="1">
        <f t="array" ref="H1193">_xlfn.IFS(Table1[[#This Row],[age]]&lt;=30,"Young Adults",Table1[[#This Row],[age]]&lt;=45,"Adults",Table1[[#This Row],[age]]&lt;=60,"Seniors",Table1[[#This Row],[age]]&gt;=61,"Elderly")</f>
        <v>Adults</v>
      </c>
    </row>
    <row r="1194" spans="1:8">
      <c r="A1194">
        <v>58</v>
      </c>
      <c r="B1194" t="s">
        <v>8</v>
      </c>
      <c r="C1194">
        <v>32.395</v>
      </c>
      <c r="D1194">
        <v>1</v>
      </c>
      <c r="E1194" t="s">
        <v>12</v>
      </c>
      <c r="F1194" t="s">
        <v>15</v>
      </c>
      <c r="G1194">
        <v>13019.16</v>
      </c>
      <c r="H1194" s="11" t="str" cm="1">
        <f t="array" ref="H1194">_xlfn.IFS(Table1[[#This Row],[age]]&lt;=30,"Young Adults",Table1[[#This Row],[age]]&lt;=45,"Adults",Table1[[#This Row],[age]]&lt;=60,"Seniors",Table1[[#This Row],[age]]&gt;=61,"Elderly")</f>
        <v>Seniors</v>
      </c>
    </row>
    <row r="1195" spans="1:8">
      <c r="A1195">
        <v>48</v>
      </c>
      <c r="B1195" t="s">
        <v>8</v>
      </c>
      <c r="C1195">
        <v>36.575</v>
      </c>
      <c r="D1195">
        <v>0</v>
      </c>
      <c r="E1195" t="s">
        <v>12</v>
      </c>
      <c r="F1195" t="s">
        <v>14</v>
      </c>
      <c r="G1195">
        <v>8671.19</v>
      </c>
      <c r="H1195" s="11" t="str" cm="1">
        <f t="array" ref="H1195">_xlfn.IFS(Table1[[#This Row],[age]]&lt;=30,"Young Adults",Table1[[#This Row],[age]]&lt;=45,"Adults",Table1[[#This Row],[age]]&lt;=60,"Seniors",Table1[[#This Row],[age]]&gt;=61,"Elderly")</f>
        <v>Seniors</v>
      </c>
    </row>
    <row r="1196" spans="1:8">
      <c r="A1196">
        <v>31</v>
      </c>
      <c r="B1196" t="s">
        <v>8</v>
      </c>
      <c r="C1196">
        <v>21.755</v>
      </c>
      <c r="D1196">
        <v>0</v>
      </c>
      <c r="E1196" t="s">
        <v>12</v>
      </c>
      <c r="F1196" t="s">
        <v>14</v>
      </c>
      <c r="G1196">
        <v>4134.08</v>
      </c>
      <c r="H1196" s="11" t="str" cm="1">
        <f t="array" ref="H1196">_xlfn.IFS(Table1[[#This Row],[age]]&lt;=30,"Young Adults",Table1[[#This Row],[age]]&lt;=45,"Adults",Table1[[#This Row],[age]]&lt;=60,"Seniors",Table1[[#This Row],[age]]&gt;=61,"Elderly")</f>
        <v>Adults</v>
      </c>
    </row>
    <row r="1197" spans="1:8">
      <c r="A1197">
        <v>19</v>
      </c>
      <c r="B1197" t="s">
        <v>8</v>
      </c>
      <c r="C1197">
        <v>27.93</v>
      </c>
      <c r="D1197">
        <v>3</v>
      </c>
      <c r="E1197" t="s">
        <v>12</v>
      </c>
      <c r="F1197" t="s">
        <v>14</v>
      </c>
      <c r="G1197">
        <v>18838.7</v>
      </c>
      <c r="H1197" s="11" t="str" cm="1">
        <f t="array" ref="H1197">_xlfn.IFS(Table1[[#This Row],[age]]&lt;=30,"Young Adults",Table1[[#This Row],[age]]&lt;=45,"Adults",Table1[[#This Row],[age]]&lt;=60,"Seniors",Table1[[#This Row],[age]]&gt;=61,"Elderly")</f>
        <v>Young Adults</v>
      </c>
    </row>
    <row r="1198" spans="1:8">
      <c r="A1198">
        <v>19</v>
      </c>
      <c r="B1198" t="s">
        <v>8</v>
      </c>
      <c r="C1198">
        <v>30.02</v>
      </c>
      <c r="D1198">
        <v>0</v>
      </c>
      <c r="E1198" t="s">
        <v>9</v>
      </c>
      <c r="F1198" t="s">
        <v>14</v>
      </c>
      <c r="G1198">
        <v>33307.55</v>
      </c>
      <c r="H1198" s="11" t="str" cm="1">
        <f t="array" ref="H1198">_xlfn.IFS(Table1[[#This Row],[age]]&lt;=30,"Young Adults",Table1[[#This Row],[age]]&lt;=45,"Adults",Table1[[#This Row],[age]]&lt;=60,"Seniors",Table1[[#This Row],[age]]&gt;=61,"Elderly")</f>
        <v>Young Adults</v>
      </c>
    </row>
    <row r="1199" spans="1:8">
      <c r="A1199">
        <v>41</v>
      </c>
      <c r="B1199" t="s">
        <v>11</v>
      </c>
      <c r="C1199">
        <v>33.55</v>
      </c>
      <c r="D1199">
        <v>0</v>
      </c>
      <c r="E1199" t="s">
        <v>12</v>
      </c>
      <c r="F1199" t="s">
        <v>13</v>
      </c>
      <c r="G1199">
        <v>5699.84</v>
      </c>
      <c r="H1199" s="11" t="str" cm="1">
        <f t="array" ref="H1199">_xlfn.IFS(Table1[[#This Row],[age]]&lt;=30,"Young Adults",Table1[[#This Row],[age]]&lt;=45,"Adults",Table1[[#This Row],[age]]&lt;=60,"Seniors",Table1[[#This Row],[age]]&gt;=61,"Elderly")</f>
        <v>Adults</v>
      </c>
    </row>
    <row r="1200" spans="1:8">
      <c r="A1200">
        <v>40</v>
      </c>
      <c r="B1200" t="s">
        <v>11</v>
      </c>
      <c r="C1200">
        <v>29.355</v>
      </c>
      <c r="D1200">
        <v>1</v>
      </c>
      <c r="E1200" t="s">
        <v>12</v>
      </c>
      <c r="F1200" t="s">
        <v>14</v>
      </c>
      <c r="G1200">
        <v>6393.6</v>
      </c>
      <c r="H1200" s="11" t="str" cm="1">
        <f t="array" ref="H1200">_xlfn.IFS(Table1[[#This Row],[age]]&lt;=30,"Young Adults",Table1[[#This Row],[age]]&lt;=45,"Adults",Table1[[#This Row],[age]]&lt;=60,"Seniors",Table1[[#This Row],[age]]&gt;=61,"Elderly")</f>
        <v>Adults</v>
      </c>
    </row>
    <row r="1201" spans="1:8">
      <c r="A1201">
        <v>31</v>
      </c>
      <c r="B1201" t="s">
        <v>8</v>
      </c>
      <c r="C1201">
        <v>25.8</v>
      </c>
      <c r="D1201">
        <v>2</v>
      </c>
      <c r="E1201" t="s">
        <v>12</v>
      </c>
      <c r="F1201" t="s">
        <v>10</v>
      </c>
      <c r="G1201">
        <v>4934.71</v>
      </c>
      <c r="H1201" s="11" t="str" cm="1">
        <f t="array" ref="H1201">_xlfn.IFS(Table1[[#This Row],[age]]&lt;=30,"Young Adults",Table1[[#This Row],[age]]&lt;=45,"Adults",Table1[[#This Row],[age]]&lt;=60,"Seniors",Table1[[#This Row],[age]]&gt;=61,"Elderly")</f>
        <v>Adults</v>
      </c>
    </row>
    <row r="1202" spans="1:8">
      <c r="A1202">
        <v>37</v>
      </c>
      <c r="B1202" t="s">
        <v>11</v>
      </c>
      <c r="C1202">
        <v>24.32</v>
      </c>
      <c r="D1202">
        <v>2</v>
      </c>
      <c r="E1202" t="s">
        <v>12</v>
      </c>
      <c r="F1202" t="s">
        <v>14</v>
      </c>
      <c r="G1202">
        <v>6198.75</v>
      </c>
      <c r="H1202" s="11" t="str" cm="1">
        <f t="array" ref="H1202">_xlfn.IFS(Table1[[#This Row],[age]]&lt;=30,"Young Adults",Table1[[#This Row],[age]]&lt;=45,"Adults",Table1[[#This Row],[age]]&lt;=60,"Seniors",Table1[[#This Row],[age]]&gt;=61,"Elderly")</f>
        <v>Adults</v>
      </c>
    </row>
    <row r="1203" spans="1:8">
      <c r="A1203">
        <v>46</v>
      </c>
      <c r="B1203" t="s">
        <v>11</v>
      </c>
      <c r="C1203">
        <v>40.375</v>
      </c>
      <c r="D1203">
        <v>2</v>
      </c>
      <c r="E1203" t="s">
        <v>12</v>
      </c>
      <c r="F1203" t="s">
        <v>14</v>
      </c>
      <c r="G1203">
        <v>8733.23</v>
      </c>
      <c r="H1203" s="11" t="str" cm="1">
        <f t="array" ref="H1203">_xlfn.IFS(Table1[[#This Row],[age]]&lt;=30,"Young Adults",Table1[[#This Row],[age]]&lt;=45,"Adults",Table1[[#This Row],[age]]&lt;=60,"Seniors",Table1[[#This Row],[age]]&gt;=61,"Elderly")</f>
        <v>Seniors</v>
      </c>
    </row>
    <row r="1204" spans="1:8">
      <c r="A1204">
        <v>22</v>
      </c>
      <c r="B1204" t="s">
        <v>11</v>
      </c>
      <c r="C1204">
        <v>32.11</v>
      </c>
      <c r="D1204">
        <v>0</v>
      </c>
      <c r="E1204" t="s">
        <v>12</v>
      </c>
      <c r="F1204" t="s">
        <v>14</v>
      </c>
      <c r="G1204">
        <v>2055.32</v>
      </c>
      <c r="H1204" s="11" t="str" cm="1">
        <f t="array" ref="H1204">_xlfn.IFS(Table1[[#This Row],[age]]&lt;=30,"Young Adults",Table1[[#This Row],[age]]&lt;=45,"Adults",Table1[[#This Row],[age]]&lt;=60,"Seniors",Table1[[#This Row],[age]]&gt;=61,"Elderly")</f>
        <v>Young Adults</v>
      </c>
    </row>
    <row r="1205" spans="1:8">
      <c r="A1205">
        <v>51</v>
      </c>
      <c r="B1205" t="s">
        <v>11</v>
      </c>
      <c r="C1205">
        <v>32.3</v>
      </c>
      <c r="D1205">
        <v>1</v>
      </c>
      <c r="E1205" t="s">
        <v>12</v>
      </c>
      <c r="F1205" t="s">
        <v>15</v>
      </c>
      <c r="G1205">
        <v>9964.06</v>
      </c>
      <c r="H1205" s="11" t="str" cm="1">
        <f t="array" ref="H1205">_xlfn.IFS(Table1[[#This Row],[age]]&lt;=30,"Young Adults",Table1[[#This Row],[age]]&lt;=45,"Adults",Table1[[#This Row],[age]]&lt;=60,"Seniors",Table1[[#This Row],[age]]&gt;=61,"Elderly")</f>
        <v>Seniors</v>
      </c>
    </row>
    <row r="1206" spans="1:8">
      <c r="A1206">
        <v>18</v>
      </c>
      <c r="B1206" t="s">
        <v>8</v>
      </c>
      <c r="C1206">
        <v>27.28</v>
      </c>
      <c r="D1206">
        <v>3</v>
      </c>
      <c r="E1206" t="s">
        <v>9</v>
      </c>
      <c r="F1206" t="s">
        <v>13</v>
      </c>
      <c r="G1206">
        <v>18223.45</v>
      </c>
      <c r="H1206" s="11" t="str" cm="1">
        <f t="array" ref="H1206">_xlfn.IFS(Table1[[#This Row],[age]]&lt;=30,"Young Adults",Table1[[#This Row],[age]]&lt;=45,"Adults",Table1[[#This Row],[age]]&lt;=60,"Seniors",Table1[[#This Row],[age]]&gt;=61,"Elderly")</f>
        <v>Young Adults</v>
      </c>
    </row>
    <row r="1207" spans="1:8">
      <c r="A1207">
        <v>35</v>
      </c>
      <c r="B1207" t="s">
        <v>11</v>
      </c>
      <c r="C1207">
        <v>17.86</v>
      </c>
      <c r="D1207">
        <v>1</v>
      </c>
      <c r="E1207" t="s">
        <v>12</v>
      </c>
      <c r="F1207" t="s">
        <v>14</v>
      </c>
      <c r="G1207">
        <v>5116.5</v>
      </c>
      <c r="H1207" s="11" t="str" cm="1">
        <f t="array" ref="H1207">_xlfn.IFS(Table1[[#This Row],[age]]&lt;=30,"Young Adults",Table1[[#This Row],[age]]&lt;=45,"Adults",Table1[[#This Row],[age]]&lt;=60,"Seniors",Table1[[#This Row],[age]]&gt;=61,"Elderly")</f>
        <v>Adults</v>
      </c>
    </row>
    <row r="1208" spans="1:8">
      <c r="A1208">
        <v>59</v>
      </c>
      <c r="B1208" t="s">
        <v>8</v>
      </c>
      <c r="C1208">
        <v>34.8</v>
      </c>
      <c r="D1208">
        <v>2</v>
      </c>
      <c r="E1208" t="s">
        <v>12</v>
      </c>
      <c r="F1208" t="s">
        <v>10</v>
      </c>
      <c r="G1208">
        <v>36910.61</v>
      </c>
      <c r="H1208" s="11" t="str" cm="1">
        <f t="array" ref="H1208">_xlfn.IFS(Table1[[#This Row],[age]]&lt;=30,"Young Adults",Table1[[#This Row],[age]]&lt;=45,"Adults",Table1[[#This Row],[age]]&lt;=60,"Seniors",Table1[[#This Row],[age]]&gt;=61,"Elderly")</f>
        <v>Seniors</v>
      </c>
    </row>
    <row r="1209" spans="1:8">
      <c r="A1209">
        <v>36</v>
      </c>
      <c r="B1209" t="s">
        <v>11</v>
      </c>
      <c r="C1209">
        <v>33.4</v>
      </c>
      <c r="D1209">
        <v>2</v>
      </c>
      <c r="E1209" t="s">
        <v>9</v>
      </c>
      <c r="F1209" t="s">
        <v>10</v>
      </c>
      <c r="G1209">
        <v>38415.47</v>
      </c>
      <c r="H1209" s="11" t="str" cm="1">
        <f t="array" ref="H1209">_xlfn.IFS(Table1[[#This Row],[age]]&lt;=30,"Young Adults",Table1[[#This Row],[age]]&lt;=45,"Adults",Table1[[#This Row],[age]]&lt;=60,"Seniors",Table1[[#This Row],[age]]&gt;=61,"Elderly")</f>
        <v>Adults</v>
      </c>
    </row>
    <row r="1210" spans="1:8">
      <c r="A1210">
        <v>37</v>
      </c>
      <c r="B1210" t="s">
        <v>8</v>
      </c>
      <c r="C1210">
        <v>25.555</v>
      </c>
      <c r="D1210">
        <v>1</v>
      </c>
      <c r="E1210" t="s">
        <v>9</v>
      </c>
      <c r="F1210" t="s">
        <v>15</v>
      </c>
      <c r="G1210">
        <v>20296.86</v>
      </c>
      <c r="H1210" s="11" t="str" cm="1">
        <f t="array" ref="H1210">_xlfn.IFS(Table1[[#This Row],[age]]&lt;=30,"Young Adults",Table1[[#This Row],[age]]&lt;=45,"Adults",Table1[[#This Row],[age]]&lt;=60,"Seniors",Table1[[#This Row],[age]]&gt;=61,"Elderly")</f>
        <v>Adults</v>
      </c>
    </row>
    <row r="1211" spans="1:8">
      <c r="A1211">
        <v>59</v>
      </c>
      <c r="B1211" t="s">
        <v>11</v>
      </c>
      <c r="C1211">
        <v>37.1</v>
      </c>
      <c r="D1211">
        <v>1</v>
      </c>
      <c r="E1211" t="s">
        <v>12</v>
      </c>
      <c r="F1211" t="s">
        <v>10</v>
      </c>
      <c r="G1211">
        <v>12347.17</v>
      </c>
      <c r="H1211" s="11" t="str" cm="1">
        <f t="array" ref="H1211">_xlfn.IFS(Table1[[#This Row],[age]]&lt;=30,"Young Adults",Table1[[#This Row],[age]]&lt;=45,"Adults",Table1[[#This Row],[age]]&lt;=60,"Seniors",Table1[[#This Row],[age]]&gt;=61,"Elderly")</f>
        <v>Seniors</v>
      </c>
    </row>
    <row r="1212" spans="1:8">
      <c r="A1212">
        <v>36</v>
      </c>
      <c r="B1212" t="s">
        <v>11</v>
      </c>
      <c r="C1212">
        <v>30.875</v>
      </c>
      <c r="D1212">
        <v>1</v>
      </c>
      <c r="E1212" t="s">
        <v>12</v>
      </c>
      <c r="F1212" t="s">
        <v>14</v>
      </c>
      <c r="G1212">
        <v>5373.36</v>
      </c>
      <c r="H1212" s="11" t="str" cm="1">
        <f t="array" ref="H1212">_xlfn.IFS(Table1[[#This Row],[age]]&lt;=30,"Young Adults",Table1[[#This Row],[age]]&lt;=45,"Adults",Table1[[#This Row],[age]]&lt;=60,"Seniors",Table1[[#This Row],[age]]&gt;=61,"Elderly")</f>
        <v>Adults</v>
      </c>
    </row>
    <row r="1213" spans="1:8">
      <c r="A1213">
        <v>39</v>
      </c>
      <c r="B1213" t="s">
        <v>11</v>
      </c>
      <c r="C1213">
        <v>34.1</v>
      </c>
      <c r="D1213">
        <v>2</v>
      </c>
      <c r="E1213" t="s">
        <v>12</v>
      </c>
      <c r="F1213" t="s">
        <v>13</v>
      </c>
      <c r="G1213">
        <v>23563.02</v>
      </c>
      <c r="H1213" s="11" t="str" cm="1">
        <f t="array" ref="H1213">_xlfn.IFS(Table1[[#This Row],[age]]&lt;=30,"Young Adults",Table1[[#This Row],[age]]&lt;=45,"Adults",Table1[[#This Row],[age]]&lt;=60,"Seniors",Table1[[#This Row],[age]]&gt;=61,"Elderly")</f>
        <v>Adults</v>
      </c>
    </row>
    <row r="1214" spans="1:8">
      <c r="A1214">
        <v>18</v>
      </c>
      <c r="B1214" t="s">
        <v>11</v>
      </c>
      <c r="C1214">
        <v>21.47</v>
      </c>
      <c r="D1214">
        <v>0</v>
      </c>
      <c r="E1214" t="s">
        <v>12</v>
      </c>
      <c r="F1214" t="s">
        <v>15</v>
      </c>
      <c r="G1214">
        <v>1702.46</v>
      </c>
      <c r="H1214" s="11" t="str" cm="1">
        <f t="array" ref="H1214">_xlfn.IFS(Table1[[#This Row],[age]]&lt;=30,"Young Adults",Table1[[#This Row],[age]]&lt;=45,"Adults",Table1[[#This Row],[age]]&lt;=60,"Seniors",Table1[[#This Row],[age]]&gt;=61,"Elderly")</f>
        <v>Young Adults</v>
      </c>
    </row>
    <row r="1215" spans="1:8">
      <c r="A1215">
        <v>52</v>
      </c>
      <c r="B1215" t="s">
        <v>8</v>
      </c>
      <c r="C1215">
        <v>33.3</v>
      </c>
      <c r="D1215">
        <v>2</v>
      </c>
      <c r="E1215" t="s">
        <v>12</v>
      </c>
      <c r="F1215" t="s">
        <v>10</v>
      </c>
      <c r="G1215">
        <v>10806.84</v>
      </c>
      <c r="H1215" s="11" t="str" cm="1">
        <f t="array" ref="H1215">_xlfn.IFS(Table1[[#This Row],[age]]&lt;=30,"Young Adults",Table1[[#This Row],[age]]&lt;=45,"Adults",Table1[[#This Row],[age]]&lt;=60,"Seniors",Table1[[#This Row],[age]]&gt;=61,"Elderly")</f>
        <v>Seniors</v>
      </c>
    </row>
    <row r="1216" spans="1:8">
      <c r="A1216">
        <v>27</v>
      </c>
      <c r="B1216" t="s">
        <v>8</v>
      </c>
      <c r="C1216">
        <v>31.255</v>
      </c>
      <c r="D1216">
        <v>1</v>
      </c>
      <c r="E1216" t="s">
        <v>12</v>
      </c>
      <c r="F1216" t="s">
        <v>14</v>
      </c>
      <c r="G1216">
        <v>3956.07</v>
      </c>
      <c r="H1216" s="11" t="str" cm="1">
        <f t="array" ref="H1216">_xlfn.IFS(Table1[[#This Row],[age]]&lt;=30,"Young Adults",Table1[[#This Row],[age]]&lt;=45,"Adults",Table1[[#This Row],[age]]&lt;=60,"Seniors",Table1[[#This Row],[age]]&gt;=61,"Elderly")</f>
        <v>Young Adults</v>
      </c>
    </row>
    <row r="1217" spans="1:8">
      <c r="A1217">
        <v>18</v>
      </c>
      <c r="B1217" t="s">
        <v>11</v>
      </c>
      <c r="C1217">
        <v>39.14</v>
      </c>
      <c r="D1217">
        <v>0</v>
      </c>
      <c r="E1217" t="s">
        <v>12</v>
      </c>
      <c r="F1217" t="s">
        <v>15</v>
      </c>
      <c r="G1217">
        <v>12890.06</v>
      </c>
      <c r="H1217" s="11" t="str" cm="1">
        <f t="array" ref="H1217">_xlfn.IFS(Table1[[#This Row],[age]]&lt;=30,"Young Adults",Table1[[#This Row],[age]]&lt;=45,"Adults",Table1[[#This Row],[age]]&lt;=60,"Seniors",Table1[[#This Row],[age]]&gt;=61,"Elderly")</f>
        <v>Young Adults</v>
      </c>
    </row>
    <row r="1218" spans="1:8">
      <c r="A1218">
        <v>40</v>
      </c>
      <c r="B1218" t="s">
        <v>11</v>
      </c>
      <c r="C1218">
        <v>25.08</v>
      </c>
      <c r="D1218">
        <v>0</v>
      </c>
      <c r="E1218" t="s">
        <v>12</v>
      </c>
      <c r="F1218" t="s">
        <v>13</v>
      </c>
      <c r="G1218">
        <v>5415.66</v>
      </c>
      <c r="H1218" s="11" t="str" cm="1">
        <f t="array" ref="H1218">_xlfn.IFS(Table1[[#This Row],[age]]&lt;=30,"Young Adults",Table1[[#This Row],[age]]&lt;=45,"Adults",Table1[[#This Row],[age]]&lt;=60,"Seniors",Table1[[#This Row],[age]]&gt;=61,"Elderly")</f>
        <v>Adults</v>
      </c>
    </row>
    <row r="1219" spans="1:8">
      <c r="A1219">
        <v>29</v>
      </c>
      <c r="B1219" t="s">
        <v>11</v>
      </c>
      <c r="C1219">
        <v>37.29</v>
      </c>
      <c r="D1219">
        <v>2</v>
      </c>
      <c r="E1219" t="s">
        <v>12</v>
      </c>
      <c r="F1219" t="s">
        <v>13</v>
      </c>
      <c r="G1219">
        <v>4058.12</v>
      </c>
      <c r="H1219" s="11" t="str" cm="1">
        <f t="array" ref="H1219">_xlfn.IFS(Table1[[#This Row],[age]]&lt;=30,"Young Adults",Table1[[#This Row],[age]]&lt;=45,"Adults",Table1[[#This Row],[age]]&lt;=60,"Seniors",Table1[[#This Row],[age]]&gt;=61,"Elderly")</f>
        <v>Young Adults</v>
      </c>
    </row>
    <row r="1220" spans="1:8">
      <c r="A1220">
        <v>46</v>
      </c>
      <c r="B1220" t="s">
        <v>8</v>
      </c>
      <c r="C1220">
        <v>34.6</v>
      </c>
      <c r="D1220">
        <v>1</v>
      </c>
      <c r="E1220" t="s">
        <v>9</v>
      </c>
      <c r="F1220" t="s">
        <v>10</v>
      </c>
      <c r="G1220">
        <v>41661.6</v>
      </c>
      <c r="H1220" s="11" t="str" cm="1">
        <f t="array" ref="H1220">_xlfn.IFS(Table1[[#This Row],[age]]&lt;=30,"Young Adults",Table1[[#This Row],[age]]&lt;=45,"Adults",Table1[[#This Row],[age]]&lt;=60,"Seniors",Table1[[#This Row],[age]]&gt;=61,"Elderly")</f>
        <v>Seniors</v>
      </c>
    </row>
    <row r="1221" spans="1:8">
      <c r="A1221">
        <v>38</v>
      </c>
      <c r="B1221" t="s">
        <v>8</v>
      </c>
      <c r="C1221">
        <v>30.21</v>
      </c>
      <c r="D1221">
        <v>3</v>
      </c>
      <c r="E1221" t="s">
        <v>12</v>
      </c>
      <c r="F1221" t="s">
        <v>14</v>
      </c>
      <c r="G1221">
        <v>7537.16</v>
      </c>
      <c r="H1221" s="11" t="str" cm="1">
        <f t="array" ref="H1221">_xlfn.IFS(Table1[[#This Row],[age]]&lt;=30,"Young Adults",Table1[[#This Row],[age]]&lt;=45,"Adults",Table1[[#This Row],[age]]&lt;=60,"Seniors",Table1[[#This Row],[age]]&gt;=61,"Elderly")</f>
        <v>Adults</v>
      </c>
    </row>
    <row r="1222" spans="1:8">
      <c r="A1222">
        <v>30</v>
      </c>
      <c r="B1222" t="s">
        <v>8</v>
      </c>
      <c r="C1222">
        <v>21.945</v>
      </c>
      <c r="D1222">
        <v>1</v>
      </c>
      <c r="E1222" t="s">
        <v>12</v>
      </c>
      <c r="F1222" t="s">
        <v>15</v>
      </c>
      <c r="G1222">
        <v>4718.2</v>
      </c>
      <c r="H1222" s="11" t="str" cm="1">
        <f t="array" ref="H1222">_xlfn.IFS(Table1[[#This Row],[age]]&lt;=30,"Young Adults",Table1[[#This Row],[age]]&lt;=45,"Adults",Table1[[#This Row],[age]]&lt;=60,"Seniors",Table1[[#This Row],[age]]&gt;=61,"Elderly")</f>
        <v>Young Adults</v>
      </c>
    </row>
    <row r="1223" spans="1:8">
      <c r="A1223">
        <v>40</v>
      </c>
      <c r="B1223" t="s">
        <v>11</v>
      </c>
      <c r="C1223">
        <v>24.97</v>
      </c>
      <c r="D1223">
        <v>2</v>
      </c>
      <c r="E1223" t="s">
        <v>12</v>
      </c>
      <c r="F1223" t="s">
        <v>13</v>
      </c>
      <c r="G1223">
        <v>6593.51</v>
      </c>
      <c r="H1223" s="11" t="str" cm="1">
        <f t="array" ref="H1223">_xlfn.IFS(Table1[[#This Row],[age]]&lt;=30,"Young Adults",Table1[[#This Row],[age]]&lt;=45,"Adults",Table1[[#This Row],[age]]&lt;=60,"Seniors",Table1[[#This Row],[age]]&gt;=61,"Elderly")</f>
        <v>Adults</v>
      </c>
    </row>
    <row r="1224" spans="1:8">
      <c r="A1224">
        <v>50</v>
      </c>
      <c r="B1224" t="s">
        <v>11</v>
      </c>
      <c r="C1224">
        <v>25.3</v>
      </c>
      <c r="D1224">
        <v>0</v>
      </c>
      <c r="E1224" t="s">
        <v>12</v>
      </c>
      <c r="F1224" t="s">
        <v>13</v>
      </c>
      <c r="G1224">
        <v>8442.67</v>
      </c>
      <c r="H1224" s="11" t="str" cm="1">
        <f t="array" ref="H1224">_xlfn.IFS(Table1[[#This Row],[age]]&lt;=30,"Young Adults",Table1[[#This Row],[age]]&lt;=45,"Adults",Table1[[#This Row],[age]]&lt;=60,"Seniors",Table1[[#This Row],[age]]&gt;=61,"Elderly")</f>
        <v>Seniors</v>
      </c>
    </row>
    <row r="1225" spans="1:8">
      <c r="A1225">
        <v>20</v>
      </c>
      <c r="B1225" t="s">
        <v>8</v>
      </c>
      <c r="C1225">
        <v>24.42</v>
      </c>
      <c r="D1225">
        <v>0</v>
      </c>
      <c r="E1225" t="s">
        <v>9</v>
      </c>
      <c r="F1225" t="s">
        <v>13</v>
      </c>
      <c r="G1225">
        <v>26125.67</v>
      </c>
      <c r="H1225" s="11" t="str" cm="1">
        <f t="array" ref="H1225">_xlfn.IFS(Table1[[#This Row],[age]]&lt;=30,"Young Adults",Table1[[#This Row],[age]]&lt;=45,"Adults",Table1[[#This Row],[age]]&lt;=60,"Seniors",Table1[[#This Row],[age]]&gt;=61,"Elderly")</f>
        <v>Young Adults</v>
      </c>
    </row>
    <row r="1226" spans="1:8">
      <c r="A1226">
        <v>41</v>
      </c>
      <c r="B1226" t="s">
        <v>11</v>
      </c>
      <c r="C1226">
        <v>23.94</v>
      </c>
      <c r="D1226">
        <v>1</v>
      </c>
      <c r="E1226" t="s">
        <v>12</v>
      </c>
      <c r="F1226" t="s">
        <v>15</v>
      </c>
      <c r="G1226">
        <v>6858.48</v>
      </c>
      <c r="H1226" s="11" t="str" cm="1">
        <f t="array" ref="H1226">_xlfn.IFS(Table1[[#This Row],[age]]&lt;=30,"Young Adults",Table1[[#This Row],[age]]&lt;=45,"Adults",Table1[[#This Row],[age]]&lt;=60,"Seniors",Table1[[#This Row],[age]]&gt;=61,"Elderly")</f>
        <v>Adults</v>
      </c>
    </row>
    <row r="1227" spans="1:8">
      <c r="A1227">
        <v>33</v>
      </c>
      <c r="B1227" t="s">
        <v>8</v>
      </c>
      <c r="C1227">
        <v>39.82</v>
      </c>
      <c r="D1227">
        <v>1</v>
      </c>
      <c r="E1227" t="s">
        <v>12</v>
      </c>
      <c r="F1227" t="s">
        <v>13</v>
      </c>
      <c r="G1227">
        <v>4795.66</v>
      </c>
      <c r="H1227" s="11" t="str" cm="1">
        <f t="array" ref="H1227">_xlfn.IFS(Table1[[#This Row],[age]]&lt;=30,"Young Adults",Table1[[#This Row],[age]]&lt;=45,"Adults",Table1[[#This Row],[age]]&lt;=60,"Seniors",Table1[[#This Row],[age]]&gt;=61,"Elderly")</f>
        <v>Adults</v>
      </c>
    </row>
    <row r="1228" spans="1:8">
      <c r="A1228">
        <v>38</v>
      </c>
      <c r="B1228" t="s">
        <v>11</v>
      </c>
      <c r="C1228">
        <v>16.815</v>
      </c>
      <c r="D1228">
        <v>2</v>
      </c>
      <c r="E1228" t="s">
        <v>12</v>
      </c>
      <c r="F1228" t="s">
        <v>15</v>
      </c>
      <c r="G1228">
        <v>6640.54</v>
      </c>
      <c r="H1228" s="11" t="str" cm="1">
        <f t="array" ref="H1228">_xlfn.IFS(Table1[[#This Row],[age]]&lt;=30,"Young Adults",Table1[[#This Row],[age]]&lt;=45,"Adults",Table1[[#This Row],[age]]&lt;=60,"Seniors",Table1[[#This Row],[age]]&gt;=61,"Elderly")</f>
        <v>Adults</v>
      </c>
    </row>
    <row r="1229" spans="1:8">
      <c r="A1229">
        <v>42</v>
      </c>
      <c r="B1229" t="s">
        <v>11</v>
      </c>
      <c r="C1229">
        <v>37.18</v>
      </c>
      <c r="D1229">
        <v>2</v>
      </c>
      <c r="E1229" t="s">
        <v>12</v>
      </c>
      <c r="F1229" t="s">
        <v>13</v>
      </c>
      <c r="G1229">
        <v>7162.01</v>
      </c>
      <c r="H1229" s="11" t="str" cm="1">
        <f t="array" ref="H1229">_xlfn.IFS(Table1[[#This Row],[age]]&lt;=30,"Young Adults",Table1[[#This Row],[age]]&lt;=45,"Adults",Table1[[#This Row],[age]]&lt;=60,"Seniors",Table1[[#This Row],[age]]&gt;=61,"Elderly")</f>
        <v>Adults</v>
      </c>
    </row>
    <row r="1230" spans="1:8">
      <c r="A1230">
        <v>56</v>
      </c>
      <c r="B1230" t="s">
        <v>11</v>
      </c>
      <c r="C1230">
        <v>34.43</v>
      </c>
      <c r="D1230">
        <v>0</v>
      </c>
      <c r="E1230" t="s">
        <v>12</v>
      </c>
      <c r="F1230" t="s">
        <v>13</v>
      </c>
      <c r="G1230">
        <v>10594.23</v>
      </c>
      <c r="H1230" s="11" t="str" cm="1">
        <f t="array" ref="H1230">_xlfn.IFS(Table1[[#This Row],[age]]&lt;=30,"Young Adults",Table1[[#This Row],[age]]&lt;=45,"Adults",Table1[[#This Row],[age]]&lt;=60,"Seniors",Table1[[#This Row],[age]]&gt;=61,"Elderly")</f>
        <v>Seniors</v>
      </c>
    </row>
    <row r="1231" spans="1:8">
      <c r="A1231">
        <v>58</v>
      </c>
      <c r="B1231" t="s">
        <v>11</v>
      </c>
      <c r="C1231">
        <v>30.305</v>
      </c>
      <c r="D1231">
        <v>0</v>
      </c>
      <c r="E1231" t="s">
        <v>12</v>
      </c>
      <c r="F1231" t="s">
        <v>15</v>
      </c>
      <c r="G1231">
        <v>11938.26</v>
      </c>
      <c r="H1231" s="11" t="str" cm="1">
        <f t="array" ref="H1231">_xlfn.IFS(Table1[[#This Row],[age]]&lt;=30,"Young Adults",Table1[[#This Row],[age]]&lt;=45,"Adults",Table1[[#This Row],[age]]&lt;=60,"Seniors",Table1[[#This Row],[age]]&gt;=61,"Elderly")</f>
        <v>Seniors</v>
      </c>
    </row>
    <row r="1232" spans="1:8">
      <c r="A1232">
        <v>52</v>
      </c>
      <c r="B1232" t="s">
        <v>11</v>
      </c>
      <c r="C1232">
        <v>34.485</v>
      </c>
      <c r="D1232">
        <v>3</v>
      </c>
      <c r="E1232" t="s">
        <v>9</v>
      </c>
      <c r="F1232" t="s">
        <v>14</v>
      </c>
      <c r="G1232">
        <v>60021.4</v>
      </c>
      <c r="H1232" s="11" t="str" cm="1">
        <f t="array" ref="H1232">_xlfn.IFS(Table1[[#This Row],[age]]&lt;=30,"Young Adults",Table1[[#This Row],[age]]&lt;=45,"Adults",Table1[[#This Row],[age]]&lt;=60,"Seniors",Table1[[#This Row],[age]]&gt;=61,"Elderly")</f>
        <v>Seniors</v>
      </c>
    </row>
    <row r="1233" spans="1:8">
      <c r="A1233">
        <v>20</v>
      </c>
      <c r="B1233" t="s">
        <v>8</v>
      </c>
      <c r="C1233">
        <v>21.8</v>
      </c>
      <c r="D1233">
        <v>0</v>
      </c>
      <c r="E1233" t="s">
        <v>9</v>
      </c>
      <c r="F1233" t="s">
        <v>10</v>
      </c>
      <c r="G1233">
        <v>20167.34</v>
      </c>
      <c r="H1233" s="11" t="str" cm="1">
        <f t="array" ref="H1233">_xlfn.IFS(Table1[[#This Row],[age]]&lt;=30,"Young Adults",Table1[[#This Row],[age]]&lt;=45,"Adults",Table1[[#This Row],[age]]&lt;=60,"Seniors",Table1[[#This Row],[age]]&gt;=61,"Elderly")</f>
        <v>Young Adults</v>
      </c>
    </row>
    <row r="1234" spans="1:8">
      <c r="A1234">
        <v>54</v>
      </c>
      <c r="B1234" t="s">
        <v>8</v>
      </c>
      <c r="C1234">
        <v>24.605</v>
      </c>
      <c r="D1234">
        <v>3</v>
      </c>
      <c r="E1234" t="s">
        <v>12</v>
      </c>
      <c r="F1234" t="s">
        <v>14</v>
      </c>
      <c r="G1234">
        <v>12479.71</v>
      </c>
      <c r="H1234" s="11" t="str" cm="1">
        <f t="array" ref="H1234">_xlfn.IFS(Table1[[#This Row],[age]]&lt;=30,"Young Adults",Table1[[#This Row],[age]]&lt;=45,"Adults",Table1[[#This Row],[age]]&lt;=60,"Seniors",Table1[[#This Row],[age]]&gt;=61,"Elderly")</f>
        <v>Seniors</v>
      </c>
    </row>
    <row r="1235" spans="1:8">
      <c r="A1235">
        <v>58</v>
      </c>
      <c r="B1235" t="s">
        <v>11</v>
      </c>
      <c r="C1235">
        <v>23.3</v>
      </c>
      <c r="D1235">
        <v>0</v>
      </c>
      <c r="E1235" t="s">
        <v>12</v>
      </c>
      <c r="F1235" t="s">
        <v>10</v>
      </c>
      <c r="G1235">
        <v>11345.52</v>
      </c>
      <c r="H1235" s="11" t="str" cm="1">
        <f t="array" ref="H1235">_xlfn.IFS(Table1[[#This Row],[age]]&lt;=30,"Young Adults",Table1[[#This Row],[age]]&lt;=45,"Adults",Table1[[#This Row],[age]]&lt;=60,"Seniors",Table1[[#This Row],[age]]&gt;=61,"Elderly")</f>
        <v>Seniors</v>
      </c>
    </row>
    <row r="1236" spans="1:8">
      <c r="A1236">
        <v>45</v>
      </c>
      <c r="B1236" t="s">
        <v>8</v>
      </c>
      <c r="C1236">
        <v>27.83</v>
      </c>
      <c r="D1236">
        <v>2</v>
      </c>
      <c r="E1236" t="s">
        <v>12</v>
      </c>
      <c r="F1236" t="s">
        <v>13</v>
      </c>
      <c r="G1236">
        <v>8515.76</v>
      </c>
      <c r="H1236" s="11" t="str" cm="1">
        <f t="array" ref="H1236">_xlfn.IFS(Table1[[#This Row],[age]]&lt;=30,"Young Adults",Table1[[#This Row],[age]]&lt;=45,"Adults",Table1[[#This Row],[age]]&lt;=60,"Seniors",Table1[[#This Row],[age]]&gt;=61,"Elderly")</f>
        <v>Adults</v>
      </c>
    </row>
    <row r="1237" spans="1:8">
      <c r="A1237">
        <v>26</v>
      </c>
      <c r="B1237" t="s">
        <v>11</v>
      </c>
      <c r="C1237">
        <v>31.065</v>
      </c>
      <c r="D1237">
        <v>0</v>
      </c>
      <c r="E1237" t="s">
        <v>12</v>
      </c>
      <c r="F1237" t="s">
        <v>14</v>
      </c>
      <c r="G1237">
        <v>2699.57</v>
      </c>
      <c r="H1237" s="11" t="str" cm="1">
        <f t="array" ref="H1237">_xlfn.IFS(Table1[[#This Row],[age]]&lt;=30,"Young Adults",Table1[[#This Row],[age]]&lt;=45,"Adults",Table1[[#This Row],[age]]&lt;=60,"Seniors",Table1[[#This Row],[age]]&gt;=61,"Elderly")</f>
        <v>Young Adults</v>
      </c>
    </row>
    <row r="1238" spans="1:8">
      <c r="A1238">
        <v>63</v>
      </c>
      <c r="B1238" t="s">
        <v>8</v>
      </c>
      <c r="C1238">
        <v>21.66</v>
      </c>
      <c r="D1238">
        <v>0</v>
      </c>
      <c r="E1238" t="s">
        <v>12</v>
      </c>
      <c r="F1238" t="s">
        <v>15</v>
      </c>
      <c r="G1238">
        <v>14449.85</v>
      </c>
      <c r="H1238" s="11" t="str" cm="1">
        <f t="array" ref="H1238">_xlfn.IFS(Table1[[#This Row],[age]]&lt;=30,"Young Adults",Table1[[#This Row],[age]]&lt;=45,"Adults",Table1[[#This Row],[age]]&lt;=60,"Seniors",Table1[[#This Row],[age]]&gt;=61,"Elderly")</f>
        <v>Elderly</v>
      </c>
    </row>
    <row r="1239" spans="1:8">
      <c r="A1239">
        <v>58</v>
      </c>
      <c r="B1239" t="s">
        <v>8</v>
      </c>
      <c r="C1239">
        <v>28.215</v>
      </c>
      <c r="D1239">
        <v>0</v>
      </c>
      <c r="E1239" t="s">
        <v>12</v>
      </c>
      <c r="F1239" t="s">
        <v>14</v>
      </c>
      <c r="G1239">
        <v>12224.35</v>
      </c>
      <c r="H1239" s="11" t="str" cm="1">
        <f t="array" ref="H1239">_xlfn.IFS(Table1[[#This Row],[age]]&lt;=30,"Young Adults",Table1[[#This Row],[age]]&lt;=45,"Adults",Table1[[#This Row],[age]]&lt;=60,"Seniors",Table1[[#This Row],[age]]&gt;=61,"Elderly")</f>
        <v>Seniors</v>
      </c>
    </row>
    <row r="1240" spans="1:8">
      <c r="A1240">
        <v>37</v>
      </c>
      <c r="B1240" t="s">
        <v>11</v>
      </c>
      <c r="C1240">
        <v>22.705</v>
      </c>
      <c r="D1240">
        <v>3</v>
      </c>
      <c r="E1240" t="s">
        <v>12</v>
      </c>
      <c r="F1240" t="s">
        <v>15</v>
      </c>
      <c r="G1240">
        <v>6985.51</v>
      </c>
      <c r="H1240" s="11" t="str" cm="1">
        <f t="array" ref="H1240">_xlfn.IFS(Table1[[#This Row],[age]]&lt;=30,"Young Adults",Table1[[#This Row],[age]]&lt;=45,"Adults",Table1[[#This Row],[age]]&lt;=60,"Seniors",Table1[[#This Row],[age]]&gt;=61,"Elderly")</f>
        <v>Adults</v>
      </c>
    </row>
    <row r="1241" spans="1:8">
      <c r="A1241">
        <v>25</v>
      </c>
      <c r="B1241" t="s">
        <v>8</v>
      </c>
      <c r="C1241">
        <v>42.13</v>
      </c>
      <c r="D1241">
        <v>1</v>
      </c>
      <c r="E1241" t="s">
        <v>12</v>
      </c>
      <c r="F1241" t="s">
        <v>13</v>
      </c>
      <c r="G1241">
        <v>3238.44</v>
      </c>
      <c r="H1241" s="11" t="str" cm="1">
        <f t="array" ref="H1241">_xlfn.IFS(Table1[[#This Row],[age]]&lt;=30,"Young Adults",Table1[[#This Row],[age]]&lt;=45,"Adults",Table1[[#This Row],[age]]&lt;=60,"Seniors",Table1[[#This Row],[age]]&gt;=61,"Elderly")</f>
        <v>Young Adults</v>
      </c>
    </row>
    <row r="1242" spans="1:8">
      <c r="A1242">
        <v>52</v>
      </c>
      <c r="B1242" t="s">
        <v>11</v>
      </c>
      <c r="C1242">
        <v>41.8</v>
      </c>
      <c r="D1242">
        <v>2</v>
      </c>
      <c r="E1242" t="s">
        <v>9</v>
      </c>
      <c r="F1242" t="s">
        <v>13</v>
      </c>
      <c r="G1242">
        <v>47269.85</v>
      </c>
      <c r="H1242" s="11" t="str" cm="1">
        <f t="array" ref="H1242">_xlfn.IFS(Table1[[#This Row],[age]]&lt;=30,"Young Adults",Table1[[#This Row],[age]]&lt;=45,"Adults",Table1[[#This Row],[age]]&lt;=60,"Seniors",Table1[[#This Row],[age]]&gt;=61,"Elderly")</f>
        <v>Seniors</v>
      </c>
    </row>
    <row r="1243" spans="1:8">
      <c r="A1243">
        <v>64</v>
      </c>
      <c r="B1243" t="s">
        <v>11</v>
      </c>
      <c r="C1243">
        <v>36.96</v>
      </c>
      <c r="D1243">
        <v>2</v>
      </c>
      <c r="E1243" t="s">
        <v>9</v>
      </c>
      <c r="F1243" t="s">
        <v>13</v>
      </c>
      <c r="G1243">
        <v>49577.66</v>
      </c>
      <c r="H1243" s="11" t="str" cm="1">
        <f t="array" ref="H1243">_xlfn.IFS(Table1[[#This Row],[age]]&lt;=30,"Young Adults",Table1[[#This Row],[age]]&lt;=45,"Adults",Table1[[#This Row],[age]]&lt;=60,"Seniors",Table1[[#This Row],[age]]&gt;=61,"Elderly")</f>
        <v>Elderly</v>
      </c>
    </row>
    <row r="1244" spans="1:8">
      <c r="A1244">
        <v>22</v>
      </c>
      <c r="B1244" t="s">
        <v>8</v>
      </c>
      <c r="C1244">
        <v>21.28</v>
      </c>
      <c r="D1244">
        <v>3</v>
      </c>
      <c r="E1244" t="s">
        <v>12</v>
      </c>
      <c r="F1244" t="s">
        <v>14</v>
      </c>
      <c r="G1244">
        <v>4296.27</v>
      </c>
      <c r="H1244" s="11" t="str" cm="1">
        <f t="array" ref="H1244">_xlfn.IFS(Table1[[#This Row],[age]]&lt;=30,"Young Adults",Table1[[#This Row],[age]]&lt;=45,"Adults",Table1[[#This Row],[age]]&lt;=60,"Seniors",Table1[[#This Row],[age]]&gt;=61,"Elderly")</f>
        <v>Young Adults</v>
      </c>
    </row>
    <row r="1245" spans="1:8">
      <c r="A1245">
        <v>28</v>
      </c>
      <c r="B1245" t="s">
        <v>8</v>
      </c>
      <c r="C1245">
        <v>33.11</v>
      </c>
      <c r="D1245">
        <v>0</v>
      </c>
      <c r="E1245" t="s">
        <v>12</v>
      </c>
      <c r="F1245" t="s">
        <v>13</v>
      </c>
      <c r="G1245">
        <v>3171.61</v>
      </c>
      <c r="H1245" s="11" t="str" cm="1">
        <f t="array" ref="H1245">_xlfn.IFS(Table1[[#This Row],[age]]&lt;=30,"Young Adults",Table1[[#This Row],[age]]&lt;=45,"Adults",Table1[[#This Row],[age]]&lt;=60,"Seniors",Table1[[#This Row],[age]]&gt;=61,"Elderly")</f>
        <v>Young Adults</v>
      </c>
    </row>
    <row r="1246" spans="1:8">
      <c r="A1246">
        <v>18</v>
      </c>
      <c r="B1246" t="s">
        <v>11</v>
      </c>
      <c r="C1246">
        <v>33.33</v>
      </c>
      <c r="D1246">
        <v>0</v>
      </c>
      <c r="E1246" t="s">
        <v>12</v>
      </c>
      <c r="F1246" t="s">
        <v>13</v>
      </c>
      <c r="G1246">
        <v>1135.94</v>
      </c>
      <c r="H1246" s="11" t="str" cm="1">
        <f t="array" ref="H1246">_xlfn.IFS(Table1[[#This Row],[age]]&lt;=30,"Young Adults",Table1[[#This Row],[age]]&lt;=45,"Adults",Table1[[#This Row],[age]]&lt;=60,"Seniors",Table1[[#This Row],[age]]&gt;=61,"Elderly")</f>
        <v>Young Adults</v>
      </c>
    </row>
    <row r="1247" spans="1:8">
      <c r="A1247">
        <v>28</v>
      </c>
      <c r="B1247" t="s">
        <v>11</v>
      </c>
      <c r="C1247">
        <v>24.3</v>
      </c>
      <c r="D1247">
        <v>5</v>
      </c>
      <c r="E1247" t="s">
        <v>12</v>
      </c>
      <c r="F1247" t="s">
        <v>10</v>
      </c>
      <c r="G1247">
        <v>5615.37</v>
      </c>
      <c r="H1247" s="11" t="str" cm="1">
        <f t="array" ref="H1247">_xlfn.IFS(Table1[[#This Row],[age]]&lt;=30,"Young Adults",Table1[[#This Row],[age]]&lt;=45,"Adults",Table1[[#This Row],[age]]&lt;=60,"Seniors",Table1[[#This Row],[age]]&gt;=61,"Elderly")</f>
        <v>Young Adults</v>
      </c>
    </row>
    <row r="1248" spans="1:8">
      <c r="A1248">
        <v>45</v>
      </c>
      <c r="B1248" t="s">
        <v>8</v>
      </c>
      <c r="C1248">
        <v>25.7</v>
      </c>
      <c r="D1248">
        <v>3</v>
      </c>
      <c r="E1248" t="s">
        <v>12</v>
      </c>
      <c r="F1248" t="s">
        <v>10</v>
      </c>
      <c r="G1248">
        <v>9101.8</v>
      </c>
      <c r="H1248" s="11" t="str" cm="1">
        <f t="array" ref="H1248">_xlfn.IFS(Table1[[#This Row],[age]]&lt;=30,"Young Adults",Table1[[#This Row],[age]]&lt;=45,"Adults",Table1[[#This Row],[age]]&lt;=60,"Seniors",Table1[[#This Row],[age]]&gt;=61,"Elderly")</f>
        <v>Adults</v>
      </c>
    </row>
    <row r="1249" spans="1:8">
      <c r="A1249">
        <v>33</v>
      </c>
      <c r="B1249" t="s">
        <v>11</v>
      </c>
      <c r="C1249">
        <v>29.4</v>
      </c>
      <c r="D1249">
        <v>4</v>
      </c>
      <c r="E1249" t="s">
        <v>12</v>
      </c>
      <c r="F1249" t="s">
        <v>10</v>
      </c>
      <c r="G1249">
        <v>6059.17</v>
      </c>
      <c r="H1249" s="11" t="str" cm="1">
        <f t="array" ref="H1249">_xlfn.IFS(Table1[[#This Row],[age]]&lt;=30,"Young Adults",Table1[[#This Row],[age]]&lt;=45,"Adults",Table1[[#This Row],[age]]&lt;=60,"Seniors",Table1[[#This Row],[age]]&gt;=61,"Elderly")</f>
        <v>Adults</v>
      </c>
    </row>
    <row r="1250" spans="1:8">
      <c r="A1250">
        <v>18</v>
      </c>
      <c r="B1250" t="s">
        <v>8</v>
      </c>
      <c r="C1250">
        <v>39.82</v>
      </c>
      <c r="D1250">
        <v>0</v>
      </c>
      <c r="E1250" t="s">
        <v>12</v>
      </c>
      <c r="F1250" t="s">
        <v>13</v>
      </c>
      <c r="G1250">
        <v>1633.96</v>
      </c>
      <c r="H1250" s="11" t="str" cm="1">
        <f t="array" ref="H1250">_xlfn.IFS(Table1[[#This Row],[age]]&lt;=30,"Young Adults",Table1[[#This Row],[age]]&lt;=45,"Adults",Table1[[#This Row],[age]]&lt;=60,"Seniors",Table1[[#This Row],[age]]&gt;=61,"Elderly")</f>
        <v>Young Adults</v>
      </c>
    </row>
    <row r="1251" spans="1:8">
      <c r="A1251">
        <v>32</v>
      </c>
      <c r="B1251" t="s">
        <v>11</v>
      </c>
      <c r="C1251">
        <v>33.63</v>
      </c>
      <c r="D1251">
        <v>1</v>
      </c>
      <c r="E1251" t="s">
        <v>9</v>
      </c>
      <c r="F1251" t="s">
        <v>15</v>
      </c>
      <c r="G1251">
        <v>37607.53</v>
      </c>
      <c r="H1251" s="11" t="str" cm="1">
        <f t="array" ref="H1251">_xlfn.IFS(Table1[[#This Row],[age]]&lt;=30,"Young Adults",Table1[[#This Row],[age]]&lt;=45,"Adults",Table1[[#This Row],[age]]&lt;=60,"Seniors",Table1[[#This Row],[age]]&gt;=61,"Elderly")</f>
        <v>Adults</v>
      </c>
    </row>
    <row r="1252" spans="1:8">
      <c r="A1252">
        <v>24</v>
      </c>
      <c r="B1252" t="s">
        <v>11</v>
      </c>
      <c r="C1252">
        <v>29.83</v>
      </c>
      <c r="D1252">
        <v>0</v>
      </c>
      <c r="E1252" t="s">
        <v>9</v>
      </c>
      <c r="F1252" t="s">
        <v>15</v>
      </c>
      <c r="G1252">
        <v>18648.42</v>
      </c>
      <c r="H1252" s="11" t="str" cm="1">
        <f t="array" ref="H1252">_xlfn.IFS(Table1[[#This Row],[age]]&lt;=30,"Young Adults",Table1[[#This Row],[age]]&lt;=45,"Adults",Table1[[#This Row],[age]]&lt;=60,"Seniors",Table1[[#This Row],[age]]&gt;=61,"Elderly")</f>
        <v>Young Adults</v>
      </c>
    </row>
    <row r="1253" spans="1:8">
      <c r="A1253">
        <v>19</v>
      </c>
      <c r="B1253" t="s">
        <v>11</v>
      </c>
      <c r="C1253">
        <v>19.8</v>
      </c>
      <c r="D1253">
        <v>0</v>
      </c>
      <c r="E1253" t="s">
        <v>12</v>
      </c>
      <c r="F1253" t="s">
        <v>10</v>
      </c>
      <c r="G1253">
        <v>1241.57</v>
      </c>
      <c r="H1253" s="11" t="str" cm="1">
        <f t="array" ref="H1253">_xlfn.IFS(Table1[[#This Row],[age]]&lt;=30,"Young Adults",Table1[[#This Row],[age]]&lt;=45,"Adults",Table1[[#This Row],[age]]&lt;=60,"Seniors",Table1[[#This Row],[age]]&gt;=61,"Elderly")</f>
        <v>Young Adults</v>
      </c>
    </row>
    <row r="1254" spans="1:8">
      <c r="A1254">
        <v>20</v>
      </c>
      <c r="B1254" t="s">
        <v>11</v>
      </c>
      <c r="C1254">
        <v>27.3</v>
      </c>
      <c r="D1254">
        <v>0</v>
      </c>
      <c r="E1254" t="s">
        <v>9</v>
      </c>
      <c r="F1254" t="s">
        <v>10</v>
      </c>
      <c r="G1254">
        <v>16232.85</v>
      </c>
      <c r="H1254" s="11" t="str" cm="1">
        <f t="array" ref="H1254">_xlfn.IFS(Table1[[#This Row],[age]]&lt;=30,"Young Adults",Table1[[#This Row],[age]]&lt;=45,"Adults",Table1[[#This Row],[age]]&lt;=60,"Seniors",Table1[[#This Row],[age]]&gt;=61,"Elderly")</f>
        <v>Young Adults</v>
      </c>
    </row>
    <row r="1255" spans="1:8">
      <c r="A1255">
        <v>40</v>
      </c>
      <c r="B1255" t="s">
        <v>8</v>
      </c>
      <c r="C1255">
        <v>29.3</v>
      </c>
      <c r="D1255">
        <v>4</v>
      </c>
      <c r="E1255" t="s">
        <v>12</v>
      </c>
      <c r="F1255" t="s">
        <v>10</v>
      </c>
      <c r="G1255">
        <v>15828.82</v>
      </c>
      <c r="H1255" s="11" t="str" cm="1">
        <f t="array" ref="H1255">_xlfn.IFS(Table1[[#This Row],[age]]&lt;=30,"Young Adults",Table1[[#This Row],[age]]&lt;=45,"Adults",Table1[[#This Row],[age]]&lt;=60,"Seniors",Table1[[#This Row],[age]]&gt;=61,"Elderly")</f>
        <v>Adults</v>
      </c>
    </row>
    <row r="1256" spans="1:8">
      <c r="A1256">
        <v>34</v>
      </c>
      <c r="B1256" t="s">
        <v>8</v>
      </c>
      <c r="C1256">
        <v>27.72</v>
      </c>
      <c r="D1256">
        <v>0</v>
      </c>
      <c r="E1256" t="s">
        <v>12</v>
      </c>
      <c r="F1256" t="s">
        <v>13</v>
      </c>
      <c r="G1256">
        <v>4415.16</v>
      </c>
      <c r="H1256" s="11" t="str" cm="1">
        <f t="array" ref="H1256">_xlfn.IFS(Table1[[#This Row],[age]]&lt;=30,"Young Adults",Table1[[#This Row],[age]]&lt;=45,"Adults",Table1[[#This Row],[age]]&lt;=60,"Seniors",Table1[[#This Row],[age]]&gt;=61,"Elderly")</f>
        <v>Adults</v>
      </c>
    </row>
    <row r="1257" spans="1:8">
      <c r="A1257">
        <v>42</v>
      </c>
      <c r="B1257" t="s">
        <v>8</v>
      </c>
      <c r="C1257">
        <v>37.9</v>
      </c>
      <c r="D1257">
        <v>0</v>
      </c>
      <c r="E1257" t="s">
        <v>12</v>
      </c>
      <c r="F1257" t="s">
        <v>10</v>
      </c>
      <c r="G1257">
        <v>6474.01</v>
      </c>
      <c r="H1257" s="11" t="str" cm="1">
        <f t="array" ref="H1257">_xlfn.IFS(Table1[[#This Row],[age]]&lt;=30,"Young Adults",Table1[[#This Row],[age]]&lt;=45,"Adults",Table1[[#This Row],[age]]&lt;=60,"Seniors",Table1[[#This Row],[age]]&gt;=61,"Elderly")</f>
        <v>Adults</v>
      </c>
    </row>
    <row r="1258" spans="1:8">
      <c r="A1258">
        <v>51</v>
      </c>
      <c r="B1258" t="s">
        <v>8</v>
      </c>
      <c r="C1258">
        <v>36.385</v>
      </c>
      <c r="D1258">
        <v>3</v>
      </c>
      <c r="E1258" t="s">
        <v>12</v>
      </c>
      <c r="F1258" t="s">
        <v>14</v>
      </c>
      <c r="G1258">
        <v>11436.74</v>
      </c>
      <c r="H1258" s="11" t="str" cm="1">
        <f t="array" ref="H1258">_xlfn.IFS(Table1[[#This Row],[age]]&lt;=30,"Young Adults",Table1[[#This Row],[age]]&lt;=45,"Adults",Table1[[#This Row],[age]]&lt;=60,"Seniors",Table1[[#This Row],[age]]&gt;=61,"Elderly")</f>
        <v>Seniors</v>
      </c>
    </row>
    <row r="1259" spans="1:8">
      <c r="A1259">
        <v>54</v>
      </c>
      <c r="B1259" t="s">
        <v>8</v>
      </c>
      <c r="C1259">
        <v>27.645</v>
      </c>
      <c r="D1259">
        <v>1</v>
      </c>
      <c r="E1259" t="s">
        <v>12</v>
      </c>
      <c r="F1259" t="s">
        <v>14</v>
      </c>
      <c r="G1259">
        <v>11305.93</v>
      </c>
      <c r="H1259" s="11" t="str" cm="1">
        <f t="array" ref="H1259">_xlfn.IFS(Table1[[#This Row],[age]]&lt;=30,"Young Adults",Table1[[#This Row],[age]]&lt;=45,"Adults",Table1[[#This Row],[age]]&lt;=60,"Seniors",Table1[[#This Row],[age]]&gt;=61,"Elderly")</f>
        <v>Seniors</v>
      </c>
    </row>
    <row r="1260" spans="1:8">
      <c r="A1260">
        <v>55</v>
      </c>
      <c r="B1260" t="s">
        <v>11</v>
      </c>
      <c r="C1260">
        <v>37.715</v>
      </c>
      <c r="D1260">
        <v>3</v>
      </c>
      <c r="E1260" t="s">
        <v>12</v>
      </c>
      <c r="F1260" t="s">
        <v>14</v>
      </c>
      <c r="G1260">
        <v>30063.58</v>
      </c>
      <c r="H1260" s="11" t="str" cm="1">
        <f t="array" ref="H1260">_xlfn.IFS(Table1[[#This Row],[age]]&lt;=30,"Young Adults",Table1[[#This Row],[age]]&lt;=45,"Adults",Table1[[#This Row],[age]]&lt;=60,"Seniors",Table1[[#This Row],[age]]&gt;=61,"Elderly")</f>
        <v>Seniors</v>
      </c>
    </row>
    <row r="1261" spans="1:8">
      <c r="A1261">
        <v>52</v>
      </c>
      <c r="B1261" t="s">
        <v>8</v>
      </c>
      <c r="C1261">
        <v>23.18</v>
      </c>
      <c r="D1261">
        <v>0</v>
      </c>
      <c r="E1261" t="s">
        <v>12</v>
      </c>
      <c r="F1261" t="s">
        <v>15</v>
      </c>
      <c r="G1261">
        <v>10197.77</v>
      </c>
      <c r="H1261" s="11" t="str" cm="1">
        <f t="array" ref="H1261">_xlfn.IFS(Table1[[#This Row],[age]]&lt;=30,"Young Adults",Table1[[#This Row],[age]]&lt;=45,"Adults",Table1[[#This Row],[age]]&lt;=60,"Seniors",Table1[[#This Row],[age]]&gt;=61,"Elderly")</f>
        <v>Seniors</v>
      </c>
    </row>
    <row r="1262" spans="1:8">
      <c r="A1262">
        <v>32</v>
      </c>
      <c r="B1262" t="s">
        <v>8</v>
      </c>
      <c r="C1262">
        <v>20.52</v>
      </c>
      <c r="D1262">
        <v>0</v>
      </c>
      <c r="E1262" t="s">
        <v>12</v>
      </c>
      <c r="F1262" t="s">
        <v>15</v>
      </c>
      <c r="G1262">
        <v>4544.23</v>
      </c>
      <c r="H1262" s="11" t="str" cm="1">
        <f t="array" ref="H1262">_xlfn.IFS(Table1[[#This Row],[age]]&lt;=30,"Young Adults",Table1[[#This Row],[age]]&lt;=45,"Adults",Table1[[#This Row],[age]]&lt;=60,"Seniors",Table1[[#This Row],[age]]&gt;=61,"Elderly")</f>
        <v>Adults</v>
      </c>
    </row>
    <row r="1263" spans="1:8">
      <c r="A1263">
        <v>28</v>
      </c>
      <c r="B1263" t="s">
        <v>11</v>
      </c>
      <c r="C1263">
        <v>37.1</v>
      </c>
      <c r="D1263">
        <v>1</v>
      </c>
      <c r="E1263" t="s">
        <v>12</v>
      </c>
      <c r="F1263" t="s">
        <v>10</v>
      </c>
      <c r="G1263">
        <v>3277.16</v>
      </c>
      <c r="H1263" s="11" t="str" cm="1">
        <f t="array" ref="H1263">_xlfn.IFS(Table1[[#This Row],[age]]&lt;=30,"Young Adults",Table1[[#This Row],[age]]&lt;=45,"Adults",Table1[[#This Row],[age]]&lt;=60,"Seniors",Table1[[#This Row],[age]]&gt;=61,"Elderly")</f>
        <v>Young Adults</v>
      </c>
    </row>
    <row r="1264" spans="1:8">
      <c r="A1264">
        <v>41</v>
      </c>
      <c r="B1264" t="s">
        <v>8</v>
      </c>
      <c r="C1264">
        <v>28.05</v>
      </c>
      <c r="D1264">
        <v>1</v>
      </c>
      <c r="E1264" t="s">
        <v>12</v>
      </c>
      <c r="F1264" t="s">
        <v>13</v>
      </c>
      <c r="G1264">
        <v>6770.19</v>
      </c>
      <c r="H1264" s="11" t="str" cm="1">
        <f t="array" ref="H1264">_xlfn.IFS(Table1[[#This Row],[age]]&lt;=30,"Young Adults",Table1[[#This Row],[age]]&lt;=45,"Adults",Table1[[#This Row],[age]]&lt;=60,"Seniors",Table1[[#This Row],[age]]&gt;=61,"Elderly")</f>
        <v>Adults</v>
      </c>
    </row>
    <row r="1265" spans="1:8">
      <c r="A1265">
        <v>43</v>
      </c>
      <c r="B1265" t="s">
        <v>8</v>
      </c>
      <c r="C1265">
        <v>29.9</v>
      </c>
      <c r="D1265">
        <v>1</v>
      </c>
      <c r="E1265" t="s">
        <v>12</v>
      </c>
      <c r="F1265" t="s">
        <v>10</v>
      </c>
      <c r="G1265">
        <v>7337.75</v>
      </c>
      <c r="H1265" s="11" t="str" cm="1">
        <f t="array" ref="H1265">_xlfn.IFS(Table1[[#This Row],[age]]&lt;=30,"Young Adults",Table1[[#This Row],[age]]&lt;=45,"Adults",Table1[[#This Row],[age]]&lt;=60,"Seniors",Table1[[#This Row],[age]]&gt;=61,"Elderly")</f>
        <v>Adults</v>
      </c>
    </row>
    <row r="1266" spans="1:8">
      <c r="A1266">
        <v>49</v>
      </c>
      <c r="B1266" t="s">
        <v>8</v>
      </c>
      <c r="C1266">
        <v>33.345</v>
      </c>
      <c r="D1266">
        <v>2</v>
      </c>
      <c r="E1266" t="s">
        <v>12</v>
      </c>
      <c r="F1266" t="s">
        <v>15</v>
      </c>
      <c r="G1266">
        <v>10370.91</v>
      </c>
      <c r="H1266" s="11" t="str" cm="1">
        <f t="array" ref="H1266">_xlfn.IFS(Table1[[#This Row],[age]]&lt;=30,"Young Adults",Table1[[#This Row],[age]]&lt;=45,"Adults",Table1[[#This Row],[age]]&lt;=60,"Seniors",Table1[[#This Row],[age]]&gt;=61,"Elderly")</f>
        <v>Seniors</v>
      </c>
    </row>
    <row r="1267" spans="1:8">
      <c r="A1267">
        <v>64</v>
      </c>
      <c r="B1267" t="s">
        <v>11</v>
      </c>
      <c r="C1267">
        <v>23.76</v>
      </c>
      <c r="D1267">
        <v>0</v>
      </c>
      <c r="E1267" t="s">
        <v>9</v>
      </c>
      <c r="F1267" t="s">
        <v>13</v>
      </c>
      <c r="G1267">
        <v>26926.51</v>
      </c>
      <c r="H1267" s="11" t="str" cm="1">
        <f t="array" ref="H1267">_xlfn.IFS(Table1[[#This Row],[age]]&lt;=30,"Young Adults",Table1[[#This Row],[age]]&lt;=45,"Adults",Table1[[#This Row],[age]]&lt;=60,"Seniors",Table1[[#This Row],[age]]&gt;=61,"Elderly")</f>
        <v>Elderly</v>
      </c>
    </row>
    <row r="1268" spans="1:8">
      <c r="A1268">
        <v>55</v>
      </c>
      <c r="B1268" t="s">
        <v>8</v>
      </c>
      <c r="C1268">
        <v>30.5</v>
      </c>
      <c r="D1268">
        <v>0</v>
      </c>
      <c r="E1268" t="s">
        <v>12</v>
      </c>
      <c r="F1268" t="s">
        <v>10</v>
      </c>
      <c r="G1268">
        <v>10704.47</v>
      </c>
      <c r="H1268" s="11" t="str" cm="1">
        <f t="array" ref="H1268">_xlfn.IFS(Table1[[#This Row],[age]]&lt;=30,"Young Adults",Table1[[#This Row],[age]]&lt;=45,"Adults",Table1[[#This Row],[age]]&lt;=60,"Seniors",Table1[[#This Row],[age]]&gt;=61,"Elderly")</f>
        <v>Seniors</v>
      </c>
    </row>
    <row r="1269" spans="1:8">
      <c r="A1269">
        <v>24</v>
      </c>
      <c r="B1269" t="s">
        <v>11</v>
      </c>
      <c r="C1269">
        <v>31.065</v>
      </c>
      <c r="D1269">
        <v>0</v>
      </c>
      <c r="E1269" t="s">
        <v>9</v>
      </c>
      <c r="F1269" t="s">
        <v>15</v>
      </c>
      <c r="G1269">
        <v>34254.05</v>
      </c>
      <c r="H1269" s="11" t="str" cm="1">
        <f t="array" ref="H1269">_xlfn.IFS(Table1[[#This Row],[age]]&lt;=30,"Young Adults",Table1[[#This Row],[age]]&lt;=45,"Adults",Table1[[#This Row],[age]]&lt;=60,"Seniors",Table1[[#This Row],[age]]&gt;=61,"Elderly")</f>
        <v>Young Adults</v>
      </c>
    </row>
    <row r="1270" spans="1:8">
      <c r="A1270">
        <v>20</v>
      </c>
      <c r="B1270" t="s">
        <v>8</v>
      </c>
      <c r="C1270">
        <v>33.3</v>
      </c>
      <c r="D1270">
        <v>0</v>
      </c>
      <c r="E1270" t="s">
        <v>12</v>
      </c>
      <c r="F1270" t="s">
        <v>10</v>
      </c>
      <c r="G1270">
        <v>1880.49</v>
      </c>
      <c r="H1270" s="11" t="str" cm="1">
        <f t="array" ref="H1270">_xlfn.IFS(Table1[[#This Row],[age]]&lt;=30,"Young Adults",Table1[[#This Row],[age]]&lt;=45,"Adults",Table1[[#This Row],[age]]&lt;=60,"Seniors",Table1[[#This Row],[age]]&gt;=61,"Elderly")</f>
        <v>Young Adults</v>
      </c>
    </row>
    <row r="1271" spans="1:8">
      <c r="A1271">
        <v>45</v>
      </c>
      <c r="B1271" t="s">
        <v>11</v>
      </c>
      <c r="C1271">
        <v>27.5</v>
      </c>
      <c r="D1271">
        <v>3</v>
      </c>
      <c r="E1271" t="s">
        <v>12</v>
      </c>
      <c r="F1271" t="s">
        <v>10</v>
      </c>
      <c r="G1271">
        <v>8615.3</v>
      </c>
      <c r="H1271" s="11" t="str" cm="1">
        <f t="array" ref="H1271">_xlfn.IFS(Table1[[#This Row],[age]]&lt;=30,"Young Adults",Table1[[#This Row],[age]]&lt;=45,"Adults",Table1[[#This Row],[age]]&lt;=60,"Seniors",Table1[[#This Row],[age]]&gt;=61,"Elderly")</f>
        <v>Adults</v>
      </c>
    </row>
    <row r="1272" spans="1:8">
      <c r="A1272">
        <v>26</v>
      </c>
      <c r="B1272" t="s">
        <v>11</v>
      </c>
      <c r="C1272">
        <v>33.915</v>
      </c>
      <c r="D1272">
        <v>1</v>
      </c>
      <c r="E1272" t="s">
        <v>12</v>
      </c>
      <c r="F1272" t="s">
        <v>14</v>
      </c>
      <c r="G1272">
        <v>3292.53</v>
      </c>
      <c r="H1272" s="11" t="str" cm="1">
        <f t="array" ref="H1272">_xlfn.IFS(Table1[[#This Row],[age]]&lt;=30,"Young Adults",Table1[[#This Row],[age]]&lt;=45,"Adults",Table1[[#This Row],[age]]&lt;=60,"Seniors",Table1[[#This Row],[age]]&gt;=61,"Elderly")</f>
        <v>Young Adults</v>
      </c>
    </row>
    <row r="1273" spans="1:8">
      <c r="A1273">
        <v>25</v>
      </c>
      <c r="B1273" t="s">
        <v>8</v>
      </c>
      <c r="C1273">
        <v>34.485</v>
      </c>
      <c r="D1273">
        <v>0</v>
      </c>
      <c r="E1273" t="s">
        <v>12</v>
      </c>
      <c r="F1273" t="s">
        <v>14</v>
      </c>
      <c r="G1273">
        <v>3021.81</v>
      </c>
      <c r="H1273" s="11" t="str" cm="1">
        <f t="array" ref="H1273">_xlfn.IFS(Table1[[#This Row],[age]]&lt;=30,"Young Adults",Table1[[#This Row],[age]]&lt;=45,"Adults",Table1[[#This Row],[age]]&lt;=60,"Seniors",Table1[[#This Row],[age]]&gt;=61,"Elderly")</f>
        <v>Young Adults</v>
      </c>
    </row>
    <row r="1274" spans="1:8">
      <c r="A1274">
        <v>43</v>
      </c>
      <c r="B1274" t="s">
        <v>11</v>
      </c>
      <c r="C1274">
        <v>25.52</v>
      </c>
      <c r="D1274">
        <v>5</v>
      </c>
      <c r="E1274" t="s">
        <v>12</v>
      </c>
      <c r="F1274" t="s">
        <v>13</v>
      </c>
      <c r="G1274">
        <v>14478.33</v>
      </c>
      <c r="H1274" s="11" t="str" cm="1">
        <f t="array" ref="H1274">_xlfn.IFS(Table1[[#This Row],[age]]&lt;=30,"Young Adults",Table1[[#This Row],[age]]&lt;=45,"Adults",Table1[[#This Row],[age]]&lt;=60,"Seniors",Table1[[#This Row],[age]]&gt;=61,"Elderly")</f>
        <v>Adults</v>
      </c>
    </row>
    <row r="1275" spans="1:8">
      <c r="A1275">
        <v>35</v>
      </c>
      <c r="B1275" t="s">
        <v>11</v>
      </c>
      <c r="C1275">
        <v>27.61</v>
      </c>
      <c r="D1275">
        <v>1</v>
      </c>
      <c r="E1275" t="s">
        <v>12</v>
      </c>
      <c r="F1275" t="s">
        <v>13</v>
      </c>
      <c r="G1275">
        <v>4747.05</v>
      </c>
      <c r="H1275" s="11" t="str" cm="1">
        <f t="array" ref="H1275">_xlfn.IFS(Table1[[#This Row],[age]]&lt;=30,"Young Adults",Table1[[#This Row],[age]]&lt;=45,"Adults",Table1[[#This Row],[age]]&lt;=60,"Seniors",Table1[[#This Row],[age]]&gt;=61,"Elderly")</f>
        <v>Adults</v>
      </c>
    </row>
    <row r="1276" spans="1:8">
      <c r="A1276">
        <v>26</v>
      </c>
      <c r="B1276" t="s">
        <v>11</v>
      </c>
      <c r="C1276">
        <v>27.06</v>
      </c>
      <c r="D1276">
        <v>0</v>
      </c>
      <c r="E1276" t="s">
        <v>9</v>
      </c>
      <c r="F1276" t="s">
        <v>13</v>
      </c>
      <c r="G1276">
        <v>17043.34</v>
      </c>
      <c r="H1276" s="11" t="str" cm="1">
        <f t="array" ref="H1276">_xlfn.IFS(Table1[[#This Row],[age]]&lt;=30,"Young Adults",Table1[[#This Row],[age]]&lt;=45,"Adults",Table1[[#This Row],[age]]&lt;=60,"Seniors",Table1[[#This Row],[age]]&gt;=61,"Elderly")</f>
        <v>Young Adults</v>
      </c>
    </row>
    <row r="1277" spans="1:8">
      <c r="A1277">
        <v>57</v>
      </c>
      <c r="B1277" t="s">
        <v>11</v>
      </c>
      <c r="C1277">
        <v>23.7</v>
      </c>
      <c r="D1277">
        <v>0</v>
      </c>
      <c r="E1277" t="s">
        <v>12</v>
      </c>
      <c r="F1277" t="s">
        <v>10</v>
      </c>
      <c r="G1277">
        <v>10959.33</v>
      </c>
      <c r="H1277" s="11" t="str" cm="1">
        <f t="array" ref="H1277">_xlfn.IFS(Table1[[#This Row],[age]]&lt;=30,"Young Adults",Table1[[#This Row],[age]]&lt;=45,"Adults",Table1[[#This Row],[age]]&lt;=60,"Seniors",Table1[[#This Row],[age]]&gt;=61,"Elderly")</f>
        <v>Seniors</v>
      </c>
    </row>
    <row r="1278" spans="1:8">
      <c r="A1278">
        <v>22</v>
      </c>
      <c r="B1278" t="s">
        <v>8</v>
      </c>
      <c r="C1278">
        <v>30.4</v>
      </c>
      <c r="D1278">
        <v>0</v>
      </c>
      <c r="E1278" t="s">
        <v>12</v>
      </c>
      <c r="F1278" t="s">
        <v>15</v>
      </c>
      <c r="G1278">
        <v>2741.95</v>
      </c>
      <c r="H1278" s="11" t="str" cm="1">
        <f t="array" ref="H1278">_xlfn.IFS(Table1[[#This Row],[age]]&lt;=30,"Young Adults",Table1[[#This Row],[age]]&lt;=45,"Adults",Table1[[#This Row],[age]]&lt;=60,"Seniors",Table1[[#This Row],[age]]&gt;=61,"Elderly")</f>
        <v>Young Adults</v>
      </c>
    </row>
    <row r="1279" spans="1:8">
      <c r="A1279">
        <v>32</v>
      </c>
      <c r="B1279" t="s">
        <v>8</v>
      </c>
      <c r="C1279">
        <v>29.735</v>
      </c>
      <c r="D1279">
        <v>0</v>
      </c>
      <c r="E1279" t="s">
        <v>12</v>
      </c>
      <c r="F1279" t="s">
        <v>14</v>
      </c>
      <c r="G1279">
        <v>4357.04</v>
      </c>
      <c r="H1279" s="11" t="str" cm="1">
        <f t="array" ref="H1279">_xlfn.IFS(Table1[[#This Row],[age]]&lt;=30,"Young Adults",Table1[[#This Row],[age]]&lt;=45,"Adults",Table1[[#This Row],[age]]&lt;=60,"Seniors",Table1[[#This Row],[age]]&gt;=61,"Elderly")</f>
        <v>Adults</v>
      </c>
    </row>
    <row r="1280" spans="1:8">
      <c r="A1280">
        <v>39</v>
      </c>
      <c r="B1280" t="s">
        <v>11</v>
      </c>
      <c r="C1280">
        <v>29.925</v>
      </c>
      <c r="D1280">
        <v>1</v>
      </c>
      <c r="E1280" t="s">
        <v>9</v>
      </c>
      <c r="F1280" t="s">
        <v>15</v>
      </c>
      <c r="G1280">
        <v>22462.04</v>
      </c>
      <c r="H1280" s="11" t="str" cm="1">
        <f t="array" ref="H1280">_xlfn.IFS(Table1[[#This Row],[age]]&lt;=30,"Young Adults",Table1[[#This Row],[age]]&lt;=45,"Adults",Table1[[#This Row],[age]]&lt;=60,"Seniors",Table1[[#This Row],[age]]&gt;=61,"Elderly")</f>
        <v>Adults</v>
      </c>
    </row>
    <row r="1281" spans="1:8">
      <c r="A1281">
        <v>25</v>
      </c>
      <c r="B1281" t="s">
        <v>8</v>
      </c>
      <c r="C1281">
        <v>26.79</v>
      </c>
      <c r="D1281">
        <v>2</v>
      </c>
      <c r="E1281" t="s">
        <v>12</v>
      </c>
      <c r="F1281" t="s">
        <v>14</v>
      </c>
      <c r="G1281">
        <v>4189.11</v>
      </c>
      <c r="H1281" s="11" t="str" cm="1">
        <f t="array" ref="H1281">_xlfn.IFS(Table1[[#This Row],[age]]&lt;=30,"Young Adults",Table1[[#This Row],[age]]&lt;=45,"Adults",Table1[[#This Row],[age]]&lt;=60,"Seniors",Table1[[#This Row],[age]]&gt;=61,"Elderly")</f>
        <v>Young Adults</v>
      </c>
    </row>
    <row r="1282" spans="1:8">
      <c r="A1282">
        <v>48</v>
      </c>
      <c r="B1282" t="s">
        <v>8</v>
      </c>
      <c r="C1282">
        <v>33.33</v>
      </c>
      <c r="D1282">
        <v>0</v>
      </c>
      <c r="E1282" t="s">
        <v>12</v>
      </c>
      <c r="F1282" t="s">
        <v>13</v>
      </c>
      <c r="G1282">
        <v>8283.68</v>
      </c>
      <c r="H1282" s="11" t="str" cm="1">
        <f t="array" ref="H1282">_xlfn.IFS(Table1[[#This Row],[age]]&lt;=30,"Young Adults",Table1[[#This Row],[age]]&lt;=45,"Adults",Table1[[#This Row],[age]]&lt;=60,"Seniors",Table1[[#This Row],[age]]&gt;=61,"Elderly")</f>
        <v>Seniors</v>
      </c>
    </row>
    <row r="1283" spans="1:8">
      <c r="A1283">
        <v>47</v>
      </c>
      <c r="B1283" t="s">
        <v>8</v>
      </c>
      <c r="C1283">
        <v>27.645</v>
      </c>
      <c r="D1283">
        <v>2</v>
      </c>
      <c r="E1283" t="s">
        <v>9</v>
      </c>
      <c r="F1283" t="s">
        <v>14</v>
      </c>
      <c r="G1283">
        <v>24535.7</v>
      </c>
      <c r="H1283" s="11" t="str" cm="1">
        <f t="array" ref="H1283">_xlfn.IFS(Table1[[#This Row],[age]]&lt;=30,"Young Adults",Table1[[#This Row],[age]]&lt;=45,"Adults",Table1[[#This Row],[age]]&lt;=60,"Seniors",Table1[[#This Row],[age]]&gt;=61,"Elderly")</f>
        <v>Seniors</v>
      </c>
    </row>
    <row r="1284" spans="1:8">
      <c r="A1284">
        <v>18</v>
      </c>
      <c r="B1284" t="s">
        <v>8</v>
      </c>
      <c r="C1284">
        <v>21.66</v>
      </c>
      <c r="D1284">
        <v>0</v>
      </c>
      <c r="E1284" t="s">
        <v>9</v>
      </c>
      <c r="F1284" t="s">
        <v>15</v>
      </c>
      <c r="G1284">
        <v>14283.46</v>
      </c>
      <c r="H1284" s="11" t="str" cm="1">
        <f t="array" ref="H1284">_xlfn.IFS(Table1[[#This Row],[age]]&lt;=30,"Young Adults",Table1[[#This Row],[age]]&lt;=45,"Adults",Table1[[#This Row],[age]]&lt;=60,"Seniors",Table1[[#This Row],[age]]&gt;=61,"Elderly")</f>
        <v>Young Adults</v>
      </c>
    </row>
    <row r="1285" spans="1:8">
      <c r="A1285">
        <v>18</v>
      </c>
      <c r="B1285" t="s">
        <v>11</v>
      </c>
      <c r="C1285">
        <v>30.03</v>
      </c>
      <c r="D1285">
        <v>1</v>
      </c>
      <c r="E1285" t="s">
        <v>12</v>
      </c>
      <c r="F1285" t="s">
        <v>13</v>
      </c>
      <c r="G1285">
        <v>1720.35</v>
      </c>
      <c r="H1285" s="11" t="str" cm="1">
        <f t="array" ref="H1285">_xlfn.IFS(Table1[[#This Row],[age]]&lt;=30,"Young Adults",Table1[[#This Row],[age]]&lt;=45,"Adults",Table1[[#This Row],[age]]&lt;=60,"Seniors",Table1[[#This Row],[age]]&gt;=61,"Elderly")</f>
        <v>Young Adults</v>
      </c>
    </row>
    <row r="1286" spans="1:8">
      <c r="A1286">
        <v>61</v>
      </c>
      <c r="B1286" t="s">
        <v>11</v>
      </c>
      <c r="C1286">
        <v>36.3</v>
      </c>
      <c r="D1286">
        <v>1</v>
      </c>
      <c r="E1286" t="s">
        <v>9</v>
      </c>
      <c r="F1286" t="s">
        <v>10</v>
      </c>
      <c r="G1286">
        <v>47403.88</v>
      </c>
      <c r="H1286" s="11" t="str" cm="1">
        <f t="array" ref="H1286">_xlfn.IFS(Table1[[#This Row],[age]]&lt;=30,"Young Adults",Table1[[#This Row],[age]]&lt;=45,"Adults",Table1[[#This Row],[age]]&lt;=60,"Seniors",Table1[[#This Row],[age]]&gt;=61,"Elderly")</f>
        <v>Elderly</v>
      </c>
    </row>
    <row r="1287" spans="1:8">
      <c r="A1287">
        <v>47</v>
      </c>
      <c r="B1287" t="s">
        <v>8</v>
      </c>
      <c r="C1287">
        <v>24.32</v>
      </c>
      <c r="D1287">
        <v>0</v>
      </c>
      <c r="E1287" t="s">
        <v>12</v>
      </c>
      <c r="F1287" t="s">
        <v>15</v>
      </c>
      <c r="G1287">
        <v>8534.67</v>
      </c>
      <c r="H1287" s="11" t="str" cm="1">
        <f t="array" ref="H1287">_xlfn.IFS(Table1[[#This Row],[age]]&lt;=30,"Young Adults",Table1[[#This Row],[age]]&lt;=45,"Adults",Table1[[#This Row],[age]]&lt;=60,"Seniors",Table1[[#This Row],[age]]&gt;=61,"Elderly")</f>
        <v>Seniors</v>
      </c>
    </row>
    <row r="1288" spans="1:8">
      <c r="A1288">
        <v>28</v>
      </c>
      <c r="B1288" t="s">
        <v>8</v>
      </c>
      <c r="C1288">
        <v>17.29</v>
      </c>
      <c r="D1288">
        <v>0</v>
      </c>
      <c r="E1288" t="s">
        <v>12</v>
      </c>
      <c r="F1288" t="s">
        <v>15</v>
      </c>
      <c r="G1288">
        <v>3732.63</v>
      </c>
      <c r="H1288" s="11" t="str" cm="1">
        <f t="array" ref="H1288">_xlfn.IFS(Table1[[#This Row],[age]]&lt;=30,"Young Adults",Table1[[#This Row],[age]]&lt;=45,"Adults",Table1[[#This Row],[age]]&lt;=60,"Seniors",Table1[[#This Row],[age]]&gt;=61,"Elderly")</f>
        <v>Young Adults</v>
      </c>
    </row>
    <row r="1289" spans="1:8">
      <c r="A1289">
        <v>36</v>
      </c>
      <c r="B1289" t="s">
        <v>8</v>
      </c>
      <c r="C1289">
        <v>25.9</v>
      </c>
      <c r="D1289">
        <v>1</v>
      </c>
      <c r="E1289" t="s">
        <v>12</v>
      </c>
      <c r="F1289" t="s">
        <v>10</v>
      </c>
      <c r="G1289">
        <v>5472.45</v>
      </c>
      <c r="H1289" s="11" t="str" cm="1">
        <f t="array" ref="H1289">_xlfn.IFS(Table1[[#This Row],[age]]&lt;=30,"Young Adults",Table1[[#This Row],[age]]&lt;=45,"Adults",Table1[[#This Row],[age]]&lt;=60,"Seniors",Table1[[#This Row],[age]]&gt;=61,"Elderly")</f>
        <v>Adults</v>
      </c>
    </row>
    <row r="1290" spans="1:8">
      <c r="A1290">
        <v>20</v>
      </c>
      <c r="B1290" t="s">
        <v>11</v>
      </c>
      <c r="C1290">
        <v>39.4</v>
      </c>
      <c r="D1290">
        <v>2</v>
      </c>
      <c r="E1290" t="s">
        <v>9</v>
      </c>
      <c r="F1290" t="s">
        <v>10</v>
      </c>
      <c r="G1290">
        <v>38344.57</v>
      </c>
      <c r="H1290" s="11" t="str" cm="1">
        <f t="array" ref="H1290">_xlfn.IFS(Table1[[#This Row],[age]]&lt;=30,"Young Adults",Table1[[#This Row],[age]]&lt;=45,"Adults",Table1[[#This Row],[age]]&lt;=60,"Seniors",Table1[[#This Row],[age]]&gt;=61,"Elderly")</f>
        <v>Young Adults</v>
      </c>
    </row>
    <row r="1291" spans="1:8">
      <c r="A1291">
        <v>44</v>
      </c>
      <c r="B1291" t="s">
        <v>11</v>
      </c>
      <c r="C1291">
        <v>34.32</v>
      </c>
      <c r="D1291">
        <v>1</v>
      </c>
      <c r="E1291" t="s">
        <v>12</v>
      </c>
      <c r="F1291" t="s">
        <v>13</v>
      </c>
      <c r="G1291">
        <v>7147.47</v>
      </c>
      <c r="H1291" s="11" t="str" cm="1">
        <f t="array" ref="H1291">_xlfn.IFS(Table1[[#This Row],[age]]&lt;=30,"Young Adults",Table1[[#This Row],[age]]&lt;=45,"Adults",Table1[[#This Row],[age]]&lt;=60,"Seniors",Table1[[#This Row],[age]]&gt;=61,"Elderly")</f>
        <v>Adults</v>
      </c>
    </row>
    <row r="1292" spans="1:8">
      <c r="A1292">
        <v>38</v>
      </c>
      <c r="B1292" t="s">
        <v>8</v>
      </c>
      <c r="C1292">
        <v>19.95</v>
      </c>
      <c r="D1292">
        <v>2</v>
      </c>
      <c r="E1292" t="s">
        <v>12</v>
      </c>
      <c r="F1292" t="s">
        <v>15</v>
      </c>
      <c r="G1292">
        <v>7133.9</v>
      </c>
      <c r="H1292" s="11" t="str" cm="1">
        <f t="array" ref="H1292">_xlfn.IFS(Table1[[#This Row],[age]]&lt;=30,"Young Adults",Table1[[#This Row],[age]]&lt;=45,"Adults",Table1[[#This Row],[age]]&lt;=60,"Seniors",Table1[[#This Row],[age]]&gt;=61,"Elderly")</f>
        <v>Adults</v>
      </c>
    </row>
    <row r="1293" spans="1:8">
      <c r="A1293">
        <v>19</v>
      </c>
      <c r="B1293" t="s">
        <v>11</v>
      </c>
      <c r="C1293">
        <v>34.9</v>
      </c>
      <c r="D1293">
        <v>0</v>
      </c>
      <c r="E1293" t="s">
        <v>9</v>
      </c>
      <c r="F1293" t="s">
        <v>10</v>
      </c>
      <c r="G1293">
        <v>34828.65</v>
      </c>
      <c r="H1293" s="11" t="str" cm="1">
        <f t="array" ref="H1293">_xlfn.IFS(Table1[[#This Row],[age]]&lt;=30,"Young Adults",Table1[[#This Row],[age]]&lt;=45,"Adults",Table1[[#This Row],[age]]&lt;=60,"Seniors",Table1[[#This Row],[age]]&gt;=61,"Elderly")</f>
        <v>Young Adults</v>
      </c>
    </row>
    <row r="1294" spans="1:8">
      <c r="A1294">
        <v>21</v>
      </c>
      <c r="B1294" t="s">
        <v>11</v>
      </c>
      <c r="C1294">
        <v>23.21</v>
      </c>
      <c r="D1294">
        <v>0</v>
      </c>
      <c r="E1294" t="s">
        <v>12</v>
      </c>
      <c r="F1294" t="s">
        <v>13</v>
      </c>
      <c r="G1294">
        <v>1515.34</v>
      </c>
      <c r="H1294" s="11" t="str" cm="1">
        <f t="array" ref="H1294">_xlfn.IFS(Table1[[#This Row],[age]]&lt;=30,"Young Adults",Table1[[#This Row],[age]]&lt;=45,"Adults",Table1[[#This Row],[age]]&lt;=60,"Seniors",Table1[[#This Row],[age]]&gt;=61,"Elderly")</f>
        <v>Young Adults</v>
      </c>
    </row>
    <row r="1295" spans="1:8">
      <c r="A1295">
        <v>46</v>
      </c>
      <c r="B1295" t="s">
        <v>11</v>
      </c>
      <c r="C1295">
        <v>25.745</v>
      </c>
      <c r="D1295">
        <v>3</v>
      </c>
      <c r="E1295" t="s">
        <v>12</v>
      </c>
      <c r="F1295" t="s">
        <v>14</v>
      </c>
      <c r="G1295">
        <v>9301.89</v>
      </c>
      <c r="H1295" s="11" t="str" cm="1">
        <f t="array" ref="H1295">_xlfn.IFS(Table1[[#This Row],[age]]&lt;=30,"Young Adults",Table1[[#This Row],[age]]&lt;=45,"Adults",Table1[[#This Row],[age]]&lt;=60,"Seniors",Table1[[#This Row],[age]]&gt;=61,"Elderly")</f>
        <v>Seniors</v>
      </c>
    </row>
    <row r="1296" spans="1:8">
      <c r="A1296">
        <v>58</v>
      </c>
      <c r="B1296" t="s">
        <v>11</v>
      </c>
      <c r="C1296">
        <v>25.175</v>
      </c>
      <c r="D1296">
        <v>0</v>
      </c>
      <c r="E1296" t="s">
        <v>12</v>
      </c>
      <c r="F1296" t="s">
        <v>15</v>
      </c>
      <c r="G1296">
        <v>11931.13</v>
      </c>
      <c r="H1296" s="11" t="str" cm="1">
        <f t="array" ref="H1296">_xlfn.IFS(Table1[[#This Row],[age]]&lt;=30,"Young Adults",Table1[[#This Row],[age]]&lt;=45,"Adults",Table1[[#This Row],[age]]&lt;=60,"Seniors",Table1[[#This Row],[age]]&gt;=61,"Elderly")</f>
        <v>Seniors</v>
      </c>
    </row>
    <row r="1297" spans="1:8">
      <c r="A1297">
        <v>20</v>
      </c>
      <c r="B1297" t="s">
        <v>11</v>
      </c>
      <c r="C1297">
        <v>22</v>
      </c>
      <c r="D1297">
        <v>1</v>
      </c>
      <c r="E1297" t="s">
        <v>12</v>
      </c>
      <c r="F1297" t="s">
        <v>10</v>
      </c>
      <c r="G1297">
        <v>1964.78</v>
      </c>
      <c r="H1297" s="11" t="str" cm="1">
        <f t="array" ref="H1297">_xlfn.IFS(Table1[[#This Row],[age]]&lt;=30,"Young Adults",Table1[[#This Row],[age]]&lt;=45,"Adults",Table1[[#This Row],[age]]&lt;=60,"Seniors",Table1[[#This Row],[age]]&gt;=61,"Elderly")</f>
        <v>Young Adults</v>
      </c>
    </row>
    <row r="1298" spans="1:8">
      <c r="A1298">
        <v>18</v>
      </c>
      <c r="B1298" t="s">
        <v>11</v>
      </c>
      <c r="C1298">
        <v>26.125</v>
      </c>
      <c r="D1298">
        <v>0</v>
      </c>
      <c r="E1298" t="s">
        <v>12</v>
      </c>
      <c r="F1298" t="s">
        <v>15</v>
      </c>
      <c r="G1298">
        <v>1708.93</v>
      </c>
      <c r="H1298" s="11" t="str" cm="1">
        <f t="array" ref="H1298">_xlfn.IFS(Table1[[#This Row],[age]]&lt;=30,"Young Adults",Table1[[#This Row],[age]]&lt;=45,"Adults",Table1[[#This Row],[age]]&lt;=60,"Seniors",Table1[[#This Row],[age]]&gt;=61,"Elderly")</f>
        <v>Young Adults</v>
      </c>
    </row>
    <row r="1299" spans="1:8">
      <c r="A1299">
        <v>28</v>
      </c>
      <c r="B1299" t="s">
        <v>8</v>
      </c>
      <c r="C1299">
        <v>26.51</v>
      </c>
      <c r="D1299">
        <v>2</v>
      </c>
      <c r="E1299" t="s">
        <v>12</v>
      </c>
      <c r="F1299" t="s">
        <v>13</v>
      </c>
      <c r="G1299">
        <v>4340.44</v>
      </c>
      <c r="H1299" s="11" t="str" cm="1">
        <f t="array" ref="H1299">_xlfn.IFS(Table1[[#This Row],[age]]&lt;=30,"Young Adults",Table1[[#This Row],[age]]&lt;=45,"Adults",Table1[[#This Row],[age]]&lt;=60,"Seniors",Table1[[#This Row],[age]]&gt;=61,"Elderly")</f>
        <v>Young Adults</v>
      </c>
    </row>
    <row r="1300" spans="1:8">
      <c r="A1300">
        <v>33</v>
      </c>
      <c r="B1300" t="s">
        <v>11</v>
      </c>
      <c r="C1300">
        <v>27.455</v>
      </c>
      <c r="D1300">
        <v>2</v>
      </c>
      <c r="E1300" t="s">
        <v>12</v>
      </c>
      <c r="F1300" t="s">
        <v>14</v>
      </c>
      <c r="G1300">
        <v>5261.47</v>
      </c>
      <c r="H1300" s="11" t="str" cm="1">
        <f t="array" ref="H1300">_xlfn.IFS(Table1[[#This Row],[age]]&lt;=30,"Young Adults",Table1[[#This Row],[age]]&lt;=45,"Adults",Table1[[#This Row],[age]]&lt;=60,"Seniors",Table1[[#This Row],[age]]&gt;=61,"Elderly")</f>
        <v>Adults</v>
      </c>
    </row>
    <row r="1301" spans="1:8">
      <c r="A1301">
        <v>19</v>
      </c>
      <c r="B1301" t="s">
        <v>8</v>
      </c>
      <c r="C1301">
        <v>25.745</v>
      </c>
      <c r="D1301">
        <v>1</v>
      </c>
      <c r="E1301" t="s">
        <v>12</v>
      </c>
      <c r="F1301" t="s">
        <v>14</v>
      </c>
      <c r="G1301">
        <v>2710.83</v>
      </c>
      <c r="H1301" s="11" t="str" cm="1">
        <f t="array" ref="H1301">_xlfn.IFS(Table1[[#This Row],[age]]&lt;=30,"Young Adults",Table1[[#This Row],[age]]&lt;=45,"Adults",Table1[[#This Row],[age]]&lt;=60,"Seniors",Table1[[#This Row],[age]]&gt;=61,"Elderly")</f>
        <v>Young Adults</v>
      </c>
    </row>
    <row r="1302" spans="1:8">
      <c r="A1302">
        <v>45</v>
      </c>
      <c r="B1302" t="s">
        <v>11</v>
      </c>
      <c r="C1302">
        <v>30.36</v>
      </c>
      <c r="D1302">
        <v>0</v>
      </c>
      <c r="E1302" t="s">
        <v>9</v>
      </c>
      <c r="F1302" t="s">
        <v>13</v>
      </c>
      <c r="G1302">
        <v>62592.87</v>
      </c>
      <c r="H1302" s="11" t="str" cm="1">
        <f t="array" ref="H1302">_xlfn.IFS(Table1[[#This Row],[age]]&lt;=30,"Young Adults",Table1[[#This Row],[age]]&lt;=45,"Adults",Table1[[#This Row],[age]]&lt;=60,"Seniors",Table1[[#This Row],[age]]&gt;=61,"Elderly")</f>
        <v>Adults</v>
      </c>
    </row>
    <row r="1303" spans="1:8">
      <c r="A1303">
        <v>62</v>
      </c>
      <c r="B1303" t="s">
        <v>11</v>
      </c>
      <c r="C1303">
        <v>30.875</v>
      </c>
      <c r="D1303">
        <v>3</v>
      </c>
      <c r="E1303" t="s">
        <v>9</v>
      </c>
      <c r="F1303" t="s">
        <v>14</v>
      </c>
      <c r="G1303">
        <v>46718.16</v>
      </c>
      <c r="H1303" s="11" t="str" cm="1">
        <f t="array" ref="H1303">_xlfn.IFS(Table1[[#This Row],[age]]&lt;=30,"Young Adults",Table1[[#This Row],[age]]&lt;=45,"Adults",Table1[[#This Row],[age]]&lt;=60,"Seniors",Table1[[#This Row],[age]]&gt;=61,"Elderly")</f>
        <v>Elderly</v>
      </c>
    </row>
    <row r="1304" spans="1:8">
      <c r="A1304">
        <v>25</v>
      </c>
      <c r="B1304" t="s">
        <v>8</v>
      </c>
      <c r="C1304">
        <v>20.8</v>
      </c>
      <c r="D1304">
        <v>1</v>
      </c>
      <c r="E1304" t="s">
        <v>12</v>
      </c>
      <c r="F1304" t="s">
        <v>10</v>
      </c>
      <c r="G1304">
        <v>3208.79</v>
      </c>
      <c r="H1304" s="11" t="str" cm="1">
        <f t="array" ref="H1304">_xlfn.IFS(Table1[[#This Row],[age]]&lt;=30,"Young Adults",Table1[[#This Row],[age]]&lt;=45,"Adults",Table1[[#This Row],[age]]&lt;=60,"Seniors",Table1[[#This Row],[age]]&gt;=61,"Elderly")</f>
        <v>Young Adults</v>
      </c>
    </row>
    <row r="1305" spans="1:8">
      <c r="A1305">
        <v>43</v>
      </c>
      <c r="B1305" t="s">
        <v>11</v>
      </c>
      <c r="C1305">
        <v>27.8</v>
      </c>
      <c r="D1305">
        <v>0</v>
      </c>
      <c r="E1305" t="s">
        <v>9</v>
      </c>
      <c r="F1305" t="s">
        <v>10</v>
      </c>
      <c r="G1305">
        <v>37829.72</v>
      </c>
      <c r="H1305" s="11" t="str" cm="1">
        <f t="array" ref="H1305">_xlfn.IFS(Table1[[#This Row],[age]]&lt;=30,"Young Adults",Table1[[#This Row],[age]]&lt;=45,"Adults",Table1[[#This Row],[age]]&lt;=60,"Seniors",Table1[[#This Row],[age]]&gt;=61,"Elderly")</f>
        <v>Adults</v>
      </c>
    </row>
    <row r="1306" spans="1:8">
      <c r="A1306">
        <v>42</v>
      </c>
      <c r="B1306" t="s">
        <v>11</v>
      </c>
      <c r="C1306">
        <v>24.605</v>
      </c>
      <c r="D1306">
        <v>2</v>
      </c>
      <c r="E1306" t="s">
        <v>9</v>
      </c>
      <c r="F1306" t="s">
        <v>15</v>
      </c>
      <c r="G1306">
        <v>21259.38</v>
      </c>
      <c r="H1306" s="11" t="str" cm="1">
        <f t="array" ref="H1306">_xlfn.IFS(Table1[[#This Row],[age]]&lt;=30,"Young Adults",Table1[[#This Row],[age]]&lt;=45,"Adults",Table1[[#This Row],[age]]&lt;=60,"Seniors",Table1[[#This Row],[age]]&gt;=61,"Elderly")</f>
        <v>Adults</v>
      </c>
    </row>
    <row r="1307" spans="1:8">
      <c r="A1307">
        <v>24</v>
      </c>
      <c r="B1307" t="s">
        <v>8</v>
      </c>
      <c r="C1307">
        <v>27.72</v>
      </c>
      <c r="D1307">
        <v>0</v>
      </c>
      <c r="E1307" t="s">
        <v>12</v>
      </c>
      <c r="F1307" t="s">
        <v>13</v>
      </c>
      <c r="G1307">
        <v>2464.62</v>
      </c>
      <c r="H1307" s="11" t="str" cm="1">
        <f t="array" ref="H1307">_xlfn.IFS(Table1[[#This Row],[age]]&lt;=30,"Young Adults",Table1[[#This Row],[age]]&lt;=45,"Adults",Table1[[#This Row],[age]]&lt;=60,"Seniors",Table1[[#This Row],[age]]&gt;=61,"Elderly")</f>
        <v>Young Adults</v>
      </c>
    </row>
    <row r="1308" spans="1:8">
      <c r="A1308">
        <v>29</v>
      </c>
      <c r="B1308" t="s">
        <v>8</v>
      </c>
      <c r="C1308">
        <v>21.85</v>
      </c>
      <c r="D1308">
        <v>0</v>
      </c>
      <c r="E1308" t="s">
        <v>9</v>
      </c>
      <c r="F1308" t="s">
        <v>15</v>
      </c>
      <c r="G1308">
        <v>16115.3</v>
      </c>
      <c r="H1308" s="11" t="str" cm="1">
        <f t="array" ref="H1308">_xlfn.IFS(Table1[[#This Row],[age]]&lt;=30,"Young Adults",Table1[[#This Row],[age]]&lt;=45,"Adults",Table1[[#This Row],[age]]&lt;=60,"Seniors",Table1[[#This Row],[age]]&gt;=61,"Elderly")</f>
        <v>Young Adults</v>
      </c>
    </row>
    <row r="1309" spans="1:8">
      <c r="A1309">
        <v>32</v>
      </c>
      <c r="B1309" t="s">
        <v>11</v>
      </c>
      <c r="C1309">
        <v>28.12</v>
      </c>
      <c r="D1309">
        <v>4</v>
      </c>
      <c r="E1309" t="s">
        <v>9</v>
      </c>
      <c r="F1309" t="s">
        <v>14</v>
      </c>
      <c r="G1309">
        <v>21472.48</v>
      </c>
      <c r="H1309" s="11" t="str" cm="1">
        <f t="array" ref="H1309">_xlfn.IFS(Table1[[#This Row],[age]]&lt;=30,"Young Adults",Table1[[#This Row],[age]]&lt;=45,"Adults",Table1[[#This Row],[age]]&lt;=60,"Seniors",Table1[[#This Row],[age]]&gt;=61,"Elderly")</f>
        <v>Adults</v>
      </c>
    </row>
    <row r="1310" spans="1:8">
      <c r="A1310">
        <v>25</v>
      </c>
      <c r="B1310" t="s">
        <v>8</v>
      </c>
      <c r="C1310">
        <v>30.2</v>
      </c>
      <c r="D1310">
        <v>0</v>
      </c>
      <c r="E1310" t="s">
        <v>9</v>
      </c>
      <c r="F1310" t="s">
        <v>10</v>
      </c>
      <c r="G1310">
        <v>33900.65</v>
      </c>
      <c r="H1310" s="11" t="str" cm="1">
        <f t="array" ref="H1310">_xlfn.IFS(Table1[[#This Row],[age]]&lt;=30,"Young Adults",Table1[[#This Row],[age]]&lt;=45,"Adults",Table1[[#This Row],[age]]&lt;=60,"Seniors",Table1[[#This Row],[age]]&gt;=61,"Elderly")</f>
        <v>Young Adults</v>
      </c>
    </row>
    <row r="1311" spans="1:8">
      <c r="A1311">
        <v>41</v>
      </c>
      <c r="B1311" t="s">
        <v>11</v>
      </c>
      <c r="C1311">
        <v>32.2</v>
      </c>
      <c r="D1311">
        <v>2</v>
      </c>
      <c r="E1311" t="s">
        <v>12</v>
      </c>
      <c r="F1311" t="s">
        <v>10</v>
      </c>
      <c r="G1311">
        <v>6875.96</v>
      </c>
      <c r="H1311" s="11" t="str" cm="1">
        <f t="array" ref="H1311">_xlfn.IFS(Table1[[#This Row],[age]]&lt;=30,"Young Adults",Table1[[#This Row],[age]]&lt;=45,"Adults",Table1[[#This Row],[age]]&lt;=60,"Seniors",Table1[[#This Row],[age]]&gt;=61,"Elderly")</f>
        <v>Adults</v>
      </c>
    </row>
    <row r="1312" spans="1:8">
      <c r="A1312">
        <v>42</v>
      </c>
      <c r="B1312" t="s">
        <v>11</v>
      </c>
      <c r="C1312">
        <v>26.315</v>
      </c>
      <c r="D1312">
        <v>1</v>
      </c>
      <c r="E1312" t="s">
        <v>12</v>
      </c>
      <c r="F1312" t="s">
        <v>14</v>
      </c>
      <c r="G1312">
        <v>6940.91</v>
      </c>
      <c r="H1312" s="11" t="str" cm="1">
        <f t="array" ref="H1312">_xlfn.IFS(Table1[[#This Row],[age]]&lt;=30,"Young Adults",Table1[[#This Row],[age]]&lt;=45,"Adults",Table1[[#This Row],[age]]&lt;=60,"Seniors",Table1[[#This Row],[age]]&gt;=61,"Elderly")</f>
        <v>Adults</v>
      </c>
    </row>
    <row r="1313" spans="1:8">
      <c r="A1313">
        <v>33</v>
      </c>
      <c r="B1313" t="s">
        <v>8</v>
      </c>
      <c r="C1313">
        <v>26.695</v>
      </c>
      <c r="D1313">
        <v>0</v>
      </c>
      <c r="E1313" t="s">
        <v>12</v>
      </c>
      <c r="F1313" t="s">
        <v>14</v>
      </c>
      <c r="G1313">
        <v>4571.41</v>
      </c>
      <c r="H1313" s="11" t="str" cm="1">
        <f t="array" ref="H1313">_xlfn.IFS(Table1[[#This Row],[age]]&lt;=30,"Young Adults",Table1[[#This Row],[age]]&lt;=45,"Adults",Table1[[#This Row],[age]]&lt;=60,"Seniors",Table1[[#This Row],[age]]&gt;=61,"Elderly")</f>
        <v>Adults</v>
      </c>
    </row>
    <row r="1314" spans="1:8">
      <c r="A1314">
        <v>34</v>
      </c>
      <c r="B1314" t="s">
        <v>11</v>
      </c>
      <c r="C1314">
        <v>42.9</v>
      </c>
      <c r="D1314">
        <v>1</v>
      </c>
      <c r="E1314" t="s">
        <v>12</v>
      </c>
      <c r="F1314" t="s">
        <v>10</v>
      </c>
      <c r="G1314">
        <v>4536.26</v>
      </c>
      <c r="H1314" s="11" t="str" cm="1">
        <f t="array" ref="H1314">_xlfn.IFS(Table1[[#This Row],[age]]&lt;=30,"Young Adults",Table1[[#This Row],[age]]&lt;=45,"Adults",Table1[[#This Row],[age]]&lt;=60,"Seniors",Table1[[#This Row],[age]]&gt;=61,"Elderly")</f>
        <v>Adults</v>
      </c>
    </row>
    <row r="1315" spans="1:8">
      <c r="A1315">
        <v>19</v>
      </c>
      <c r="B1315" t="s">
        <v>8</v>
      </c>
      <c r="C1315">
        <v>34.7</v>
      </c>
      <c r="D1315">
        <v>2</v>
      </c>
      <c r="E1315" t="s">
        <v>9</v>
      </c>
      <c r="F1315" t="s">
        <v>10</v>
      </c>
      <c r="G1315">
        <v>36397.58</v>
      </c>
      <c r="H1315" s="11" t="str" cm="1">
        <f t="array" ref="H1315">_xlfn.IFS(Table1[[#This Row],[age]]&lt;=30,"Young Adults",Table1[[#This Row],[age]]&lt;=45,"Adults",Table1[[#This Row],[age]]&lt;=60,"Seniors",Table1[[#This Row],[age]]&gt;=61,"Elderly")</f>
        <v>Young Adults</v>
      </c>
    </row>
    <row r="1316" spans="1:8">
      <c r="A1316">
        <v>30</v>
      </c>
      <c r="B1316" t="s">
        <v>8</v>
      </c>
      <c r="C1316">
        <v>23.655</v>
      </c>
      <c r="D1316">
        <v>3</v>
      </c>
      <c r="E1316" t="s">
        <v>9</v>
      </c>
      <c r="F1316" t="s">
        <v>14</v>
      </c>
      <c r="G1316">
        <v>18765.88</v>
      </c>
      <c r="H1316" s="11" t="str" cm="1">
        <f t="array" ref="H1316">_xlfn.IFS(Table1[[#This Row],[age]]&lt;=30,"Young Adults",Table1[[#This Row],[age]]&lt;=45,"Adults",Table1[[#This Row],[age]]&lt;=60,"Seniors",Table1[[#This Row],[age]]&gt;=61,"Elderly")</f>
        <v>Young Adults</v>
      </c>
    </row>
    <row r="1317" spans="1:8">
      <c r="A1317">
        <v>18</v>
      </c>
      <c r="B1317" t="s">
        <v>11</v>
      </c>
      <c r="C1317">
        <v>28.31</v>
      </c>
      <c r="D1317">
        <v>1</v>
      </c>
      <c r="E1317" t="s">
        <v>12</v>
      </c>
      <c r="F1317" t="s">
        <v>15</v>
      </c>
      <c r="G1317">
        <v>11272.33</v>
      </c>
      <c r="H1317" s="11" t="str" cm="1">
        <f t="array" ref="H1317">_xlfn.IFS(Table1[[#This Row],[age]]&lt;=30,"Young Adults",Table1[[#This Row],[age]]&lt;=45,"Adults",Table1[[#This Row],[age]]&lt;=60,"Seniors",Table1[[#This Row],[age]]&gt;=61,"Elderly")</f>
        <v>Young Adults</v>
      </c>
    </row>
    <row r="1318" spans="1:8">
      <c r="A1318">
        <v>19</v>
      </c>
      <c r="B1318" t="s">
        <v>8</v>
      </c>
      <c r="C1318">
        <v>20.6</v>
      </c>
      <c r="D1318">
        <v>0</v>
      </c>
      <c r="E1318" t="s">
        <v>12</v>
      </c>
      <c r="F1318" t="s">
        <v>10</v>
      </c>
      <c r="G1318">
        <v>1731.68</v>
      </c>
      <c r="H1318" s="11" t="str" cm="1">
        <f t="array" ref="H1318">_xlfn.IFS(Table1[[#This Row],[age]]&lt;=30,"Young Adults",Table1[[#This Row],[age]]&lt;=45,"Adults",Table1[[#This Row],[age]]&lt;=60,"Seniors",Table1[[#This Row],[age]]&gt;=61,"Elderly")</f>
        <v>Young Adults</v>
      </c>
    </row>
    <row r="1319" spans="1:8">
      <c r="A1319">
        <v>18</v>
      </c>
      <c r="B1319" t="s">
        <v>11</v>
      </c>
      <c r="C1319">
        <v>53.13</v>
      </c>
      <c r="D1319">
        <v>0</v>
      </c>
      <c r="E1319" t="s">
        <v>12</v>
      </c>
      <c r="F1319" t="s">
        <v>13</v>
      </c>
      <c r="G1319">
        <v>1163.46</v>
      </c>
      <c r="H1319" s="11" t="str" cm="1">
        <f t="array" ref="H1319">_xlfn.IFS(Table1[[#This Row],[age]]&lt;=30,"Young Adults",Table1[[#This Row],[age]]&lt;=45,"Adults",Table1[[#This Row],[age]]&lt;=60,"Seniors",Table1[[#This Row],[age]]&gt;=61,"Elderly")</f>
        <v>Young Adults</v>
      </c>
    </row>
    <row r="1320" spans="1:8">
      <c r="A1320">
        <v>35</v>
      </c>
      <c r="B1320" t="s">
        <v>11</v>
      </c>
      <c r="C1320">
        <v>39.71</v>
      </c>
      <c r="D1320">
        <v>4</v>
      </c>
      <c r="E1320" t="s">
        <v>12</v>
      </c>
      <c r="F1320" t="s">
        <v>15</v>
      </c>
      <c r="G1320">
        <v>19496.72</v>
      </c>
      <c r="H1320" s="11" t="str" cm="1">
        <f t="array" ref="H1320">_xlfn.IFS(Table1[[#This Row],[age]]&lt;=30,"Young Adults",Table1[[#This Row],[age]]&lt;=45,"Adults",Table1[[#This Row],[age]]&lt;=60,"Seniors",Table1[[#This Row],[age]]&gt;=61,"Elderly")</f>
        <v>Adults</v>
      </c>
    </row>
    <row r="1321" spans="1:8">
      <c r="A1321">
        <v>39</v>
      </c>
      <c r="B1321" t="s">
        <v>8</v>
      </c>
      <c r="C1321">
        <v>26.315</v>
      </c>
      <c r="D1321">
        <v>2</v>
      </c>
      <c r="E1321" t="s">
        <v>12</v>
      </c>
      <c r="F1321" t="s">
        <v>14</v>
      </c>
      <c r="G1321">
        <v>7201.7</v>
      </c>
      <c r="H1321" s="11" t="str" cm="1">
        <f t="array" ref="H1321">_xlfn.IFS(Table1[[#This Row],[age]]&lt;=30,"Young Adults",Table1[[#This Row],[age]]&lt;=45,"Adults",Table1[[#This Row],[age]]&lt;=60,"Seniors",Table1[[#This Row],[age]]&gt;=61,"Elderly")</f>
        <v>Adults</v>
      </c>
    </row>
    <row r="1322" spans="1:8">
      <c r="A1322">
        <v>31</v>
      </c>
      <c r="B1322" t="s">
        <v>11</v>
      </c>
      <c r="C1322">
        <v>31.065</v>
      </c>
      <c r="D1322">
        <v>3</v>
      </c>
      <c r="E1322" t="s">
        <v>12</v>
      </c>
      <c r="F1322" t="s">
        <v>14</v>
      </c>
      <c r="G1322">
        <v>5425.02</v>
      </c>
      <c r="H1322" s="11" t="str" cm="1">
        <f t="array" ref="H1322">_xlfn.IFS(Table1[[#This Row],[age]]&lt;=30,"Young Adults",Table1[[#This Row],[age]]&lt;=45,"Adults",Table1[[#This Row],[age]]&lt;=60,"Seniors",Table1[[#This Row],[age]]&gt;=61,"Elderly")</f>
        <v>Adults</v>
      </c>
    </row>
    <row r="1323" spans="1:8">
      <c r="A1323">
        <v>62</v>
      </c>
      <c r="B1323" t="s">
        <v>11</v>
      </c>
      <c r="C1323">
        <v>26.695</v>
      </c>
      <c r="D1323">
        <v>0</v>
      </c>
      <c r="E1323" t="s">
        <v>9</v>
      </c>
      <c r="F1323" t="s">
        <v>15</v>
      </c>
      <c r="G1323">
        <v>28101.33</v>
      </c>
      <c r="H1323" s="11" t="str" cm="1">
        <f t="array" ref="H1323">_xlfn.IFS(Table1[[#This Row],[age]]&lt;=30,"Young Adults",Table1[[#This Row],[age]]&lt;=45,"Adults",Table1[[#This Row],[age]]&lt;=60,"Seniors",Table1[[#This Row],[age]]&gt;=61,"Elderly")</f>
        <v>Elderly</v>
      </c>
    </row>
    <row r="1324" spans="1:8">
      <c r="A1324">
        <v>62</v>
      </c>
      <c r="B1324" t="s">
        <v>11</v>
      </c>
      <c r="C1324">
        <v>38.83</v>
      </c>
      <c r="D1324">
        <v>0</v>
      </c>
      <c r="E1324" t="s">
        <v>12</v>
      </c>
      <c r="F1324" t="s">
        <v>13</v>
      </c>
      <c r="G1324">
        <v>12981.35</v>
      </c>
      <c r="H1324" s="11" t="str" cm="1">
        <f t="array" ref="H1324">_xlfn.IFS(Table1[[#This Row],[age]]&lt;=30,"Young Adults",Table1[[#This Row],[age]]&lt;=45,"Adults",Table1[[#This Row],[age]]&lt;=60,"Seniors",Table1[[#This Row],[age]]&gt;=61,"Elderly")</f>
        <v>Elderly</v>
      </c>
    </row>
    <row r="1325" spans="1:8">
      <c r="A1325">
        <v>42</v>
      </c>
      <c r="B1325" t="s">
        <v>8</v>
      </c>
      <c r="C1325">
        <v>40.37</v>
      </c>
      <c r="D1325">
        <v>2</v>
      </c>
      <c r="E1325" t="s">
        <v>9</v>
      </c>
      <c r="F1325" t="s">
        <v>13</v>
      </c>
      <c r="G1325">
        <v>43896.38</v>
      </c>
      <c r="H1325" s="11" t="str" cm="1">
        <f t="array" ref="H1325">_xlfn.IFS(Table1[[#This Row],[age]]&lt;=30,"Young Adults",Table1[[#This Row],[age]]&lt;=45,"Adults",Table1[[#This Row],[age]]&lt;=60,"Seniors",Table1[[#This Row],[age]]&gt;=61,"Elderly")</f>
        <v>Adults</v>
      </c>
    </row>
    <row r="1326" spans="1:8">
      <c r="A1326">
        <v>31</v>
      </c>
      <c r="B1326" t="s">
        <v>11</v>
      </c>
      <c r="C1326">
        <v>25.935</v>
      </c>
      <c r="D1326">
        <v>1</v>
      </c>
      <c r="E1326" t="s">
        <v>12</v>
      </c>
      <c r="F1326" t="s">
        <v>14</v>
      </c>
      <c r="G1326">
        <v>4239.89</v>
      </c>
      <c r="H1326" s="11" t="str" cm="1">
        <f t="array" ref="H1326">_xlfn.IFS(Table1[[#This Row],[age]]&lt;=30,"Young Adults",Table1[[#This Row],[age]]&lt;=45,"Adults",Table1[[#This Row],[age]]&lt;=60,"Seniors",Table1[[#This Row],[age]]&gt;=61,"Elderly")</f>
        <v>Adults</v>
      </c>
    </row>
    <row r="1327" spans="1:8">
      <c r="A1327">
        <v>61</v>
      </c>
      <c r="B1327" t="s">
        <v>11</v>
      </c>
      <c r="C1327">
        <v>33.535</v>
      </c>
      <c r="D1327">
        <v>0</v>
      </c>
      <c r="E1327" t="s">
        <v>12</v>
      </c>
      <c r="F1327" t="s">
        <v>15</v>
      </c>
      <c r="G1327">
        <v>13143.34</v>
      </c>
      <c r="H1327" s="11" t="str" cm="1">
        <f t="array" ref="H1327">_xlfn.IFS(Table1[[#This Row],[age]]&lt;=30,"Young Adults",Table1[[#This Row],[age]]&lt;=45,"Adults",Table1[[#This Row],[age]]&lt;=60,"Seniors",Table1[[#This Row],[age]]&gt;=61,"Elderly")</f>
        <v>Elderly</v>
      </c>
    </row>
    <row r="1328" spans="1:8">
      <c r="A1328">
        <v>42</v>
      </c>
      <c r="B1328" t="s">
        <v>8</v>
      </c>
      <c r="C1328">
        <v>32.87</v>
      </c>
      <c r="D1328">
        <v>0</v>
      </c>
      <c r="E1328" t="s">
        <v>12</v>
      </c>
      <c r="F1328" t="s">
        <v>15</v>
      </c>
      <c r="G1328">
        <v>7050.02</v>
      </c>
      <c r="H1328" s="11" t="str" cm="1">
        <f t="array" ref="H1328">_xlfn.IFS(Table1[[#This Row],[age]]&lt;=30,"Young Adults",Table1[[#This Row],[age]]&lt;=45,"Adults",Table1[[#This Row],[age]]&lt;=60,"Seniors",Table1[[#This Row],[age]]&gt;=61,"Elderly")</f>
        <v>Adults</v>
      </c>
    </row>
    <row r="1329" spans="1:8">
      <c r="A1329">
        <v>51</v>
      </c>
      <c r="B1329" t="s">
        <v>11</v>
      </c>
      <c r="C1329">
        <v>30.03</v>
      </c>
      <c r="D1329">
        <v>1</v>
      </c>
      <c r="E1329" t="s">
        <v>12</v>
      </c>
      <c r="F1329" t="s">
        <v>13</v>
      </c>
      <c r="G1329">
        <v>9377.9</v>
      </c>
      <c r="H1329" s="11" t="str" cm="1">
        <f t="array" ref="H1329">_xlfn.IFS(Table1[[#This Row],[age]]&lt;=30,"Young Adults",Table1[[#This Row],[age]]&lt;=45,"Adults",Table1[[#This Row],[age]]&lt;=60,"Seniors",Table1[[#This Row],[age]]&gt;=61,"Elderly")</f>
        <v>Seniors</v>
      </c>
    </row>
    <row r="1330" spans="1:8">
      <c r="A1330">
        <v>23</v>
      </c>
      <c r="B1330" t="s">
        <v>8</v>
      </c>
      <c r="C1330">
        <v>24.225</v>
      </c>
      <c r="D1330">
        <v>2</v>
      </c>
      <c r="E1330" t="s">
        <v>12</v>
      </c>
      <c r="F1330" t="s">
        <v>15</v>
      </c>
      <c r="G1330">
        <v>22395.74</v>
      </c>
      <c r="H1330" s="11" t="str" cm="1">
        <f t="array" ref="H1330">_xlfn.IFS(Table1[[#This Row],[age]]&lt;=30,"Young Adults",Table1[[#This Row],[age]]&lt;=45,"Adults",Table1[[#This Row],[age]]&lt;=60,"Seniors",Table1[[#This Row],[age]]&gt;=61,"Elderly")</f>
        <v>Young Adults</v>
      </c>
    </row>
    <row r="1331" spans="1:8">
      <c r="A1331">
        <v>52</v>
      </c>
      <c r="B1331" t="s">
        <v>11</v>
      </c>
      <c r="C1331">
        <v>38.6</v>
      </c>
      <c r="D1331">
        <v>2</v>
      </c>
      <c r="E1331" t="s">
        <v>12</v>
      </c>
      <c r="F1331" t="s">
        <v>10</v>
      </c>
      <c r="G1331">
        <v>10325.21</v>
      </c>
      <c r="H1331" s="11" t="str" cm="1">
        <f t="array" ref="H1331">_xlfn.IFS(Table1[[#This Row],[age]]&lt;=30,"Young Adults",Table1[[#This Row],[age]]&lt;=45,"Adults",Table1[[#This Row],[age]]&lt;=60,"Seniors",Table1[[#This Row],[age]]&gt;=61,"Elderly")</f>
        <v>Seniors</v>
      </c>
    </row>
    <row r="1332" spans="1:8">
      <c r="A1332">
        <v>57</v>
      </c>
      <c r="B1332" t="s">
        <v>8</v>
      </c>
      <c r="C1332">
        <v>25.74</v>
      </c>
      <c r="D1332">
        <v>2</v>
      </c>
      <c r="E1332" t="s">
        <v>12</v>
      </c>
      <c r="F1332" t="s">
        <v>13</v>
      </c>
      <c r="G1332">
        <v>12629.17</v>
      </c>
      <c r="H1332" s="11" t="str" cm="1">
        <f t="array" ref="H1332">_xlfn.IFS(Table1[[#This Row],[age]]&lt;=30,"Young Adults",Table1[[#This Row],[age]]&lt;=45,"Adults",Table1[[#This Row],[age]]&lt;=60,"Seniors",Table1[[#This Row],[age]]&gt;=61,"Elderly")</f>
        <v>Seniors</v>
      </c>
    </row>
    <row r="1333" spans="1:8">
      <c r="A1333">
        <v>23</v>
      </c>
      <c r="B1333" t="s">
        <v>8</v>
      </c>
      <c r="C1333">
        <v>33.4</v>
      </c>
      <c r="D1333">
        <v>0</v>
      </c>
      <c r="E1333" t="s">
        <v>12</v>
      </c>
      <c r="F1333" t="s">
        <v>10</v>
      </c>
      <c r="G1333">
        <v>10795.94</v>
      </c>
      <c r="H1333" s="11" t="str" cm="1">
        <f t="array" ref="H1333">_xlfn.IFS(Table1[[#This Row],[age]]&lt;=30,"Young Adults",Table1[[#This Row],[age]]&lt;=45,"Adults",Table1[[#This Row],[age]]&lt;=60,"Seniors",Table1[[#This Row],[age]]&gt;=61,"Elderly")</f>
        <v>Young Adults</v>
      </c>
    </row>
    <row r="1334" spans="1:8">
      <c r="A1334">
        <v>52</v>
      </c>
      <c r="B1334" t="s">
        <v>8</v>
      </c>
      <c r="C1334">
        <v>44.7</v>
      </c>
      <c r="D1334">
        <v>3</v>
      </c>
      <c r="E1334" t="s">
        <v>12</v>
      </c>
      <c r="F1334" t="s">
        <v>10</v>
      </c>
      <c r="G1334">
        <v>11411.69</v>
      </c>
      <c r="H1334" s="11" t="str" cm="1">
        <f t="array" ref="H1334">_xlfn.IFS(Table1[[#This Row],[age]]&lt;=30,"Young Adults",Table1[[#This Row],[age]]&lt;=45,"Adults",Table1[[#This Row],[age]]&lt;=60,"Seniors",Table1[[#This Row],[age]]&gt;=61,"Elderly")</f>
        <v>Seniors</v>
      </c>
    </row>
    <row r="1335" spans="1:8">
      <c r="A1335">
        <v>50</v>
      </c>
      <c r="B1335" t="s">
        <v>11</v>
      </c>
      <c r="C1335">
        <v>30.97</v>
      </c>
      <c r="D1335">
        <v>3</v>
      </c>
      <c r="E1335" t="s">
        <v>12</v>
      </c>
      <c r="F1335" t="s">
        <v>14</v>
      </c>
      <c r="G1335">
        <v>10600.55</v>
      </c>
      <c r="H1335" s="11" t="str" cm="1">
        <f t="array" ref="H1335">_xlfn.IFS(Table1[[#This Row],[age]]&lt;=30,"Young Adults",Table1[[#This Row],[age]]&lt;=45,"Adults",Table1[[#This Row],[age]]&lt;=60,"Seniors",Table1[[#This Row],[age]]&gt;=61,"Elderly")</f>
        <v>Seniors</v>
      </c>
    </row>
    <row r="1336" spans="1:8">
      <c r="A1336">
        <v>18</v>
      </c>
      <c r="B1336" t="s">
        <v>8</v>
      </c>
      <c r="C1336">
        <v>31.92</v>
      </c>
      <c r="D1336">
        <v>0</v>
      </c>
      <c r="E1336" t="s">
        <v>12</v>
      </c>
      <c r="F1336" t="s">
        <v>15</v>
      </c>
      <c r="G1336">
        <v>2205.98</v>
      </c>
      <c r="H1336" s="11" t="str" cm="1">
        <f t="array" ref="H1336">_xlfn.IFS(Table1[[#This Row],[age]]&lt;=30,"Young Adults",Table1[[#This Row],[age]]&lt;=45,"Adults",Table1[[#This Row],[age]]&lt;=60,"Seniors",Table1[[#This Row],[age]]&gt;=61,"Elderly")</f>
        <v>Young Adults</v>
      </c>
    </row>
    <row r="1337" spans="1:8">
      <c r="A1337">
        <v>18</v>
      </c>
      <c r="B1337" t="s">
        <v>8</v>
      </c>
      <c r="C1337">
        <v>36.85</v>
      </c>
      <c r="D1337">
        <v>0</v>
      </c>
      <c r="E1337" t="s">
        <v>12</v>
      </c>
      <c r="F1337" t="s">
        <v>13</v>
      </c>
      <c r="G1337">
        <v>1629.83</v>
      </c>
      <c r="H1337" s="11" t="str" cm="1">
        <f t="array" ref="H1337">_xlfn.IFS(Table1[[#This Row],[age]]&lt;=30,"Young Adults",Table1[[#This Row],[age]]&lt;=45,"Adults",Table1[[#This Row],[age]]&lt;=60,"Seniors",Table1[[#This Row],[age]]&gt;=61,"Elderly")</f>
        <v>Young Adults</v>
      </c>
    </row>
    <row r="1338" spans="1:8">
      <c r="A1338">
        <v>21</v>
      </c>
      <c r="B1338" t="s">
        <v>8</v>
      </c>
      <c r="C1338">
        <v>25.8</v>
      </c>
      <c r="D1338">
        <v>0</v>
      </c>
      <c r="E1338" t="s">
        <v>12</v>
      </c>
      <c r="F1338" t="s">
        <v>10</v>
      </c>
      <c r="G1338">
        <v>2007.95</v>
      </c>
      <c r="H1338" s="11" t="str" cm="1">
        <f t="array" ref="H1338">_xlfn.IFS(Table1[[#This Row],[age]]&lt;=30,"Young Adults",Table1[[#This Row],[age]]&lt;=45,"Adults",Table1[[#This Row],[age]]&lt;=60,"Seniors",Table1[[#This Row],[age]]&gt;=61,"Elderly")</f>
        <v>Young Adults</v>
      </c>
    </row>
    <row r="1339" spans="1:8">
      <c r="A1339">
        <v>61</v>
      </c>
      <c r="B1339" t="s">
        <v>8</v>
      </c>
      <c r="C1339">
        <v>29.07</v>
      </c>
      <c r="D1339">
        <v>0</v>
      </c>
      <c r="E1339" t="s">
        <v>9</v>
      </c>
      <c r="F1339" t="s">
        <v>14</v>
      </c>
      <c r="G1339">
        <v>29141.36</v>
      </c>
      <c r="H1339" s="11" t="str" cm="1">
        <f t="array" ref="H1339">_xlfn.IFS(Table1[[#This Row],[age]]&lt;=30,"Young Adults",Table1[[#This Row],[age]]&lt;=45,"Adults",Table1[[#This Row],[age]]&lt;=60,"Seniors",Table1[[#This Row],[age]]&gt;=61,"Elderly")</f>
        <v>Elderly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7"/>
  <sheetViews>
    <sheetView topLeftCell="A17" workbookViewId="0">
      <selection activeCell="B87" sqref="B87:B89"/>
    </sheetView>
  </sheetViews>
  <sheetFormatPr defaultColWidth="9.14285714285714" defaultRowHeight="15" outlineLevelCol="3"/>
  <cols>
    <col min="1" max="1" width="12.4285714285714"/>
    <col min="2" max="2" width="19.2857142857143"/>
    <col min="3" max="3" width="11"/>
    <col min="4" max="4" width="11.8571428571429"/>
  </cols>
  <sheetData>
    <row r="3" spans="1:1">
      <c r="A3" t="s">
        <v>16</v>
      </c>
    </row>
    <row r="4" spans="1:1">
      <c r="A4" s="10">
        <v>17755825.19</v>
      </c>
    </row>
    <row r="6" spans="1:1">
      <c r="A6" t="s">
        <v>17</v>
      </c>
    </row>
    <row r="7" spans="1:1">
      <c r="A7" s="10">
        <v>13270.4224140508</v>
      </c>
    </row>
    <row r="10" spans="1:1">
      <c r="A10" t="s">
        <v>18</v>
      </c>
    </row>
    <row r="11" spans="1:1">
      <c r="A11" s="10">
        <v>30.6633968609865</v>
      </c>
    </row>
    <row r="14" spans="1:1">
      <c r="A14" t="s">
        <v>19</v>
      </c>
    </row>
    <row r="15" spans="1:1">
      <c r="A15" s="10">
        <v>1338</v>
      </c>
    </row>
    <row r="18" spans="1:2">
      <c r="A18" t="s">
        <v>7</v>
      </c>
      <c r="B18" t="s">
        <v>17</v>
      </c>
    </row>
    <row r="19" spans="1:2">
      <c r="A19" t="s">
        <v>20</v>
      </c>
      <c r="B19" s="8">
        <v>21063.1634065934</v>
      </c>
    </row>
    <row r="20" spans="1:2">
      <c r="A20" t="s">
        <v>21</v>
      </c>
      <c r="B20" s="8">
        <v>16340.99400978</v>
      </c>
    </row>
    <row r="21" spans="1:2">
      <c r="A21" t="s">
        <v>22</v>
      </c>
      <c r="B21" s="8">
        <v>12647.4557360406</v>
      </c>
    </row>
    <row r="22" spans="1:2">
      <c r="A22" t="s">
        <v>23</v>
      </c>
      <c r="B22" s="8">
        <v>9397.55227477478</v>
      </c>
    </row>
    <row r="23" spans="1:2">
      <c r="A23" t="s">
        <v>24</v>
      </c>
      <c r="B23" s="8">
        <v>13270.4224140508</v>
      </c>
    </row>
    <row r="34" spans="1:2">
      <c r="A34" t="s">
        <v>4</v>
      </c>
      <c r="B34" t="s">
        <v>17</v>
      </c>
    </row>
    <row r="35" spans="1:2">
      <c r="A35" t="s">
        <v>9</v>
      </c>
      <c r="B35" s="8">
        <v>32050.2319708029</v>
      </c>
    </row>
    <row r="36" spans="1:2">
      <c r="A36" t="s">
        <v>12</v>
      </c>
      <c r="B36" s="8">
        <v>8434.26844924812</v>
      </c>
    </row>
    <row r="37" spans="1:2">
      <c r="A37" t="s">
        <v>24</v>
      </c>
      <c r="B37" s="8">
        <v>13270.4224140508</v>
      </c>
    </row>
    <row r="52" spans="1:2">
      <c r="A52" t="s">
        <v>5</v>
      </c>
      <c r="B52" t="s">
        <v>18</v>
      </c>
    </row>
    <row r="53" spans="1:2">
      <c r="A53" t="s">
        <v>15</v>
      </c>
      <c r="B53" s="10">
        <v>29.1735030864198</v>
      </c>
    </row>
    <row r="54" spans="1:2">
      <c r="A54" t="s">
        <v>14</v>
      </c>
      <c r="B54" s="10">
        <v>29.1997846153846</v>
      </c>
    </row>
    <row r="55" spans="1:2">
      <c r="A55" t="s">
        <v>10</v>
      </c>
      <c r="B55" s="10">
        <v>30.5966153846154</v>
      </c>
    </row>
    <row r="56" spans="1:2">
      <c r="A56" t="s">
        <v>13</v>
      </c>
      <c r="B56" s="10">
        <v>33.355989010989</v>
      </c>
    </row>
    <row r="57" spans="1:2">
      <c r="A57" t="s">
        <v>24</v>
      </c>
      <c r="B57" s="10">
        <v>30.6633968609866</v>
      </c>
    </row>
    <row r="69" spans="1:2">
      <c r="A69" t="s">
        <v>3</v>
      </c>
      <c r="B69" t="s">
        <v>17</v>
      </c>
    </row>
    <row r="70" spans="1:2">
      <c r="A70">
        <v>5</v>
      </c>
      <c r="B70" s="8">
        <v>8786.03555555555</v>
      </c>
    </row>
    <row r="71" spans="1:2">
      <c r="A71">
        <v>0</v>
      </c>
      <c r="B71" s="8">
        <v>12365.9757665505</v>
      </c>
    </row>
    <row r="72" spans="1:2">
      <c r="A72">
        <v>1</v>
      </c>
      <c r="B72" s="8">
        <v>12731.1718209877</v>
      </c>
    </row>
    <row r="73" spans="1:2">
      <c r="A73">
        <v>4</v>
      </c>
      <c r="B73" s="8">
        <v>13850.6568</v>
      </c>
    </row>
    <row r="74" spans="1:2">
      <c r="A74">
        <v>2</v>
      </c>
      <c r="B74" s="8">
        <v>15073.564</v>
      </c>
    </row>
    <row r="75" spans="1:2">
      <c r="A75">
        <v>3</v>
      </c>
      <c r="B75" s="8">
        <v>15355.3185350318</v>
      </c>
    </row>
    <row r="76" spans="1:2">
      <c r="A76" t="s">
        <v>24</v>
      </c>
      <c r="B76" s="8">
        <v>13270.4224140508</v>
      </c>
    </row>
    <row r="86" spans="1:2">
      <c r="A86" t="s">
        <v>1</v>
      </c>
      <c r="B86" t="s">
        <v>17</v>
      </c>
    </row>
    <row r="87" spans="1:2">
      <c r="A87" t="s">
        <v>11</v>
      </c>
      <c r="B87" s="8">
        <v>13956.7514201184</v>
      </c>
    </row>
    <row r="88" spans="1:2">
      <c r="A88" t="s">
        <v>8</v>
      </c>
      <c r="B88" s="8">
        <v>12569.578897281</v>
      </c>
    </row>
    <row r="89" spans="1:2">
      <c r="A89" t="s">
        <v>24</v>
      </c>
      <c r="B89" s="8">
        <v>13270.4224140508</v>
      </c>
    </row>
    <row r="101" spans="1:2">
      <c r="A101" t="s">
        <v>17</v>
      </c>
      <c r="B101" t="s">
        <v>4</v>
      </c>
    </row>
    <row r="102" spans="1:4">
      <c r="A102" t="s">
        <v>7</v>
      </c>
      <c r="B102" t="s">
        <v>12</v>
      </c>
      <c r="C102" t="s">
        <v>9</v>
      </c>
      <c r="D102" t="s">
        <v>24</v>
      </c>
    </row>
    <row r="103" spans="1:4">
      <c r="A103" t="s">
        <v>20</v>
      </c>
      <c r="B103" s="8">
        <v>15366.6136231884</v>
      </c>
      <c r="C103" s="8">
        <v>38929.615</v>
      </c>
      <c r="D103" s="8">
        <v>21063.1634065934</v>
      </c>
    </row>
    <row r="104" spans="1:4">
      <c r="A104" t="s">
        <v>21</v>
      </c>
      <c r="B104" s="8">
        <v>12188.3343067847</v>
      </c>
      <c r="C104" s="8">
        <v>36451.7317142857</v>
      </c>
      <c r="D104" s="8">
        <v>16340.99400978</v>
      </c>
    </row>
    <row r="105" spans="1:4">
      <c r="A105" t="s">
        <v>22</v>
      </c>
      <c r="B105" s="8">
        <v>7246.17016286645</v>
      </c>
      <c r="C105" s="8">
        <v>31707.1645977011</v>
      </c>
      <c r="D105" s="8">
        <v>12647.4557360406</v>
      </c>
    </row>
    <row r="106" spans="1:4">
      <c r="A106" t="s">
        <v>23</v>
      </c>
      <c r="B106" s="8">
        <v>4462.30865329513</v>
      </c>
      <c r="C106" s="8">
        <v>27528.0788421053</v>
      </c>
      <c r="D106" s="8">
        <v>9397.55227477477</v>
      </c>
    </row>
    <row r="107" spans="1:4">
      <c r="A107" t="s">
        <v>24</v>
      </c>
      <c r="B107" s="8">
        <v>8434.26844924812</v>
      </c>
      <c r="C107" s="8">
        <v>32050.2319708029</v>
      </c>
      <c r="D107" s="8">
        <v>13270.4224140508</v>
      </c>
    </row>
  </sheetData>
  <pageMargins left="0.75" right="0.75" top="1" bottom="1" header="0.5" footer="0.5"/>
  <headerFooter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K6"/>
  <sheetViews>
    <sheetView showGridLines="0" tabSelected="1" zoomScale="72" zoomScaleNormal="72" workbookViewId="0">
      <selection activeCell="E29" sqref="E29"/>
    </sheetView>
  </sheetViews>
  <sheetFormatPr defaultColWidth="9.14285714285714" defaultRowHeight="15" outlineLevelRow="5"/>
  <cols>
    <col min="2" max="2" width="25.2857142857143"/>
    <col min="4" max="4" width="14.8571428571429"/>
    <col min="10" max="10" width="9.42857142857143"/>
  </cols>
  <sheetData>
    <row r="4" spans="2:11">
      <c r="B4" s="1" t="s">
        <v>25</v>
      </c>
      <c r="D4" s="2" t="s">
        <v>26</v>
      </c>
      <c r="E4" s="3"/>
      <c r="G4" s="1" t="s">
        <v>27</v>
      </c>
      <c r="H4" s="4"/>
      <c r="J4" s="1" t="s">
        <v>28</v>
      </c>
      <c r="K4" s="4"/>
    </row>
    <row r="5" ht="16.5" spans="2:10">
      <c r="B5" s="5">
        <f>'Pivot table'!A4</f>
        <v>17755825.19</v>
      </c>
      <c r="D5" s="6">
        <f>'Pivot table'!A7</f>
        <v>13270.4224140508</v>
      </c>
      <c r="E5" s="3"/>
      <c r="G5" s="7">
        <f>'Pivot table'!A11</f>
        <v>30.6633968609865</v>
      </c>
      <c r="H5" s="4"/>
      <c r="J5" s="9">
        <f>'Pivot table'!A15</f>
        <v>1338</v>
      </c>
    </row>
    <row r="6" spans="2:2">
      <c r="B6" s="8"/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Personal Medical Cost on Insura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NDIDIAMAKA</cp:lastModifiedBy>
  <dcterms:created xsi:type="dcterms:W3CDTF">2026-05-07T19:27:00Z</dcterms:created>
  <dcterms:modified xsi:type="dcterms:W3CDTF">2026-05-22T13:23:35Z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6D1A685372E64D8F81022280A7699A17_13</vt:lpwstr>
  </property>
  <property fmtid="{D5CDD505-2E9C-101B-9397-08002B2CF9AE}" pid="3" name="KSOProductBuildVer">
    <vt:lpwstr>1033-12.2.0.23196</vt:lpwstr>
  </property>
</Properties>
</file>