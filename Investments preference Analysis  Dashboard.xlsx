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0.svg" ContentType="image/svg+xml"/>
  <Override PartName="/xl/media/image2.svg" ContentType="image/svg+xml"/>
  <Override PartName="/xl/media/image4.svg" ContentType="image/svg+xml"/>
  <Override PartName="/xl/media/image6.svg" ContentType="image/svg+xml"/>
  <Override PartName="/xl/media/image8.svg" ContentType="image/sv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15" windowHeight="7500" activeTab="2"/>
  </bookViews>
  <sheets>
    <sheet name="Investment Preference Data" sheetId="2" r:id="rId1"/>
    <sheet name="Pivot" sheetId="1" r:id="rId2"/>
    <sheet name="Dashboard" sheetId="3" r:id="rId3"/>
  </sheets>
  <definedNames>
    <definedName name="Slicer_Age_Group">#N/A</definedName>
    <definedName name="Slicer_gender">#N/A</definedName>
    <definedName name="Slicer_Duration">#N/A</definedName>
    <definedName name="ExternalData_1" localSheetId="0" hidden="1">'Investment Preference Data'!$A$1:$Z$41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Investment Preference Data" description="Connection to the 'Investment Preference Data' query in the workbook." type="5" background="1" refreshedVersion="2" saveData="1">
    <dbPr connection="Provider=Microsoft.Mashup.OleDb.1;Data Source=$Workbook$;Location=&quot;Investment Preference Data&quot;;Extended Properties=&quot;&quot;" command="SELECT * FROM [Investment Preference Data]" commandType="2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<sst xmlns="http://schemas.openxmlformats.org/spreadsheetml/2006/main" count="776" uniqueCount="96">
  <si>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</si>
  <si>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</si>
  <si>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</si>
  <si>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</si>
  <si>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</si>
  <si>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</si>
  <si>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</si>
  <si>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</si>
  <si>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</si>
  <si>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</si>
  <si>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Stock_Market</t>
  </si>
  <si>
    <t>Factor</t>
  </si>
  <si>
    <t>Objective</t>
  </si>
  <si>
    <t>Purpose</t>
  </si>
  <si>
    <t>Duration</t>
  </si>
  <si>
    <t>Invest_Monitor</t>
  </si>
  <si>
    <t>Expect</t>
  </si>
  <si>
    <t>Avenue</t>
  </si>
  <si>
    <t>Savings_Objectives</t>
  </si>
  <si>
    <t>Reason_Equity</t>
  </si>
  <si>
    <t>Reason_Mutual</t>
  </si>
  <si>
    <t>Reason_Bonds</t>
  </si>
  <si>
    <t>Reason_FD</t>
  </si>
  <si>
    <t>Source</t>
  </si>
  <si>
    <t>Age Group</t>
  </si>
  <si>
    <t>Total_Investment_score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</si>
  <si>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</si>
  <si>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</si>
  <si>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</si>
  <si>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</si>
  <si>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</si>
  <si>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</si>
  <si>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</si>
  <si>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</si>
  <si>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</si>
  <si>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</si>
  <si>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</si>
  <si>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</si>
  <si>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</si>
  <si>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</si>
  <si>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31-35 Experienced Adulthood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</si>
  <si>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</si>
  <si>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</si>
  <si>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</si>
  <si>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</si>
  <si>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</si>
  <si>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</si>
  <si>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</si>
  <si>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</si>
  <si>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21-25 Early Adulthood</t>
  </si>
  <si>
    <t>Male</t>
  </si>
  <si>
    <t>3-5 years</t>
  </si>
  <si>
    <t>Daily</t>
  </si>
  <si>
    <t>Equity</t>
  </si>
  <si>
    <t>Tax Benefits</t>
  </si>
  <si>
    <t>Assured Returns</t>
  </si>
  <si>
    <t>Television</t>
  </si>
  <si>
    <t>26-30 Established Adulthood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</si>
  <si>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</si>
  <si>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</si>
  <si>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</si>
  <si>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</si>
  <si>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</si>
  <si>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</si>
  <si>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</si>
  <si>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</si>
  <si>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</si>
  <si>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</si>
  <si>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</si>
  <si>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</si>
  <si>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</si>
  <si>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</si>
  <si>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</si>
  <si>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</si>
  <si>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Mutual Funds</t>
  </si>
  <si>
    <t xml:space="preserve"> Gold</t>
  </si>
  <si>
    <t xml:space="preserve"> PPF</t>
  </si>
  <si>
    <t xml:space="preserve"> Fixed Deposits</t>
  </si>
  <si>
    <t xml:space="preserve"> Equity Market</t>
  </si>
  <si>
    <t xml:space="preserve"> Debentures</t>
  </si>
  <si>
    <t xml:space="preserve"> Government Bonds</t>
  </si>
  <si>
    <t>Grand Total</t>
  </si>
  <si>
    <t>Count of Age Group</t>
  </si>
  <si>
    <t>Column Labels</t>
  </si>
  <si>
    <t>Count of Factor</t>
  </si>
  <si>
    <t>Count of Savings_Objectives</t>
  </si>
  <si>
    <t>Count of Reason_Mutual</t>
  </si>
  <si>
    <t>TOTAL MALE INVESTORS</t>
  </si>
  <si>
    <t>TOTAL FEMALE INVESTORS</t>
  </si>
  <si>
    <t>MOST POPULAR AVENUE</t>
  </si>
  <si>
    <t>AVERAGE SCORE EARLY ADULTHOOD</t>
  </si>
  <si>
    <t>TOP INFORMATION SOURCE</t>
  </si>
  <si>
    <t>AVG SCORE ESTABLISHED ADULTHOOD</t>
  </si>
  <si>
    <t>AVG SCORE EXPERIENCED ADULTHOOD</t>
  </si>
  <si>
    <t>Count of Expect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</si>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</sst>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1">
    <font>
      <sz val="11"/>
      <color theme="1"/>
      <name val="Gill Sans MT"/>
      <charset val="134"/>
      <scheme val="minor"/>
    </font>
    <font>
      <sz val="11"/>
      <color theme="1"/>
      <name val="Gill Sans MT"/>
      <charset val="134"/>
      <scheme val="minor"/>
    </font>
    <font>
      <u/>
      <sz val="11"/>
      <color rgb="FF0000FF"/>
      <name val="Gill Sans MT"/>
      <charset val="0"/>
      <scheme val="minor"/>
    </font>
    <font>
      <u/>
      <sz val="11"/>
      <color rgb="FF800080"/>
      <name val="Gill Sans MT"/>
      <charset val="0"/>
      <scheme val="minor"/>
    </font>
    <font>
      <sz val="11"/>
      <color rgb="FFFF0000"/>
      <name val="Gill Sans MT"/>
      <charset val="0"/>
      <scheme val="minor"/>
    </font>
    <font>
      <b/>
      <sz val="18"/>
      <color theme="3"/>
      <name val="Gill Sans MT"/>
      <charset val="134"/>
      <scheme val="minor"/>
    </font>
    <font>
      <i/>
      <sz val="11"/>
      <color rgb="FF7F7F7F"/>
      <name val="Gill Sans MT"/>
      <charset val="0"/>
      <scheme val="minor"/>
    </font>
    <font>
      <b/>
      <sz val="15"/>
      <color theme="3"/>
      <name val="Gill Sans MT"/>
      <charset val="134"/>
      <scheme val="minor"/>
    </font>
    <font>
      <b/>
      <sz val="13"/>
      <color theme="3"/>
      <name val="Gill Sans MT"/>
      <charset val="134"/>
      <scheme val="minor"/>
    </font>
    <font>
      <b/>
      <sz val="11"/>
      <color theme="3"/>
      <name val="Gill Sans MT"/>
      <charset val="134"/>
      <scheme val="minor"/>
    </font>
    <font>
      <sz val="11"/>
      <color rgb="FF3F3F76"/>
      <name val="Gill Sans MT"/>
      <charset val="0"/>
      <scheme val="minor"/>
    </font>
    <font>
      <b/>
      <sz val="11"/>
      <color rgb="FF3F3F3F"/>
      <name val="Gill Sans MT"/>
      <charset val="0"/>
      <scheme val="minor"/>
    </font>
    <font>
      <b/>
      <sz val="11"/>
      <color rgb="FFFA7D00"/>
      <name val="Gill Sans MT"/>
      <charset val="0"/>
      <scheme val="minor"/>
    </font>
    <font>
      <b/>
      <sz val="11"/>
      <color rgb="FFFFFFFF"/>
      <name val="Gill Sans MT"/>
      <charset val="0"/>
      <scheme val="minor"/>
    </font>
    <font>
      <sz val="11"/>
      <color rgb="FFFA7D00"/>
      <name val="Gill Sans MT"/>
      <charset val="0"/>
      <scheme val="minor"/>
    </font>
    <font>
      <b/>
      <sz val="11"/>
      <color theme="1"/>
      <name val="Gill Sans MT"/>
      <charset val="0"/>
      <scheme val="minor"/>
    </font>
    <font>
      <sz val="11"/>
      <color rgb="FF006100"/>
      <name val="Gill Sans MT"/>
      <charset val="0"/>
      <scheme val="minor"/>
    </font>
    <font>
      <sz val="11"/>
      <color rgb="FF9C0006"/>
      <name val="Gill Sans MT"/>
      <charset val="0"/>
      <scheme val="minor"/>
    </font>
    <font>
      <sz val="11"/>
      <color rgb="FF9C6500"/>
      <name val="Gill Sans MT"/>
      <charset val="0"/>
      <scheme val="minor"/>
    </font>
    <font>
      <sz val="11"/>
      <color theme="0"/>
      <name val="Gill Sans MT"/>
      <charset val="0"/>
      <scheme val="minor"/>
    </font>
    <font>
      <sz val="11"/>
      <color theme="1"/>
      <name val="Gill Sans MT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3" applyNumberFormat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left"/>
    </xf>
    <xf numFmtId="178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8" formatCode="0.0"/>
    </dxf>
    <dxf>
      <numFmt numFmtId="2" formatCode="0.00"/>
    </dxf>
    <dxf>
      <numFmt numFmtId="178" formatCode="0.0"/>
    </dxf>
    <dxf>
      <numFmt numFmtId="178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customXml" Target="../customXml/item1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[Investments preference Stage5.xlsx]Pivot!PivotTable2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Age Distribution by Investment Preference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Pivot!$E$23:$E$24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Pivot!$D$25:$D$28</c:f>
              <c:strCache>
                <c:ptCount val="3"/>
                <c:pt idx="0">
                  <c:v>21-25 Early Adulthood</c:v>
                </c:pt>
                <c:pt idx="1">
                  <c:v>26-30 Established Adulthood</c:v>
                </c:pt>
                <c:pt idx="2">
                  <c:v>31-35 Experienced Adulthood</c:v>
                </c:pt>
              </c:strCache>
            </c:strRef>
          </c:cat>
          <c:val>
            <c:numRef>
              <c:f>Pivot!$E$25:$E$28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</c:ser>
        <c:ser>
          <c:idx val="0"/>
          <c:order val="1"/>
          <c:tx>
            <c:strRef>
              <c:f>Pivot!$F$23:$F$24</c:f>
              <c:strCache>
                <c:ptCount val="1"/>
                <c:pt idx="0">
                  <c:v>Fixed Deposits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Pivot!$D$25:$D$28</c:f>
              <c:strCache>
                <c:ptCount val="3"/>
                <c:pt idx="0">
                  <c:v>21-25 Early Adulthood</c:v>
                </c:pt>
                <c:pt idx="1">
                  <c:v>26-30 Established Adulthood</c:v>
                </c:pt>
                <c:pt idx="2">
                  <c:v>31-35 Experienced Adulthood</c:v>
                </c:pt>
              </c:strCache>
            </c:strRef>
          </c:cat>
          <c:val>
            <c:numRef>
              <c:f>Pivot!$F$25:$F$28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</c:ser>
        <c:ser>
          <c:idx val="2"/>
          <c:order val="2"/>
          <c:tx>
            <c:strRef>
              <c:f>Pivot!$G$23:$G$24</c:f>
              <c:strCache>
                <c:ptCount val="1"/>
                <c:pt idx="0">
                  <c:v>Mutual Fund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Pivot!$D$25:$D$28</c:f>
              <c:strCache>
                <c:ptCount val="3"/>
                <c:pt idx="0">
                  <c:v>21-25 Early Adulthood</c:v>
                </c:pt>
                <c:pt idx="1">
                  <c:v>26-30 Established Adulthood</c:v>
                </c:pt>
                <c:pt idx="2">
                  <c:v>31-35 Experienced Adulthood</c:v>
                </c:pt>
              </c:strCache>
            </c:strRef>
          </c:cat>
          <c:val>
            <c:numRef>
              <c:f>Pivot!$G$25:$G$28</c:f>
              <c:numCache>
                <c:formatCode>General</c:formatCode>
                <c:ptCount val="3"/>
                <c:pt idx="0">
                  <c:v>4</c:v>
                </c:pt>
                <c:pt idx="1">
                  <c:v>10</c:v>
                </c:pt>
                <c:pt idx="2">
                  <c:v>4</c:v>
                </c:pt>
              </c:numCache>
            </c:numRef>
          </c:val>
        </c:ser>
        <c:ser>
          <c:idx val="3"/>
          <c:order val="3"/>
          <c:tx>
            <c:strRef>
              <c:f>Pivot!$H$23:$H$24</c:f>
              <c:strCache>
                <c:ptCount val="1"/>
                <c:pt idx="0">
                  <c:v>Public Provident Fund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Pivot!$D$25:$D$28</c:f>
              <c:strCache>
                <c:ptCount val="3"/>
                <c:pt idx="0">
                  <c:v>21-25 Early Adulthood</c:v>
                </c:pt>
                <c:pt idx="1">
                  <c:v>26-30 Established Adulthood</c:v>
                </c:pt>
                <c:pt idx="2">
                  <c:v>31-35 Experienced Adulthood</c:v>
                </c:pt>
              </c:strCache>
            </c:strRef>
          </c:cat>
          <c:val>
            <c:numRef>
              <c:f>Pivot!$H$25:$H$28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5935952"/>
        <c:axId val="1745936432"/>
      </c:barChart>
      <c:catAx>
        <c:axId val="1745935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5936432"/>
        <c:crosses val="autoZero"/>
        <c:auto val="1"/>
        <c:lblAlgn val="ctr"/>
        <c:lblOffset val="100"/>
        <c:noMultiLvlLbl val="0"/>
      </c:catAx>
      <c:valAx>
        <c:axId val="1745936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593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87e27f-11e1-4b47-bfc2-b766965295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[Investments preference Stage5.xlsx]Pivot!PivotTable5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Investment Factors by Age Group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Pivot!$E$43:$E$44</c:f>
              <c:strCache>
                <c:ptCount val="1"/>
                <c:pt idx="0">
                  <c:v>Locking Period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Pivot!$D$45:$D$48</c:f>
              <c:strCache>
                <c:ptCount val="3"/>
                <c:pt idx="0">
                  <c:v>21-25 Early Adulthood</c:v>
                </c:pt>
                <c:pt idx="1">
                  <c:v>26-30 Established Adulthood</c:v>
                </c:pt>
                <c:pt idx="2">
                  <c:v>31-35 Experienced Adulthood</c:v>
                </c:pt>
              </c:strCache>
            </c:strRef>
          </c:cat>
          <c:val>
            <c:numRef>
              <c:f>Pivot!$E$45:$E$48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Pivot!$F$43:$F$44</c:f>
              <c:strCache>
                <c:ptCount val="1"/>
                <c:pt idx="0">
                  <c:v>Returns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Pivot!$D$45:$D$48</c:f>
              <c:strCache>
                <c:ptCount val="3"/>
                <c:pt idx="0">
                  <c:v>21-25 Early Adulthood</c:v>
                </c:pt>
                <c:pt idx="1">
                  <c:v>26-30 Established Adulthood</c:v>
                </c:pt>
                <c:pt idx="2">
                  <c:v>31-35 Experienced Adulthood</c:v>
                </c:pt>
              </c:strCache>
            </c:strRef>
          </c:cat>
          <c:val>
            <c:numRef>
              <c:f>Pivot!$F$45:$F$48</c:f>
              <c:numCache>
                <c:formatCode>General</c:formatCode>
                <c:ptCount val="3"/>
                <c:pt idx="0">
                  <c:v>4</c:v>
                </c:pt>
                <c:pt idx="1">
                  <c:v>16</c:v>
                </c:pt>
                <c:pt idx="2">
                  <c:v>5</c:v>
                </c:pt>
              </c:numCache>
            </c:numRef>
          </c:val>
        </c:ser>
        <c:ser>
          <c:idx val="2"/>
          <c:order val="2"/>
          <c:tx>
            <c:strRef>
              <c:f>Pivot!$G$43:$G$44</c:f>
              <c:strCache>
                <c:ptCount val="1"/>
                <c:pt idx="0">
                  <c:v>Risk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Pivot!$D$45:$D$48</c:f>
              <c:strCache>
                <c:ptCount val="3"/>
                <c:pt idx="0">
                  <c:v>21-25 Early Adulthood</c:v>
                </c:pt>
                <c:pt idx="1">
                  <c:v>26-30 Established Adulthood</c:v>
                </c:pt>
                <c:pt idx="2">
                  <c:v>31-35 Experienced Adulthood</c:v>
                </c:pt>
              </c:strCache>
            </c:strRef>
          </c:cat>
          <c:val>
            <c:numRef>
              <c:f>Pivot!$G$45:$G$48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23452896"/>
        <c:axId val="1623443296"/>
      </c:barChart>
      <c:catAx>
        <c:axId val="162345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3443296"/>
        <c:crosses val="autoZero"/>
        <c:auto val="1"/>
        <c:lblAlgn val="ctr"/>
        <c:lblOffset val="100"/>
        <c:noMultiLvlLbl val="0"/>
      </c:catAx>
      <c:valAx>
        <c:axId val="1623443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345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483a9e-078a-40cc-9536-81a35e3979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[Investments preference Stage5.xlsx]Pivot!PivotTable7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Savings Objectives by Investment Duration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Pivot!$B$64:$B$65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Pivot!$A$66:$A$70</c:f>
              <c:strCache>
                <c:ptCount val="4"/>
                <c:pt idx="0">
                  <c:v>More than 5 years</c:v>
                </c:pt>
                <c:pt idx="1">
                  <c:v>Less than 1 year</c:v>
                </c:pt>
                <c:pt idx="2">
                  <c:v>1-3 years</c:v>
                </c:pt>
                <c:pt idx="3">
                  <c:v>3-5 years</c:v>
                </c:pt>
              </c:strCache>
            </c:strRef>
          </c:cat>
          <c:val>
            <c:numRef>
              <c:f>Pivot!$B$66:$B$70</c:f>
              <c:numCache>
                <c:formatCode>General</c:formatCode>
                <c:ptCount val="4"/>
                <c:pt idx="2">
                  <c:v>3</c:v>
                </c:pt>
              </c:numCache>
            </c:numRef>
          </c:val>
        </c:ser>
        <c:ser>
          <c:idx val="1"/>
          <c:order val="1"/>
          <c:tx>
            <c:strRef>
              <c:f>Pivot!$C$64:$C$65</c:f>
              <c:strCache>
                <c:ptCount val="1"/>
                <c:pt idx="0">
                  <c:v>Health Care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Pivot!$A$66:$A$70</c:f>
              <c:strCache>
                <c:ptCount val="4"/>
                <c:pt idx="0">
                  <c:v>More than 5 years</c:v>
                </c:pt>
                <c:pt idx="1">
                  <c:v>Less than 1 year</c:v>
                </c:pt>
                <c:pt idx="2">
                  <c:v>1-3 years</c:v>
                </c:pt>
                <c:pt idx="3">
                  <c:v>3-5 years</c:v>
                </c:pt>
              </c:strCache>
            </c:strRef>
          </c:cat>
          <c:val>
            <c:numRef>
              <c:f>Pivot!$C$66:$C$70</c:f>
              <c:numCache>
                <c:formatCode>General</c:formatCode>
                <c:ptCount val="4"/>
                <c:pt idx="0">
                  <c:v>1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</c:ser>
        <c:ser>
          <c:idx val="2"/>
          <c:order val="2"/>
          <c:tx>
            <c:strRef>
              <c:f>Pivot!$D$64:$D$65</c:f>
              <c:strCache>
                <c:ptCount val="1"/>
                <c:pt idx="0">
                  <c:v>Retirement Plan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Pivot!$A$66:$A$70</c:f>
              <c:strCache>
                <c:ptCount val="4"/>
                <c:pt idx="0">
                  <c:v>More than 5 years</c:v>
                </c:pt>
                <c:pt idx="1">
                  <c:v>Less than 1 year</c:v>
                </c:pt>
                <c:pt idx="2">
                  <c:v>1-3 years</c:v>
                </c:pt>
                <c:pt idx="3">
                  <c:v>3-5 years</c:v>
                </c:pt>
              </c:strCache>
            </c:strRef>
          </c:cat>
          <c:val>
            <c:numRef>
              <c:f>Pivot!$D$66:$D$70</c:f>
              <c:numCache>
                <c:formatCode>General</c:formatCode>
                <c:ptCount val="4"/>
                <c:pt idx="1">
                  <c:v>2</c:v>
                </c:pt>
                <c:pt idx="2">
                  <c:v>9</c:v>
                </c:pt>
                <c:pt idx="3">
                  <c:v>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3487936"/>
        <c:axId val="1623486016"/>
      </c:barChart>
      <c:catAx>
        <c:axId val="1623487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3486016"/>
        <c:crosses val="autoZero"/>
        <c:auto val="1"/>
        <c:lblAlgn val="ctr"/>
        <c:lblOffset val="100"/>
        <c:noMultiLvlLbl val="0"/>
      </c:catAx>
      <c:valAx>
        <c:axId val="16234860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348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129e5d-cbf4-48dd-beb5-fc55bfd7fc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[Investments preference Stage5.xlsx]Pivot!PivotTable8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Mutual Fund Reasons by Expected Return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Pivot!$B$82:$B$83</c:f>
              <c:strCache>
                <c:ptCount val="1"/>
                <c:pt idx="0">
                  <c:v>Better Returns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Pivot!$A$84:$A$87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Pivot!$B$84:$B$87</c:f>
              <c:numCache>
                <c:formatCode>General</c:formatCode>
                <c:ptCount val="3"/>
                <c:pt idx="1">
                  <c:v>22</c:v>
                </c:pt>
                <c:pt idx="2">
                  <c:v>2</c:v>
                </c:pt>
              </c:numCache>
            </c:numRef>
          </c:val>
        </c:ser>
        <c:ser>
          <c:idx val="1"/>
          <c:order val="1"/>
          <c:tx>
            <c:strRef>
              <c:f>Pivot!$C$82:$C$83</c:f>
              <c:strCache>
                <c:ptCount val="1"/>
                <c:pt idx="0">
                  <c:v>Fund Diversification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Pivot!$A$84:$A$87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Pivot!$C$84:$C$87</c:f>
              <c:numCache>
                <c:formatCode>General</c:formatCode>
                <c:ptCount val="3"/>
                <c:pt idx="0">
                  <c:v>1</c:v>
                </c:pt>
                <c:pt idx="1">
                  <c:v>9</c:v>
                </c:pt>
                <c:pt idx="2">
                  <c:v>3</c:v>
                </c:pt>
              </c:numCache>
            </c:numRef>
          </c:val>
        </c:ser>
        <c:ser>
          <c:idx val="2"/>
          <c:order val="2"/>
          <c:tx>
            <c:strRef>
              <c:f>Pivot!$D$82:$D$83</c:f>
              <c:strCache>
                <c:ptCount val="1"/>
                <c:pt idx="0">
                  <c:v>Tax Benefits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Pivot!$A$84:$A$87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Pivot!$D$84:$D$87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23490816"/>
        <c:axId val="1623491776"/>
      </c:barChart>
      <c:catAx>
        <c:axId val="162349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3491776"/>
        <c:crosses val="autoZero"/>
        <c:auto val="1"/>
        <c:lblAlgn val="ctr"/>
        <c:lblOffset val="100"/>
        <c:noMultiLvlLbl val="0"/>
      </c:catAx>
      <c:valAx>
        <c:axId val="16234917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349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e6996a-0770-4aa4-b21e-47763733f7e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[Investments preference Stage5.xlsx]Pivot!PivotTable9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Expected Returns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Pivot!$B$106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Pivot!$A$107:$A$110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Pivot!$B$107:$B$110</c:f>
              <c:numCache>
                <c:formatCode>General</c:formatCode>
                <c:ptCount val="3"/>
                <c:pt idx="0">
                  <c:v>3</c:v>
                </c:pt>
                <c:pt idx="1">
                  <c:v>32</c:v>
                </c:pt>
                <c:pt idx="2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123300-9d5c-4515-b74f-5e1ef6a6ef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[Investments preference Stage5.xlsx]Pivot!PivotTable1</c:name>
    <c:fmtId val="3"/>
  </c:pivotSource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Pivot!$E$1</c:f>
              <c:strCache>
                <c:ptCount val="1"/>
                <c:pt idx="0">
                  <c:v>Mutual Funds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Pivot!$E$2:$E$4</c:f>
              <c:numCache>
                <c:formatCode>0.0</c:formatCode>
                <c:ptCount val="2"/>
                <c:pt idx="0">
                  <c:v>2.73333333333333</c:v>
                </c:pt>
                <c:pt idx="1">
                  <c:v>2.44</c:v>
                </c:pt>
              </c:numCache>
            </c:numRef>
          </c:val>
        </c:ser>
        <c:ser>
          <c:idx val="1"/>
          <c:order val="1"/>
          <c:tx>
            <c:strRef>
              <c:f>Pivot!$F$1</c:f>
              <c:strCache>
                <c:ptCount val="1"/>
                <c:pt idx="0">
                  <c:v> Gold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Pivot!$F$2:$F$4</c:f>
              <c:numCache>
                <c:formatCode>0.00</c:formatCode>
                <c:ptCount val="2"/>
                <c:pt idx="0">
                  <c:v>5.86666666666667</c:v>
                </c:pt>
                <c:pt idx="1">
                  <c:v>6.04</c:v>
                </c:pt>
              </c:numCache>
            </c:numRef>
          </c:val>
        </c:ser>
        <c:ser>
          <c:idx val="2"/>
          <c:order val="2"/>
          <c:tx>
            <c:strRef>
              <c:f>Pivot!$G$1</c:f>
              <c:strCache>
                <c:ptCount val="1"/>
                <c:pt idx="0">
                  <c:v> PPF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Pivot!$G$2:$G$4</c:f>
              <c:numCache>
                <c:formatCode>0.0</c:formatCode>
                <c:ptCount val="2"/>
                <c:pt idx="0">
                  <c:v>2.33333333333333</c:v>
                </c:pt>
                <c:pt idx="1">
                  <c:v>1.84</c:v>
                </c:pt>
              </c:numCache>
            </c:numRef>
          </c:val>
        </c:ser>
        <c:ser>
          <c:idx val="3"/>
          <c:order val="3"/>
          <c:tx>
            <c:strRef>
              <c:f>Pivot!$H$1</c:f>
              <c:strCache>
                <c:ptCount val="1"/>
                <c:pt idx="0">
                  <c:v> Fixed Deposits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Pivot!$H$2:$H$4</c:f>
              <c:numCache>
                <c:formatCode>General</c:formatCode>
                <c:ptCount val="2"/>
                <c:pt idx="0">
                  <c:v>4.2</c:v>
                </c:pt>
                <c:pt idx="1">
                  <c:v>3.2</c:v>
                </c:pt>
              </c:numCache>
            </c:numRef>
          </c:val>
        </c:ser>
        <c:ser>
          <c:idx val="4"/>
          <c:order val="4"/>
          <c:tx>
            <c:strRef>
              <c:f>Pivot!$I$1</c:f>
              <c:strCache>
                <c:ptCount val="1"/>
                <c:pt idx="0">
                  <c:v> Equity Market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Pivot!$I$2:$I$4</c:f>
              <c:numCache>
                <c:formatCode>0.00</c:formatCode>
                <c:ptCount val="2"/>
                <c:pt idx="0">
                  <c:v>3.33333333333333</c:v>
                </c:pt>
                <c:pt idx="1">
                  <c:v>3.56</c:v>
                </c:pt>
              </c:numCache>
            </c:numRef>
          </c:val>
        </c:ser>
        <c:ser>
          <c:idx val="5"/>
          <c:order val="5"/>
          <c:tx>
            <c:strRef>
              <c:f>Pivot!$J$1</c:f>
              <c:strCache>
                <c:ptCount val="1"/>
                <c:pt idx="0">
                  <c:v> Debentures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Pivot!$J$2:$J$4</c:f>
              <c:numCache>
                <c:formatCode>0.00</c:formatCode>
                <c:ptCount val="2"/>
                <c:pt idx="0">
                  <c:v>5.2</c:v>
                </c:pt>
                <c:pt idx="1">
                  <c:v>6.08</c:v>
                </c:pt>
              </c:numCache>
            </c:numRef>
          </c:val>
        </c:ser>
        <c:ser>
          <c:idx val="6"/>
          <c:order val="6"/>
          <c:tx>
            <c:strRef>
              <c:f>Pivot!$K$1</c:f>
              <c:strCache>
                <c:ptCount val="1"/>
                <c:pt idx="0">
                  <c:v> Government Bonds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Pivot!$K$2:$K$4</c:f>
              <c:numCache>
                <c:formatCode>0.00</c:formatCode>
                <c:ptCount val="2"/>
                <c:pt idx="0">
                  <c:v>4.33333333333333</c:v>
                </c:pt>
                <c:pt idx="1">
                  <c:v>4.84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686847"/>
        <c:axId val="61696447"/>
      </c:barChart>
      <c:catAx>
        <c:axId val="61686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96447"/>
        <c:crosses val="autoZero"/>
        <c:auto val="1"/>
        <c:lblAlgn val="ctr"/>
        <c:lblOffset val="100"/>
        <c:noMultiLvlLbl val="0"/>
      </c:catAx>
      <c:valAx>
        <c:axId val="61696447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8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aaa320-fbd7-4dcc-8b43-ac993d354b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[Investments preference Stage5.xlsx]Pivot!PivotTable1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latin typeface="Georgia" panose="02040502050405020303" pitchFamily="18" charset="0"/>
              </a:rPr>
              <a:t>Investment</a:t>
            </a:r>
            <a:r>
              <a:rPr lang="en-US" sz="1400" b="1" baseline="0">
                <a:latin typeface="Georgia" panose="02040502050405020303" pitchFamily="18" charset="0"/>
              </a:rPr>
              <a:t> Avenues by Gender</a:t>
            </a:r>
            <a:endParaRPr lang="en-US" sz="1400" b="1">
              <a:latin typeface="Georgia" panose="02040502050405020303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Pivot!$E$1</c:f>
              <c:strCache>
                <c:ptCount val="1"/>
                <c:pt idx="0">
                  <c:v>Mutual Funds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Pivot!$E$2:$E$4</c:f>
              <c:numCache>
                <c:formatCode>0.0</c:formatCode>
                <c:ptCount val="2"/>
                <c:pt idx="0">
                  <c:v>2.73333333333333</c:v>
                </c:pt>
                <c:pt idx="1">
                  <c:v>2.44</c:v>
                </c:pt>
              </c:numCache>
            </c:numRef>
          </c:val>
        </c:ser>
        <c:ser>
          <c:idx val="1"/>
          <c:order val="1"/>
          <c:tx>
            <c:strRef>
              <c:f>Pivot!$F$1</c:f>
              <c:strCache>
                <c:ptCount val="1"/>
                <c:pt idx="0">
                  <c:v> Gold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Pivot!$F$2:$F$4</c:f>
              <c:numCache>
                <c:formatCode>0.00</c:formatCode>
                <c:ptCount val="2"/>
                <c:pt idx="0">
                  <c:v>5.86666666666667</c:v>
                </c:pt>
                <c:pt idx="1">
                  <c:v>6.04</c:v>
                </c:pt>
              </c:numCache>
            </c:numRef>
          </c:val>
        </c:ser>
        <c:ser>
          <c:idx val="2"/>
          <c:order val="2"/>
          <c:tx>
            <c:strRef>
              <c:f>Pivot!$G$1</c:f>
              <c:strCache>
                <c:ptCount val="1"/>
                <c:pt idx="0">
                  <c:v> PPF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Pivot!$G$2:$G$4</c:f>
              <c:numCache>
                <c:formatCode>0.0</c:formatCode>
                <c:ptCount val="2"/>
                <c:pt idx="0">
                  <c:v>2.33333333333333</c:v>
                </c:pt>
                <c:pt idx="1">
                  <c:v>1.84</c:v>
                </c:pt>
              </c:numCache>
            </c:numRef>
          </c:val>
        </c:ser>
        <c:ser>
          <c:idx val="3"/>
          <c:order val="3"/>
          <c:tx>
            <c:strRef>
              <c:f>Pivot!$H$1</c:f>
              <c:strCache>
                <c:ptCount val="1"/>
                <c:pt idx="0">
                  <c:v> Fixed Deposits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Pivot!$H$2:$H$4</c:f>
              <c:numCache>
                <c:formatCode>General</c:formatCode>
                <c:ptCount val="2"/>
                <c:pt idx="0">
                  <c:v>4.2</c:v>
                </c:pt>
                <c:pt idx="1">
                  <c:v>3.2</c:v>
                </c:pt>
              </c:numCache>
            </c:numRef>
          </c:val>
        </c:ser>
        <c:ser>
          <c:idx val="4"/>
          <c:order val="4"/>
          <c:tx>
            <c:strRef>
              <c:f>Pivot!$I$1</c:f>
              <c:strCache>
                <c:ptCount val="1"/>
                <c:pt idx="0">
                  <c:v> Equity Market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Pivot!$I$2:$I$4</c:f>
              <c:numCache>
                <c:formatCode>0.00</c:formatCode>
                <c:ptCount val="2"/>
                <c:pt idx="0">
                  <c:v>3.33333333333333</c:v>
                </c:pt>
                <c:pt idx="1">
                  <c:v>3.56</c:v>
                </c:pt>
              </c:numCache>
            </c:numRef>
          </c:val>
        </c:ser>
        <c:ser>
          <c:idx val="5"/>
          <c:order val="5"/>
          <c:tx>
            <c:strRef>
              <c:f>Pivot!$J$1</c:f>
              <c:strCache>
                <c:ptCount val="1"/>
                <c:pt idx="0">
                  <c:v> Debentures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Pivot!$J$2:$J$4</c:f>
              <c:numCache>
                <c:formatCode>0.00</c:formatCode>
                <c:ptCount val="2"/>
                <c:pt idx="0">
                  <c:v>5.2</c:v>
                </c:pt>
                <c:pt idx="1">
                  <c:v>6.08</c:v>
                </c:pt>
              </c:numCache>
            </c:numRef>
          </c:val>
        </c:ser>
        <c:ser>
          <c:idx val="6"/>
          <c:order val="6"/>
          <c:tx>
            <c:strRef>
              <c:f>Pivot!$K$1</c:f>
              <c:strCache>
                <c:ptCount val="1"/>
                <c:pt idx="0">
                  <c:v> Government Bonds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Pivot!$K$2:$K$4</c:f>
              <c:numCache>
                <c:formatCode>0.00</c:formatCode>
                <c:ptCount val="2"/>
                <c:pt idx="0">
                  <c:v>4.33333333333333</c:v>
                </c:pt>
                <c:pt idx="1">
                  <c:v>4.84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74994288"/>
        <c:axId val="1374994768"/>
      </c:barChart>
      <c:catAx>
        <c:axId val="137499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994768"/>
        <c:crosses val="autoZero"/>
        <c:auto val="1"/>
        <c:lblAlgn val="ctr"/>
        <c:lblOffset val="100"/>
        <c:noMultiLvlLbl val="0"/>
      </c:catAx>
      <c:valAx>
        <c:axId val="1374994768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99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3343512429931"/>
          <c:y val="0.207609629313347"/>
          <c:w val="0.299739428447611"/>
          <c:h val="0.666120603151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2d8abc-df02-4ea4-b40f-784e8dbe73e8}"/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[Investments preference Stage5.xlsx]Pivot!PivotTable2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Georgia" panose="02040502050405020303" pitchFamily="18" charset="0"/>
              </a:rPr>
              <a:t>Age Distribution by Investment Preference</a:t>
            </a:r>
            <a:endParaRPr lang="en-US" sz="1400" b="1">
              <a:latin typeface="Georgia" panose="02040502050405020303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Pivot!$E$23:$E$24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Pivot!$D$25:$D$28</c:f>
              <c:strCache>
                <c:ptCount val="3"/>
                <c:pt idx="0">
                  <c:v>21-25 Early Adulthood</c:v>
                </c:pt>
                <c:pt idx="1">
                  <c:v>26-30 Established Adulthood</c:v>
                </c:pt>
                <c:pt idx="2">
                  <c:v>31-35 Experienced Adulthood</c:v>
                </c:pt>
              </c:strCache>
            </c:strRef>
          </c:cat>
          <c:val>
            <c:numRef>
              <c:f>Pivot!$E$25:$E$28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</c:ser>
        <c:ser>
          <c:idx val="0"/>
          <c:order val="1"/>
          <c:tx>
            <c:strRef>
              <c:f>Pivot!$F$23:$F$24</c:f>
              <c:strCache>
                <c:ptCount val="1"/>
                <c:pt idx="0">
                  <c:v>Fixed Deposits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Pivot!$D$25:$D$28</c:f>
              <c:strCache>
                <c:ptCount val="3"/>
                <c:pt idx="0">
                  <c:v>21-25 Early Adulthood</c:v>
                </c:pt>
                <c:pt idx="1">
                  <c:v>26-30 Established Adulthood</c:v>
                </c:pt>
                <c:pt idx="2">
                  <c:v>31-35 Experienced Adulthood</c:v>
                </c:pt>
              </c:strCache>
            </c:strRef>
          </c:cat>
          <c:val>
            <c:numRef>
              <c:f>Pivot!$F$25:$F$28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</c:ser>
        <c:ser>
          <c:idx val="2"/>
          <c:order val="2"/>
          <c:tx>
            <c:strRef>
              <c:f>Pivot!$G$23:$G$24</c:f>
              <c:strCache>
                <c:ptCount val="1"/>
                <c:pt idx="0">
                  <c:v>Mutual Fund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Pivot!$D$25:$D$28</c:f>
              <c:strCache>
                <c:ptCount val="3"/>
                <c:pt idx="0">
                  <c:v>21-25 Early Adulthood</c:v>
                </c:pt>
                <c:pt idx="1">
                  <c:v>26-30 Established Adulthood</c:v>
                </c:pt>
                <c:pt idx="2">
                  <c:v>31-35 Experienced Adulthood</c:v>
                </c:pt>
              </c:strCache>
            </c:strRef>
          </c:cat>
          <c:val>
            <c:numRef>
              <c:f>Pivot!$G$25:$G$28</c:f>
              <c:numCache>
                <c:formatCode>General</c:formatCode>
                <c:ptCount val="3"/>
                <c:pt idx="0">
                  <c:v>4</c:v>
                </c:pt>
                <c:pt idx="1">
                  <c:v>10</c:v>
                </c:pt>
                <c:pt idx="2">
                  <c:v>4</c:v>
                </c:pt>
              </c:numCache>
            </c:numRef>
          </c:val>
        </c:ser>
        <c:ser>
          <c:idx val="3"/>
          <c:order val="3"/>
          <c:tx>
            <c:strRef>
              <c:f>Pivot!$H$23:$H$24</c:f>
              <c:strCache>
                <c:ptCount val="1"/>
                <c:pt idx="0">
                  <c:v>Public Provident Fund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Pivot!$D$25:$D$28</c:f>
              <c:strCache>
                <c:ptCount val="3"/>
                <c:pt idx="0">
                  <c:v>21-25 Early Adulthood</c:v>
                </c:pt>
                <c:pt idx="1">
                  <c:v>26-30 Established Adulthood</c:v>
                </c:pt>
                <c:pt idx="2">
                  <c:v>31-35 Experienced Adulthood</c:v>
                </c:pt>
              </c:strCache>
            </c:strRef>
          </c:cat>
          <c:val>
            <c:numRef>
              <c:f>Pivot!$H$25:$H$28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5935952"/>
        <c:axId val="1745936432"/>
      </c:barChart>
      <c:catAx>
        <c:axId val="1745935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5936432"/>
        <c:crosses val="autoZero"/>
        <c:auto val="1"/>
        <c:lblAlgn val="ctr"/>
        <c:lblOffset val="100"/>
        <c:noMultiLvlLbl val="0"/>
      </c:catAx>
      <c:valAx>
        <c:axId val="1745936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593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be8ae4-5781-42d4-9091-a659d16184c2}"/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[Investments preference Stage5.xlsx]Pivot!PivotTable5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latin typeface="Georgia" panose="02040502050405020303" pitchFamily="18" charset="0"/>
              </a:rPr>
              <a:t>Investment Factors by Age Group</a:t>
            </a:r>
            <a:endParaRPr lang="en-US" sz="1600" b="1">
              <a:latin typeface="Georgia" panose="02040502050405020303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Pivot!$E$43:$E$44</c:f>
              <c:strCache>
                <c:ptCount val="1"/>
                <c:pt idx="0">
                  <c:v>Locking Period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Pivot!$D$45:$D$48</c:f>
              <c:strCache>
                <c:ptCount val="3"/>
                <c:pt idx="0">
                  <c:v>21-25 Early Adulthood</c:v>
                </c:pt>
                <c:pt idx="1">
                  <c:v>26-30 Established Adulthood</c:v>
                </c:pt>
                <c:pt idx="2">
                  <c:v>31-35 Experienced Adulthood</c:v>
                </c:pt>
              </c:strCache>
            </c:strRef>
          </c:cat>
          <c:val>
            <c:numRef>
              <c:f>Pivot!$E$45:$E$48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Pivot!$F$43:$F$44</c:f>
              <c:strCache>
                <c:ptCount val="1"/>
                <c:pt idx="0">
                  <c:v>Returns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Pivot!$D$45:$D$48</c:f>
              <c:strCache>
                <c:ptCount val="3"/>
                <c:pt idx="0">
                  <c:v>21-25 Early Adulthood</c:v>
                </c:pt>
                <c:pt idx="1">
                  <c:v>26-30 Established Adulthood</c:v>
                </c:pt>
                <c:pt idx="2">
                  <c:v>31-35 Experienced Adulthood</c:v>
                </c:pt>
              </c:strCache>
            </c:strRef>
          </c:cat>
          <c:val>
            <c:numRef>
              <c:f>Pivot!$F$45:$F$48</c:f>
              <c:numCache>
                <c:formatCode>General</c:formatCode>
                <c:ptCount val="3"/>
                <c:pt idx="0">
                  <c:v>4</c:v>
                </c:pt>
                <c:pt idx="1">
                  <c:v>16</c:v>
                </c:pt>
                <c:pt idx="2">
                  <c:v>5</c:v>
                </c:pt>
              </c:numCache>
            </c:numRef>
          </c:val>
        </c:ser>
        <c:ser>
          <c:idx val="2"/>
          <c:order val="2"/>
          <c:tx>
            <c:strRef>
              <c:f>Pivot!$G$43:$G$44</c:f>
              <c:strCache>
                <c:ptCount val="1"/>
                <c:pt idx="0">
                  <c:v>Risk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Pivot!$D$45:$D$48</c:f>
              <c:strCache>
                <c:ptCount val="3"/>
                <c:pt idx="0">
                  <c:v>21-25 Early Adulthood</c:v>
                </c:pt>
                <c:pt idx="1">
                  <c:v>26-30 Established Adulthood</c:v>
                </c:pt>
                <c:pt idx="2">
                  <c:v>31-35 Experienced Adulthood</c:v>
                </c:pt>
              </c:strCache>
            </c:strRef>
          </c:cat>
          <c:val>
            <c:numRef>
              <c:f>Pivot!$G$45:$G$48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23452896"/>
        <c:axId val="1623443296"/>
      </c:barChart>
      <c:catAx>
        <c:axId val="162345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3443296"/>
        <c:crosses val="autoZero"/>
        <c:auto val="1"/>
        <c:lblAlgn val="ctr"/>
        <c:lblOffset val="100"/>
        <c:noMultiLvlLbl val="0"/>
      </c:catAx>
      <c:valAx>
        <c:axId val="1623443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345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35b75f-2f53-4e19-bdd0-3ef19f0eb906}"/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[Investments preference Stage5.xlsx]Pivot!PivotTable7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Georgia" panose="02040502050405020303" pitchFamily="18" charset="0"/>
              </a:rPr>
              <a:t>Savings Objectives by Investment Duration</a:t>
            </a:r>
            <a:endParaRPr lang="en-US" sz="1400" b="1">
              <a:latin typeface="Georgia" panose="02040502050405020303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Pivot!$B$64:$B$65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Pivot!$A$66:$A$70</c:f>
              <c:strCache>
                <c:ptCount val="4"/>
                <c:pt idx="0">
                  <c:v>More than 5 years</c:v>
                </c:pt>
                <c:pt idx="1">
                  <c:v>Less than 1 year</c:v>
                </c:pt>
                <c:pt idx="2">
                  <c:v>1-3 years</c:v>
                </c:pt>
                <c:pt idx="3">
                  <c:v>3-5 years</c:v>
                </c:pt>
              </c:strCache>
            </c:strRef>
          </c:cat>
          <c:val>
            <c:numRef>
              <c:f>Pivot!$B$66:$B$70</c:f>
              <c:numCache>
                <c:formatCode>General</c:formatCode>
                <c:ptCount val="4"/>
                <c:pt idx="2">
                  <c:v>3</c:v>
                </c:pt>
              </c:numCache>
            </c:numRef>
          </c:val>
        </c:ser>
        <c:ser>
          <c:idx val="1"/>
          <c:order val="1"/>
          <c:tx>
            <c:strRef>
              <c:f>Pivot!$C$64:$C$65</c:f>
              <c:strCache>
                <c:ptCount val="1"/>
                <c:pt idx="0">
                  <c:v>Health Care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Pivot!$A$66:$A$70</c:f>
              <c:strCache>
                <c:ptCount val="4"/>
                <c:pt idx="0">
                  <c:v>More than 5 years</c:v>
                </c:pt>
                <c:pt idx="1">
                  <c:v>Less than 1 year</c:v>
                </c:pt>
                <c:pt idx="2">
                  <c:v>1-3 years</c:v>
                </c:pt>
                <c:pt idx="3">
                  <c:v>3-5 years</c:v>
                </c:pt>
              </c:strCache>
            </c:strRef>
          </c:cat>
          <c:val>
            <c:numRef>
              <c:f>Pivot!$C$66:$C$70</c:f>
              <c:numCache>
                <c:formatCode>General</c:formatCode>
                <c:ptCount val="4"/>
                <c:pt idx="0">
                  <c:v>1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</c:ser>
        <c:ser>
          <c:idx val="2"/>
          <c:order val="2"/>
          <c:tx>
            <c:strRef>
              <c:f>Pivot!$D$64:$D$65</c:f>
              <c:strCache>
                <c:ptCount val="1"/>
                <c:pt idx="0">
                  <c:v>Retirement Plan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Pivot!$A$66:$A$70</c:f>
              <c:strCache>
                <c:ptCount val="4"/>
                <c:pt idx="0">
                  <c:v>More than 5 years</c:v>
                </c:pt>
                <c:pt idx="1">
                  <c:v>Less than 1 year</c:v>
                </c:pt>
                <c:pt idx="2">
                  <c:v>1-3 years</c:v>
                </c:pt>
                <c:pt idx="3">
                  <c:v>3-5 years</c:v>
                </c:pt>
              </c:strCache>
            </c:strRef>
          </c:cat>
          <c:val>
            <c:numRef>
              <c:f>Pivot!$D$66:$D$70</c:f>
              <c:numCache>
                <c:formatCode>General</c:formatCode>
                <c:ptCount val="4"/>
                <c:pt idx="1">
                  <c:v>2</c:v>
                </c:pt>
                <c:pt idx="2">
                  <c:v>9</c:v>
                </c:pt>
                <c:pt idx="3">
                  <c:v>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3487936"/>
        <c:axId val="1623486016"/>
      </c:barChart>
      <c:catAx>
        <c:axId val="1623487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3486016"/>
        <c:crosses val="autoZero"/>
        <c:auto val="1"/>
        <c:lblAlgn val="ctr"/>
        <c:lblOffset val="100"/>
        <c:noMultiLvlLbl val="0"/>
      </c:catAx>
      <c:valAx>
        <c:axId val="16234860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348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d736a9-809c-4f3c-b9ff-f98a23a467b8}"/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[Investments preference Stage5.xlsx]Pivot!PivotTable8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latin typeface="Georgia" panose="02040502050405020303" pitchFamily="18" charset="0"/>
              </a:rPr>
              <a:t>M</a:t>
            </a:r>
            <a:r>
              <a:rPr lang="en-US" sz="1400" b="1" i="0" u="none" strike="noStrike" baseline="0">
                <a:latin typeface="Georgia" panose="02040502050405020303" pitchFamily="18" charset="0"/>
              </a:rPr>
              <a:t>utual Fund Reasons by Expected Return</a:t>
            </a:r>
            <a:endParaRPr lang="en-US" sz="1400" b="1">
              <a:latin typeface="Georgia" panose="02040502050405020303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Pivot!$B$82:$B$83</c:f>
              <c:strCache>
                <c:ptCount val="1"/>
                <c:pt idx="0">
                  <c:v>Better Returns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Pivot!$A$84:$A$87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Pivot!$B$84:$B$87</c:f>
              <c:numCache>
                <c:formatCode>General</c:formatCode>
                <c:ptCount val="3"/>
                <c:pt idx="1">
                  <c:v>22</c:v>
                </c:pt>
                <c:pt idx="2">
                  <c:v>2</c:v>
                </c:pt>
              </c:numCache>
            </c:numRef>
          </c:val>
        </c:ser>
        <c:ser>
          <c:idx val="1"/>
          <c:order val="1"/>
          <c:tx>
            <c:strRef>
              <c:f>Pivot!$C$82:$C$83</c:f>
              <c:strCache>
                <c:ptCount val="1"/>
                <c:pt idx="0">
                  <c:v>Fund Diversification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Pivot!$A$84:$A$87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Pivot!$C$84:$C$87</c:f>
              <c:numCache>
                <c:formatCode>General</c:formatCode>
                <c:ptCount val="3"/>
                <c:pt idx="0">
                  <c:v>1</c:v>
                </c:pt>
                <c:pt idx="1">
                  <c:v>9</c:v>
                </c:pt>
                <c:pt idx="2">
                  <c:v>3</c:v>
                </c:pt>
              </c:numCache>
            </c:numRef>
          </c:val>
        </c:ser>
        <c:ser>
          <c:idx val="2"/>
          <c:order val="2"/>
          <c:tx>
            <c:strRef>
              <c:f>Pivot!$D$82:$D$83</c:f>
              <c:strCache>
                <c:ptCount val="1"/>
                <c:pt idx="0">
                  <c:v>Tax Benefits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Pivot!$A$84:$A$87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Pivot!$D$84:$D$87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23490816"/>
        <c:axId val="1623491776"/>
      </c:barChart>
      <c:catAx>
        <c:axId val="162349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3491776"/>
        <c:crosses val="autoZero"/>
        <c:auto val="1"/>
        <c:lblAlgn val="ctr"/>
        <c:lblOffset val="100"/>
        <c:noMultiLvlLbl val="0"/>
      </c:catAx>
      <c:valAx>
        <c:axId val="1623491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349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438248-61a5-4032-9676-547b03fe35ee}"/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[Investments preference Stage5.xlsx]Pivot!PivotTable9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Georgia" panose="02040502050405020303" pitchFamily="18" charset="0"/>
              </a:rPr>
              <a:t>Expected Returns Distribution</a:t>
            </a:r>
            <a:endParaRPr lang="en-US" sz="1400" b="1">
              <a:latin typeface="Georgia" panose="02040502050405020303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Pivot!$B$106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0517484665951415"/>
                  <c:y val="0.0038153651664971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Pivot!$A$107:$A$110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Pivot!$B$107:$B$110</c:f>
              <c:numCache>
                <c:formatCode>General</c:formatCode>
                <c:ptCount val="3"/>
                <c:pt idx="0">
                  <c:v>3</c:v>
                </c:pt>
                <c:pt idx="1">
                  <c:v>32</c:v>
                </c:pt>
                <c:pt idx="2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496075877106"/>
          <c:y val="0.387499301517794"/>
          <c:w val="0.189514701250398"/>
          <c:h val="0.300965317429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0b5f33-d7b2-41a7-8e8c-d8bed31573e6}"/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png"/><Relationship Id="rId8" Type="http://schemas.openxmlformats.org/officeDocument/2006/relationships/image" Target="../media/image2.svg"/><Relationship Id="rId7" Type="http://schemas.openxmlformats.org/officeDocument/2006/relationships/image" Target="../media/image1.pn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6" Type="http://schemas.openxmlformats.org/officeDocument/2006/relationships/image" Target="../media/image10.svg"/><Relationship Id="rId15" Type="http://schemas.openxmlformats.org/officeDocument/2006/relationships/image" Target="../media/image9.png"/><Relationship Id="rId14" Type="http://schemas.openxmlformats.org/officeDocument/2006/relationships/image" Target="../media/image8.svg"/><Relationship Id="rId13" Type="http://schemas.openxmlformats.org/officeDocument/2006/relationships/image" Target="../media/image7.png"/><Relationship Id="rId12" Type="http://schemas.openxmlformats.org/officeDocument/2006/relationships/image" Target="../media/image6.svg"/><Relationship Id="rId11" Type="http://schemas.openxmlformats.org/officeDocument/2006/relationships/image" Target="../media/image5.png"/><Relationship Id="rId10" Type="http://schemas.openxmlformats.org/officeDocument/2006/relationships/image" Target="../media/image4.sv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466725</xdr:colOff>
      <xdr:row>22</xdr:row>
      <xdr:rowOff>4762</xdr:rowOff>
    </xdr:from>
    <xdr:to>
      <xdr:col>13</xdr:col>
      <xdr:colOff>409575</xdr:colOff>
      <xdr:row>36</xdr:row>
      <xdr:rowOff>80962</xdr:rowOff>
    </xdr:to>
    <xdr:graphicFrame>
      <xdr:nvGraphicFramePr>
        <xdr:cNvPr id="3" name="Chart 2"/>
        <xdr:cNvGraphicFramePr/>
      </xdr:nvGraphicFramePr>
      <xdr:xfrm>
        <a:off x="8953500" y="4824095"/>
        <a:ext cx="3629025" cy="3143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41</xdr:row>
      <xdr:rowOff>138112</xdr:rowOff>
    </xdr:from>
    <xdr:to>
      <xdr:col>10</xdr:col>
      <xdr:colOff>1581150</xdr:colOff>
      <xdr:row>56</xdr:row>
      <xdr:rowOff>23812</xdr:rowOff>
    </xdr:to>
    <xdr:graphicFrame>
      <xdr:nvGraphicFramePr>
        <xdr:cNvPr id="4" name="Chart 3"/>
        <xdr:cNvGraphicFramePr/>
      </xdr:nvGraphicFramePr>
      <xdr:xfrm>
        <a:off x="7515225" y="9119870"/>
        <a:ext cx="3286125" cy="3171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180975</xdr:colOff>
      <xdr:row>60</xdr:row>
      <xdr:rowOff>157162</xdr:rowOff>
    </xdr:from>
    <xdr:to>
      <xdr:col>10</xdr:col>
      <xdr:colOff>85725</xdr:colOff>
      <xdr:row>75</xdr:row>
      <xdr:rowOff>42862</xdr:rowOff>
    </xdr:to>
    <xdr:graphicFrame>
      <xdr:nvGraphicFramePr>
        <xdr:cNvPr id="5" name="Chart 4"/>
        <xdr:cNvGraphicFramePr/>
      </xdr:nvGraphicFramePr>
      <xdr:xfrm>
        <a:off x="5705475" y="13301345"/>
        <a:ext cx="3752850" cy="3171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257175</xdr:colOff>
      <xdr:row>80</xdr:row>
      <xdr:rowOff>52387</xdr:rowOff>
    </xdr:from>
    <xdr:to>
      <xdr:col>10</xdr:col>
      <xdr:colOff>161925</xdr:colOff>
      <xdr:row>94</xdr:row>
      <xdr:rowOff>128587</xdr:rowOff>
    </xdr:to>
    <xdr:graphicFrame>
      <xdr:nvGraphicFramePr>
        <xdr:cNvPr id="6" name="Chart 5"/>
        <xdr:cNvGraphicFramePr/>
      </xdr:nvGraphicFramePr>
      <xdr:xfrm>
        <a:off x="5781675" y="17578070"/>
        <a:ext cx="3752850" cy="3143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323850</xdr:colOff>
      <xdr:row>105</xdr:row>
      <xdr:rowOff>61912</xdr:rowOff>
    </xdr:from>
    <xdr:to>
      <xdr:col>8</xdr:col>
      <xdr:colOff>114300</xdr:colOff>
      <xdr:row>119</xdr:row>
      <xdr:rowOff>138112</xdr:rowOff>
    </xdr:to>
    <xdr:graphicFrame>
      <xdr:nvGraphicFramePr>
        <xdr:cNvPr id="7" name="Chart 6"/>
        <xdr:cNvGraphicFramePr/>
      </xdr:nvGraphicFramePr>
      <xdr:xfrm>
        <a:off x="2466975" y="23064470"/>
        <a:ext cx="5067300" cy="3143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542925</xdr:colOff>
      <xdr:row>3</xdr:row>
      <xdr:rowOff>176212</xdr:rowOff>
    </xdr:from>
    <xdr:to>
      <xdr:col>8</xdr:col>
      <xdr:colOff>828675</xdr:colOff>
      <xdr:row>18</xdr:row>
      <xdr:rowOff>61912</xdr:rowOff>
    </xdr:to>
    <xdr:graphicFrame>
      <xdr:nvGraphicFramePr>
        <xdr:cNvPr id="8" name="Chart 7"/>
        <xdr:cNvGraphicFramePr/>
      </xdr:nvGraphicFramePr>
      <xdr:xfrm>
        <a:off x="5095875" y="833120"/>
        <a:ext cx="3152775" cy="3171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28577</xdr:colOff>
      <xdr:row>0</xdr:row>
      <xdr:rowOff>19050</xdr:rowOff>
    </xdr:from>
    <xdr:to>
      <xdr:col>26</xdr:col>
      <xdr:colOff>182394</xdr:colOff>
      <xdr:row>2</xdr:row>
      <xdr:rowOff>171450</xdr:rowOff>
    </xdr:to>
    <xdr:sp>
      <xdr:nvSpPr>
        <xdr:cNvPr id="3" name="Rectangle: Rounded Corners 2"/>
        <xdr:cNvSpPr/>
      </xdr:nvSpPr>
      <xdr:spPr>
        <a:xfrm>
          <a:off x="28575" y="19050"/>
          <a:ext cx="16917670" cy="590550"/>
        </a:xfrm>
        <a:prstGeom prst="roundRect">
          <a:avLst/>
        </a:prstGeom>
        <a:solidFill>
          <a:srgbClr val="002060"/>
        </a:solidFill>
        <a:ln>
          <a:solidFill>
            <a:schemeClr val="tx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>
              <a:latin typeface="Georgia" panose="02040502050405020303" pitchFamily="18" charset="0"/>
            </a:rPr>
            <a:t>WEALTHBRIDGE ADVISORS — INVESTMENT PREFERENCE ANALYSIS DASHBOARD</a:t>
          </a:r>
          <a:r>
            <a:rPr lang="en-US" sz="1100"/>
            <a:t>	</a:t>
          </a:r>
          <a:endParaRPr lang="en-US" sz="1100"/>
        </a:p>
      </xdr:txBody>
    </xdr:sp>
    <xdr:clientData/>
  </xdr:twoCellAnchor>
  <xdr:twoCellAnchor>
    <xdr:from>
      <xdr:col>0</xdr:col>
      <xdr:colOff>47622</xdr:colOff>
      <xdr:row>3</xdr:row>
      <xdr:rowOff>28575</xdr:rowOff>
    </xdr:from>
    <xdr:to>
      <xdr:col>5</xdr:col>
      <xdr:colOff>207064</xdr:colOff>
      <xdr:row>7</xdr:row>
      <xdr:rowOff>9525</xdr:rowOff>
    </xdr:to>
    <xdr:sp>
      <xdr:nvSpPr>
        <xdr:cNvPr id="4" name="Rectangle: Rounded Corners 3"/>
        <xdr:cNvSpPr/>
      </xdr:nvSpPr>
      <xdr:spPr>
        <a:xfrm>
          <a:off x="46990" y="685800"/>
          <a:ext cx="3284220" cy="857250"/>
        </a:xfrm>
        <a:prstGeom prst="roundRect">
          <a:avLst/>
        </a:prstGeom>
        <a:solidFill>
          <a:srgbClr val="00206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latin typeface="Georgia" panose="02040502050405020303" pitchFamily="18" charset="0"/>
            </a:rPr>
            <a:t>TOTAL</a:t>
          </a:r>
          <a:r>
            <a:rPr lang="en-US" sz="1400" baseline="0">
              <a:latin typeface="Georgia" panose="02040502050405020303" pitchFamily="18" charset="0"/>
            </a:rPr>
            <a:t> MALE INVESTORS</a:t>
          </a:r>
          <a:endParaRPr lang="en-US" sz="1400" baseline="0">
            <a:latin typeface="Georgia" panose="02040502050405020303" pitchFamily="18" charset="0"/>
          </a:endParaRPr>
        </a:p>
        <a:p>
          <a:pPr algn="ctr"/>
          <a:endParaRPr lang="en-US" sz="1400" baseline="0">
            <a:latin typeface="Georgia" panose="02040502050405020303" pitchFamily="18" charset="0"/>
          </a:endParaRPr>
        </a:p>
        <a:p>
          <a:pPr algn="ctr"/>
          <a:r>
            <a:rPr lang="en-US" sz="1400" baseline="0">
              <a:latin typeface="Georgia" panose="02040502050405020303" pitchFamily="18" charset="0"/>
            </a:rPr>
            <a:t>25</a:t>
          </a:r>
          <a:endParaRPr lang="en-US" sz="1400">
            <a:latin typeface="Georgia" panose="02040502050405020303" pitchFamily="18" charset="0"/>
          </a:endParaRPr>
        </a:p>
      </xdr:txBody>
    </xdr:sp>
    <xdr:clientData/>
  </xdr:twoCellAnchor>
  <xdr:twoCellAnchor>
    <xdr:from>
      <xdr:col>5</xdr:col>
      <xdr:colOff>283723</xdr:colOff>
      <xdr:row>3</xdr:row>
      <xdr:rowOff>38099</xdr:rowOff>
    </xdr:from>
    <xdr:to>
      <xdr:col>11</xdr:col>
      <xdr:colOff>27609</xdr:colOff>
      <xdr:row>7</xdr:row>
      <xdr:rowOff>19049</xdr:rowOff>
    </xdr:to>
    <xdr:sp>
      <xdr:nvSpPr>
        <xdr:cNvPr id="5" name="Rectangle: Rounded Corners 4"/>
        <xdr:cNvSpPr/>
      </xdr:nvSpPr>
      <xdr:spPr>
        <a:xfrm>
          <a:off x="3407410" y="694690"/>
          <a:ext cx="3401695" cy="857250"/>
        </a:xfrm>
        <a:prstGeom prst="roundRect">
          <a:avLst/>
        </a:prstGeom>
        <a:solidFill>
          <a:srgbClr val="00206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0" i="0" u="none" strike="noStrike">
              <a:solidFill>
                <a:schemeClr val="bg1"/>
              </a:solidFill>
              <a:latin typeface="Georgia" panose="02040502050405020303" pitchFamily="18" charset="0"/>
              <a:ea typeface="Calibri" panose="020F0502020204030204"/>
              <a:cs typeface="Calibri" panose="020F0502020204030204"/>
            </a:rPr>
            <a:t>TOTAL</a:t>
          </a:r>
          <a:r>
            <a:rPr lang="en-US" sz="1400" b="0" i="0" u="none" strike="noStrike" baseline="0">
              <a:solidFill>
                <a:schemeClr val="bg1"/>
              </a:solidFill>
              <a:latin typeface="Georgia" panose="02040502050405020303" pitchFamily="18" charset="0"/>
              <a:ea typeface="Calibri" panose="020F0502020204030204"/>
              <a:cs typeface="Calibri" panose="020F0502020204030204"/>
            </a:rPr>
            <a:t> FEMALE INVESTORS</a:t>
          </a:r>
          <a:endParaRPr lang="en-US" sz="1400" b="0" i="0" u="none" strike="noStrike" baseline="0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  <a:p>
          <a:pPr algn="ctr"/>
          <a:endParaRPr lang="en-US" sz="1400" b="0" i="0" u="none" strike="noStrike" baseline="0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  <a:p>
          <a:pPr algn="ctr"/>
          <a:r>
            <a:rPr lang="en-US" sz="1400" b="0" i="0" u="none" strike="noStrike" baseline="0">
              <a:solidFill>
                <a:schemeClr val="bg1"/>
              </a:solidFill>
              <a:latin typeface="Georgia" panose="02040502050405020303" pitchFamily="18" charset="0"/>
              <a:ea typeface="Calibri" panose="020F0502020204030204"/>
              <a:cs typeface="Calibri" panose="020F0502020204030204"/>
            </a:rPr>
            <a:t>15</a:t>
          </a:r>
          <a:endParaRPr lang="en-US" sz="1400" b="0" i="0" u="none" strike="noStrike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11</xdr:col>
      <xdr:colOff>91936</xdr:colOff>
      <xdr:row>3</xdr:row>
      <xdr:rowOff>38100</xdr:rowOff>
    </xdr:from>
    <xdr:to>
      <xdr:col>16</xdr:col>
      <xdr:colOff>469348</xdr:colOff>
      <xdr:row>7</xdr:row>
      <xdr:rowOff>19050</xdr:rowOff>
    </xdr:to>
    <xdr:sp>
      <xdr:nvSpPr>
        <xdr:cNvPr id="6" name="Rectangle: Rounded Corners 5"/>
        <xdr:cNvSpPr/>
      </xdr:nvSpPr>
      <xdr:spPr>
        <a:xfrm>
          <a:off x="6873240" y="695325"/>
          <a:ext cx="3502025" cy="857250"/>
        </a:xfrm>
        <a:prstGeom prst="roundRect">
          <a:avLst/>
        </a:prstGeom>
        <a:solidFill>
          <a:srgbClr val="00206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0" i="0" u="none" strike="noStrike">
              <a:solidFill>
                <a:schemeClr val="bg1"/>
              </a:solidFill>
              <a:latin typeface="Georgia" panose="02040502050405020303" pitchFamily="18" charset="0"/>
              <a:ea typeface="Calibri" panose="020F0502020204030204"/>
              <a:cs typeface="Calibri" panose="020F0502020204030204"/>
            </a:rPr>
            <a:t>MOST POPULAR AVENUE</a:t>
          </a:r>
          <a:endParaRPr lang="en-US" sz="1400" b="0" i="0" u="none" strike="noStrike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  <a:p>
          <a:pPr algn="ctr"/>
          <a:endParaRPr lang="en-US" sz="1400" b="0" i="0" u="none" strike="noStrike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  <a:p>
          <a:pPr algn="ctr"/>
          <a:r>
            <a:rPr lang="en-US" sz="1400" b="0" i="0" u="none" strike="noStrike">
              <a:solidFill>
                <a:schemeClr val="bg1"/>
              </a:solidFill>
              <a:latin typeface="Georgia" panose="02040502050405020303" pitchFamily="18" charset="0"/>
              <a:ea typeface="Calibri" panose="020F0502020204030204"/>
              <a:cs typeface="Calibri" panose="020F0502020204030204"/>
            </a:rPr>
            <a:t>Mutual Fund</a:t>
          </a:r>
          <a:endParaRPr lang="en-US" sz="1400" b="0" i="0" u="none" strike="noStrike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11</xdr:col>
      <xdr:colOff>213829</xdr:colOff>
      <xdr:row>4</xdr:row>
      <xdr:rowOff>29541</xdr:rowOff>
    </xdr:from>
    <xdr:to>
      <xdr:col>12</xdr:col>
      <xdr:colOff>400326</xdr:colOff>
      <xdr:row>6</xdr:row>
      <xdr:rowOff>103639</xdr:rowOff>
    </xdr:to>
    <xdr:pic>
      <xdr:nvPicPr>
        <xdr:cNvPr id="8" name="Graphic 7" descr="Trophy with solid fill"/>
        <xdr:cNvPicPr>
          <a:picLocks noChangeAspect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995160" y="905510"/>
          <a:ext cx="796290" cy="51244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66674</xdr:colOff>
      <xdr:row>4</xdr:row>
      <xdr:rowOff>57149</xdr:rowOff>
    </xdr:from>
    <xdr:to>
      <xdr:col>1</xdr:col>
      <xdr:colOff>223735</xdr:colOff>
      <xdr:row>6</xdr:row>
      <xdr:rowOff>110854</xdr:rowOff>
    </xdr:to>
    <xdr:pic>
      <xdr:nvPicPr>
        <xdr:cNvPr id="10" name="Graphic 9" descr="Male profile with solid fill"/>
        <xdr:cNvPicPr>
          <a:picLocks noChangeAspect="1"/>
        </xdr:cNvPicPr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6040" y="932815"/>
          <a:ext cx="843280" cy="492125"/>
        </a:xfrm>
        <a:prstGeom prst="rect">
          <a:avLst/>
        </a:prstGeom>
      </xdr:spPr>
    </xdr:pic>
    <xdr:clientData/>
  </xdr:twoCellAnchor>
  <xdr:twoCellAnchor editAs="oneCell">
    <xdr:from>
      <xdr:col>5</xdr:col>
      <xdr:colOff>392734</xdr:colOff>
      <xdr:row>4</xdr:row>
      <xdr:rowOff>85724</xdr:rowOff>
    </xdr:from>
    <xdr:to>
      <xdr:col>7</xdr:col>
      <xdr:colOff>96631</xdr:colOff>
      <xdr:row>6</xdr:row>
      <xdr:rowOff>120378</xdr:rowOff>
    </xdr:to>
    <xdr:pic>
      <xdr:nvPicPr>
        <xdr:cNvPr id="12" name="Graphic 11" descr="Female Profile with solid fill"/>
        <xdr:cNvPicPr>
          <a:picLocks noChangeAspect="1"/>
        </xdr:cNvPicPr>
      </xdr:nvPicPr>
      <xdr:blipFill>
        <a:blip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516630" y="961390"/>
          <a:ext cx="923290" cy="473075"/>
        </a:xfrm>
        <a:prstGeom prst="rect">
          <a:avLst/>
        </a:prstGeom>
      </xdr:spPr>
    </xdr:pic>
    <xdr:clientData/>
  </xdr:twoCellAnchor>
  <xdr:twoCellAnchor>
    <xdr:from>
      <xdr:col>16</xdr:col>
      <xdr:colOff>547180</xdr:colOff>
      <xdr:row>3</xdr:row>
      <xdr:rowOff>38101</xdr:rowOff>
    </xdr:from>
    <xdr:to>
      <xdr:col>22</xdr:col>
      <xdr:colOff>41413</xdr:colOff>
      <xdr:row>7</xdr:row>
      <xdr:rowOff>19051</xdr:rowOff>
    </xdr:to>
    <xdr:sp>
      <xdr:nvSpPr>
        <xdr:cNvPr id="13" name="Rectangle: Rounded Corners 12"/>
        <xdr:cNvSpPr/>
      </xdr:nvSpPr>
      <xdr:spPr>
        <a:xfrm>
          <a:off x="10452735" y="695325"/>
          <a:ext cx="3609340" cy="857250"/>
        </a:xfrm>
        <a:prstGeom prst="roundRect">
          <a:avLst/>
        </a:prstGeom>
        <a:solidFill>
          <a:srgbClr val="00206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1" algn="ctr"/>
          <a:r>
            <a:rPr lang="en-US" sz="1400" b="0" i="0" u="none" strike="noStrike">
              <a:solidFill>
                <a:schemeClr val="bg1"/>
              </a:solidFill>
              <a:latin typeface="Georgia" panose="02040502050405020303" pitchFamily="18" charset="0"/>
              <a:ea typeface="Calibri" panose="020F0502020204030204"/>
              <a:cs typeface="Calibri" panose="020F0502020204030204"/>
            </a:rPr>
            <a:t>TOP INFORMATION</a:t>
          </a:r>
          <a:r>
            <a:rPr lang="en-US" sz="1400" b="0" i="0" u="none" strike="noStrike" baseline="0">
              <a:solidFill>
                <a:schemeClr val="bg1"/>
              </a:solidFill>
              <a:latin typeface="Georgia" panose="02040502050405020303" pitchFamily="18" charset="0"/>
              <a:ea typeface="Calibri" panose="020F0502020204030204"/>
              <a:cs typeface="Calibri" panose="020F0502020204030204"/>
            </a:rPr>
            <a:t> SOURCE</a:t>
          </a:r>
          <a:endParaRPr lang="en-US" sz="1400" b="0" i="0" u="none" strike="noStrike" baseline="0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  <a:p>
          <a:pPr lvl="1" algn="ctr"/>
          <a:endParaRPr lang="en-US" sz="1400" b="0" i="0" u="none" strike="noStrike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  <a:p>
          <a:pPr lvl="1" algn="ctr"/>
          <a:r>
            <a:rPr lang="en-US" sz="1400" b="0" i="0" u="none" strike="noStrike">
              <a:solidFill>
                <a:schemeClr val="bg1"/>
              </a:solidFill>
              <a:latin typeface="Georgia" panose="02040502050405020303" pitchFamily="18" charset="0"/>
              <a:ea typeface="Calibri" panose="020F0502020204030204"/>
              <a:cs typeface="Calibri" panose="020F0502020204030204"/>
            </a:rPr>
            <a:t>Financial Consultants 40%</a:t>
          </a:r>
          <a:endParaRPr lang="en-US" sz="1400" b="0" i="0" u="none" strike="noStrike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16</xdr:col>
      <xdr:colOff>565977</xdr:colOff>
      <xdr:row>3</xdr:row>
      <xdr:rowOff>217891</xdr:rowOff>
    </xdr:from>
    <xdr:to>
      <xdr:col>18</xdr:col>
      <xdr:colOff>86350</xdr:colOff>
      <xdr:row>6</xdr:row>
      <xdr:rowOff>152603</xdr:rowOff>
    </xdr:to>
    <xdr:pic>
      <xdr:nvPicPr>
        <xdr:cNvPr id="15" name="Graphic 14" descr="Newspaper with solid fill"/>
        <xdr:cNvPicPr>
          <a:picLocks noChangeAspect="1"/>
        </xdr:cNvPicPr>
      </xdr:nvPicPr>
      <xdr:blipFill>
        <a:blip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471785" y="875030"/>
          <a:ext cx="891540" cy="591820"/>
        </a:xfrm>
        <a:prstGeom prst="rect">
          <a:avLst/>
        </a:prstGeom>
      </xdr:spPr>
    </xdr:pic>
    <xdr:clientData/>
  </xdr:twoCellAnchor>
  <xdr:twoCellAnchor>
    <xdr:from>
      <xdr:col>0</xdr:col>
      <xdr:colOff>47622</xdr:colOff>
      <xdr:row>7</xdr:row>
      <xdr:rowOff>85725</xdr:rowOff>
    </xdr:from>
    <xdr:to>
      <xdr:col>7</xdr:col>
      <xdr:colOff>179456</xdr:colOff>
      <xdr:row>11</xdr:row>
      <xdr:rowOff>66675</xdr:rowOff>
    </xdr:to>
    <xdr:sp>
      <xdr:nvSpPr>
        <xdr:cNvPr id="16" name="Rectangle: Rounded Corners 15"/>
        <xdr:cNvSpPr/>
      </xdr:nvSpPr>
      <xdr:spPr>
        <a:xfrm>
          <a:off x="46990" y="1619250"/>
          <a:ext cx="4475480" cy="857250"/>
        </a:xfrm>
        <a:prstGeom prst="roundRect">
          <a:avLst/>
        </a:prstGeom>
        <a:solidFill>
          <a:srgbClr val="00206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0" i="0" u="none" strike="noStrike">
              <a:solidFill>
                <a:schemeClr val="bg1"/>
              </a:solidFill>
              <a:latin typeface="Georgia" panose="02040502050405020303" pitchFamily="18" charset="0"/>
              <a:ea typeface="Calibri" panose="020F0502020204030204"/>
              <a:cs typeface="Calibri" panose="020F0502020204030204"/>
            </a:rPr>
            <a:t>AVG SCORE -</a:t>
          </a:r>
          <a:r>
            <a:rPr lang="en-US" sz="1400" b="0" i="0" u="none" strike="noStrike" baseline="0">
              <a:solidFill>
                <a:schemeClr val="bg1"/>
              </a:solidFill>
              <a:latin typeface="Georgia" panose="02040502050405020303" pitchFamily="18" charset="0"/>
              <a:ea typeface="Calibri" panose="020F0502020204030204"/>
              <a:cs typeface="Calibri" panose="020F0502020204030204"/>
            </a:rPr>
            <a:t> 21-25  EARLY ADULTHOOD</a:t>
          </a:r>
          <a:endParaRPr lang="en-US" sz="1400" b="0" i="0" u="none" strike="noStrike" baseline="0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  <a:p>
          <a:pPr algn="ctr"/>
          <a:endParaRPr lang="en-US" sz="1400" b="0" i="0" u="none" strike="noStrike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  <a:p>
          <a:pPr algn="ctr"/>
          <a:r>
            <a:rPr lang="en-US" sz="1400" b="0" i="0" u="none" strike="noStrike">
              <a:solidFill>
                <a:schemeClr val="bg1"/>
              </a:solidFill>
              <a:latin typeface="Georgia" panose="02040502050405020303" pitchFamily="18" charset="0"/>
              <a:ea typeface="Calibri" panose="020F0502020204030204"/>
              <a:cs typeface="Calibri" panose="020F0502020204030204"/>
            </a:rPr>
            <a:t>28</a:t>
          </a:r>
          <a:endParaRPr lang="en-US" sz="1400" b="0" i="0" u="none" strike="noStrike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0</xdr:col>
      <xdr:colOff>85724</xdr:colOff>
      <xdr:row>8</xdr:row>
      <xdr:rowOff>76200</xdr:rowOff>
    </xdr:from>
    <xdr:to>
      <xdr:col>1</xdr:col>
      <xdr:colOff>433285</xdr:colOff>
      <xdr:row>10</xdr:row>
      <xdr:rowOff>158480</xdr:rowOff>
    </xdr:to>
    <xdr:pic>
      <xdr:nvPicPr>
        <xdr:cNvPr id="18" name="Graphic 17" descr="Bar graph with downward trend with solid fill"/>
        <xdr:cNvPicPr>
          <a:picLocks noChangeAspect="1"/>
        </xdr:cNvPicPr>
      </xdr:nvPicPr>
      <xdr:blipFill>
        <a:blip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85090" y="1828800"/>
          <a:ext cx="1033780" cy="520065"/>
        </a:xfrm>
        <a:prstGeom prst="rect">
          <a:avLst/>
        </a:prstGeom>
      </xdr:spPr>
    </xdr:pic>
    <xdr:clientData/>
  </xdr:twoCellAnchor>
  <xdr:twoCellAnchor>
    <xdr:from>
      <xdr:col>7</xdr:col>
      <xdr:colOff>234673</xdr:colOff>
      <xdr:row>7</xdr:row>
      <xdr:rowOff>95249</xdr:rowOff>
    </xdr:from>
    <xdr:to>
      <xdr:col>14</xdr:col>
      <xdr:colOff>524565</xdr:colOff>
      <xdr:row>11</xdr:row>
      <xdr:rowOff>76199</xdr:rowOff>
    </xdr:to>
    <xdr:sp>
      <xdr:nvSpPr>
        <xdr:cNvPr id="19" name="Rectangle: Rounded Corners 18"/>
        <xdr:cNvSpPr/>
      </xdr:nvSpPr>
      <xdr:spPr>
        <a:xfrm>
          <a:off x="4577715" y="1628140"/>
          <a:ext cx="4557395" cy="857250"/>
        </a:xfrm>
        <a:prstGeom prst="roundRect">
          <a:avLst/>
        </a:prstGeom>
        <a:solidFill>
          <a:srgbClr val="00206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0" i="0" u="none" strike="noStrike">
              <a:solidFill>
                <a:schemeClr val="bg1"/>
              </a:solidFill>
              <a:latin typeface="Georgia" panose="02040502050405020303" pitchFamily="18" charset="0"/>
              <a:ea typeface="Calibri" panose="020F0502020204030204"/>
              <a:cs typeface="Calibri" panose="020F0502020204030204"/>
            </a:rPr>
            <a:t>AVG SCORE - 26-30 ESTABLISHED ADULTHOOD</a:t>
          </a:r>
          <a:endParaRPr lang="en-US" sz="1400" b="0" i="0" u="none" strike="noStrike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  <a:p>
          <a:pPr algn="ctr"/>
          <a:endParaRPr lang="en-US" sz="1400" b="0" i="0" u="none" strike="noStrike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  <a:p>
          <a:pPr algn="ctr"/>
          <a:r>
            <a:rPr lang="en-US" sz="1400" b="0" i="0" u="none" strike="noStrike">
              <a:solidFill>
                <a:schemeClr val="bg1"/>
              </a:solidFill>
              <a:latin typeface="Georgia" panose="02040502050405020303" pitchFamily="18" charset="0"/>
              <a:ea typeface="Calibri" panose="020F0502020204030204"/>
              <a:cs typeface="Calibri" panose="020F0502020204030204"/>
            </a:rPr>
            <a:t>28</a:t>
          </a:r>
          <a:endParaRPr lang="en-US" sz="1400" b="0" i="0" u="none" strike="noStrike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7</xdr:col>
      <xdr:colOff>226253</xdr:colOff>
      <xdr:row>8</xdr:row>
      <xdr:rowOff>67641</xdr:rowOff>
    </xdr:from>
    <xdr:to>
      <xdr:col>9</xdr:col>
      <xdr:colOff>45278</xdr:colOff>
      <xdr:row>10</xdr:row>
      <xdr:rowOff>149921</xdr:rowOff>
    </xdr:to>
    <xdr:pic>
      <xdr:nvPicPr>
        <xdr:cNvPr id="20" name="Graphic 19" descr="Bar graph with downward trend with solid fill"/>
        <xdr:cNvPicPr>
          <a:picLocks noChangeAspect="1"/>
        </xdr:cNvPicPr>
      </xdr:nvPicPr>
      <xdr:blipFill>
        <a:blip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569460" y="1819910"/>
          <a:ext cx="1038225" cy="520700"/>
        </a:xfrm>
        <a:prstGeom prst="rect">
          <a:avLst/>
        </a:prstGeom>
      </xdr:spPr>
    </xdr:pic>
    <xdr:clientData/>
  </xdr:twoCellAnchor>
  <xdr:twoCellAnchor>
    <xdr:from>
      <xdr:col>15</xdr:col>
      <xdr:colOff>-1</xdr:colOff>
      <xdr:row>7</xdr:row>
      <xdr:rowOff>81446</xdr:rowOff>
    </xdr:from>
    <xdr:to>
      <xdr:col>22</xdr:col>
      <xdr:colOff>82826</xdr:colOff>
      <xdr:row>11</xdr:row>
      <xdr:rowOff>62396</xdr:rowOff>
    </xdr:to>
    <xdr:sp>
      <xdr:nvSpPr>
        <xdr:cNvPr id="21" name="Rectangle: Rounded Corners 20"/>
        <xdr:cNvSpPr/>
      </xdr:nvSpPr>
      <xdr:spPr>
        <a:xfrm>
          <a:off x="9219565" y="1614805"/>
          <a:ext cx="4883785" cy="857250"/>
        </a:xfrm>
        <a:prstGeom prst="roundRect">
          <a:avLst/>
        </a:prstGeom>
        <a:solidFill>
          <a:srgbClr val="00206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0" i="0" u="none" strike="noStrike">
              <a:solidFill>
                <a:schemeClr val="bg1"/>
              </a:solidFill>
              <a:latin typeface="Georgia" panose="02040502050405020303" pitchFamily="18" charset="0"/>
              <a:ea typeface="Calibri" panose="020F0502020204030204"/>
              <a:cs typeface="Calibri" panose="020F0502020204030204"/>
            </a:rPr>
            <a:t>AVG SCORE - 31-35 EXPERIENCED ADULTHOOD</a:t>
          </a:r>
          <a:endParaRPr lang="en-US" sz="1400" b="0" i="0" u="none" strike="noStrike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  <a:p>
          <a:pPr algn="ctr"/>
          <a:endParaRPr lang="en-US" sz="1400" b="0" i="0" u="none" strike="noStrike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  <a:p>
          <a:pPr algn="ctr"/>
          <a:r>
            <a:rPr lang="en-US" sz="1400" b="0" i="0" u="none" strike="noStrike">
              <a:solidFill>
                <a:schemeClr val="bg1"/>
              </a:solidFill>
              <a:latin typeface="Georgia" panose="02040502050405020303" pitchFamily="18" charset="0"/>
              <a:ea typeface="Calibri" panose="020F0502020204030204"/>
              <a:cs typeface="Calibri" panose="020F0502020204030204"/>
            </a:rPr>
            <a:t>28</a:t>
          </a:r>
          <a:endParaRPr lang="en-US" sz="1400" b="0" i="0" u="none" strike="noStrike">
            <a:solidFill>
              <a:schemeClr val="bg1"/>
            </a:solidFill>
            <a:latin typeface="Georgia" panose="02040502050405020303" pitchFamily="18" charset="0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15</xdr:col>
      <xdr:colOff>23466</xdr:colOff>
      <xdr:row>8</xdr:row>
      <xdr:rowOff>72886</xdr:rowOff>
    </xdr:from>
    <xdr:to>
      <xdr:col>16</xdr:col>
      <xdr:colOff>368820</xdr:colOff>
      <xdr:row>10</xdr:row>
      <xdr:rowOff>155166</xdr:rowOff>
    </xdr:to>
    <xdr:pic>
      <xdr:nvPicPr>
        <xdr:cNvPr id="22" name="Graphic 21" descr="Bar graph with downward trend with solid fill"/>
        <xdr:cNvPicPr>
          <a:picLocks noChangeAspect="1"/>
        </xdr:cNvPicPr>
      </xdr:nvPicPr>
      <xdr:blipFill>
        <a:blip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9243060" y="1824990"/>
          <a:ext cx="1031240" cy="520700"/>
        </a:xfrm>
        <a:prstGeom prst="rect">
          <a:avLst/>
        </a:prstGeom>
      </xdr:spPr>
    </xdr:pic>
    <xdr:clientData/>
  </xdr:twoCellAnchor>
  <xdr:twoCellAnchor>
    <xdr:from>
      <xdr:col>7</xdr:col>
      <xdr:colOff>248479</xdr:colOff>
      <xdr:row>26</xdr:row>
      <xdr:rowOff>152400</xdr:rowOff>
    </xdr:from>
    <xdr:to>
      <xdr:col>14</xdr:col>
      <xdr:colOff>496957</xdr:colOff>
      <xdr:row>42</xdr:row>
      <xdr:rowOff>30480</xdr:rowOff>
    </xdr:to>
    <xdr:graphicFrame>
      <xdr:nvGraphicFramePr>
        <xdr:cNvPr id="23" name="Chart 22"/>
        <xdr:cNvGraphicFramePr/>
      </xdr:nvGraphicFramePr>
      <xdr:xfrm>
        <a:off x="4591685" y="5848350"/>
        <a:ext cx="4515485" cy="338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248479</xdr:colOff>
      <xdr:row>11</xdr:row>
      <xdr:rowOff>165652</xdr:rowOff>
    </xdr:from>
    <xdr:to>
      <xdr:col>14</xdr:col>
      <xdr:colOff>469348</xdr:colOff>
      <xdr:row>26</xdr:row>
      <xdr:rowOff>9939</xdr:rowOff>
    </xdr:to>
    <xdr:graphicFrame>
      <xdr:nvGraphicFramePr>
        <xdr:cNvPr id="24" name="Chart 23"/>
        <xdr:cNvGraphicFramePr/>
      </xdr:nvGraphicFramePr>
      <xdr:xfrm>
        <a:off x="4591685" y="2574925"/>
        <a:ext cx="4488180" cy="3130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565979</xdr:colOff>
      <xdr:row>11</xdr:row>
      <xdr:rowOff>179456</xdr:rowOff>
    </xdr:from>
    <xdr:to>
      <xdr:col>22</xdr:col>
      <xdr:colOff>87354</xdr:colOff>
      <xdr:row>26</xdr:row>
      <xdr:rowOff>23743</xdr:rowOff>
    </xdr:to>
    <xdr:graphicFrame>
      <xdr:nvGraphicFramePr>
        <xdr:cNvPr id="25" name="Chart 24"/>
        <xdr:cNvGraphicFramePr/>
      </xdr:nvGraphicFramePr>
      <xdr:xfrm>
        <a:off x="9176385" y="2588895"/>
        <a:ext cx="4931410" cy="3130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82824</xdr:colOff>
      <xdr:row>26</xdr:row>
      <xdr:rowOff>151847</xdr:rowOff>
    </xdr:from>
    <xdr:to>
      <xdr:col>7</xdr:col>
      <xdr:colOff>151848</xdr:colOff>
      <xdr:row>42</xdr:row>
      <xdr:rowOff>29927</xdr:rowOff>
    </xdr:to>
    <xdr:graphicFrame>
      <xdr:nvGraphicFramePr>
        <xdr:cNvPr id="26" name="Chart 25"/>
        <xdr:cNvGraphicFramePr/>
      </xdr:nvGraphicFramePr>
      <xdr:xfrm>
        <a:off x="82550" y="5847715"/>
        <a:ext cx="4412615" cy="338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11</xdr:row>
      <xdr:rowOff>165652</xdr:rowOff>
    </xdr:from>
    <xdr:to>
      <xdr:col>7</xdr:col>
      <xdr:colOff>170179</xdr:colOff>
      <xdr:row>26</xdr:row>
      <xdr:rowOff>9939</xdr:rowOff>
    </xdr:to>
    <xdr:graphicFrame>
      <xdr:nvGraphicFramePr>
        <xdr:cNvPr id="27" name="Chart 26"/>
        <xdr:cNvGraphicFramePr/>
      </xdr:nvGraphicFramePr>
      <xdr:xfrm>
        <a:off x="57150" y="2574925"/>
        <a:ext cx="4455795" cy="3130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593586</xdr:colOff>
      <xdr:row>26</xdr:row>
      <xdr:rowOff>152400</xdr:rowOff>
    </xdr:from>
    <xdr:to>
      <xdr:col>22</xdr:col>
      <xdr:colOff>110434</xdr:colOff>
      <xdr:row>42</xdr:row>
      <xdr:rowOff>30480</xdr:rowOff>
    </xdr:to>
    <xdr:graphicFrame>
      <xdr:nvGraphicFramePr>
        <xdr:cNvPr id="33" name="Chart 32"/>
        <xdr:cNvGraphicFramePr/>
      </xdr:nvGraphicFramePr>
      <xdr:xfrm>
        <a:off x="9203690" y="5848350"/>
        <a:ext cx="4926965" cy="338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22</xdr:col>
      <xdr:colOff>180973</xdr:colOff>
      <xdr:row>3</xdr:row>
      <xdr:rowOff>66674</xdr:rowOff>
    </xdr:from>
    <xdr:to>
      <xdr:col>26</xdr:col>
      <xdr:colOff>161518</xdr:colOff>
      <xdr:row>14</xdr:row>
      <xdr:rowOff>52287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4" name="Age 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01140" y="723265"/>
              <a:ext cx="2724150" cy="23958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190500</xdr:colOff>
      <xdr:row>14</xdr:row>
      <xdr:rowOff>141862</xdr:rowOff>
    </xdr:from>
    <xdr:to>
      <xdr:col>26</xdr:col>
      <xdr:colOff>209145</xdr:colOff>
      <xdr:row>23</xdr:row>
      <xdr:rowOff>101330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6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1300" y="3208655"/>
              <a:ext cx="2761615" cy="19310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190500</xdr:colOff>
      <xdr:row>24</xdr:row>
      <xdr:rowOff>40531</xdr:rowOff>
    </xdr:from>
    <xdr:to>
      <xdr:col>26</xdr:col>
      <xdr:colOff>190095</xdr:colOff>
      <xdr:row>42</xdr:row>
      <xdr:rowOff>51232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9" name="Dur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u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1300" y="5297805"/>
              <a:ext cx="2742565" cy="39541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10.3500565972" refreshedBy="NDIDIAMAKA" recordCount="40">
  <cacheSource type="worksheet">
    <worksheetSource name="Investment_preference_data"/>
  </cacheSource>
  <cacheFields count="26">
    <cacheField name="gender" numFmtId="0">
      <sharedItems count="2">
        <s v="Female"/>
        <s v="Male"/>
      </sharedItems>
    </cacheField>
    <cacheField name="age" numFmtId="0"/>
    <cacheField name="Investment_Avenues" numFmtId="0"/>
    <cacheField name="Mutual_Funds" numFmtId="0"/>
    <cacheField name="Equity_Market" numFmtId="0"/>
    <cacheField name="Debentures" numFmtId="0"/>
    <cacheField name="Government_Bonds" numFmtId="0"/>
    <cacheField name="Fixed_Deposits" numFmtId="0"/>
    <cacheField name="PPF" numFmtId="0"/>
    <cacheField name="Gold" numFmtId="0"/>
    <cacheField name="Stock_Market" numFmtId="0">
      <sharedItems count="2">
        <s v="Yes"/>
        <s v="No"/>
      </sharedItems>
    </cacheField>
    <cacheField name="Factor" numFmtId="0">
      <sharedItems count="3">
        <s v="Returns"/>
        <s v="Locking Period"/>
        <s v="Risk"/>
      </sharedItems>
    </cacheField>
    <cacheField name="Objective" numFmtId="0"/>
    <cacheField name="Purpose" numFmtId="0"/>
    <cacheField name="Duration" numFmtId="0">
      <sharedItems count="4">
        <s v="1-3 years"/>
        <s v="More than 5 years"/>
        <s v="3-5 years"/>
        <s v="Less than 1 year"/>
      </sharedItems>
    </cacheField>
    <cacheField name="Invest_Monitor" numFmtId="0"/>
    <cacheField name="Expect" numFmtId="0">
      <sharedItems count="3">
        <s v="20%-30%"/>
        <s v="10%-20%"/>
        <s v="30%-40%"/>
      </sharedItems>
    </cacheField>
    <cacheField name="Avenue" numFmtId="0">
      <sharedItems count="4">
        <s v="Mutual Fund"/>
        <s v="Equity"/>
        <s v="Fixed Deposits"/>
        <s v="Public Provident Fund"/>
      </sharedItems>
    </cacheField>
    <cacheField name="Savings_Objectives" numFmtId="0">
      <sharedItems count="3">
        <s v="Retirement Plan"/>
        <s v="Health Care"/>
        <s v="Education"/>
      </sharedItems>
    </cacheField>
    <cacheField name="Reason_Equity" numFmtId="0"/>
    <cacheField name="Reason_Mutual" numFmtId="0">
      <sharedItems count="3">
        <s v="Better Returns"/>
        <s v="Tax Benefits"/>
        <s v="Fund Diversification"/>
      </sharedItems>
    </cacheField>
    <cacheField name="Reason_Bonds" numFmtId="0"/>
    <cacheField name="Reason_FD" numFmtId="0"/>
    <cacheField name="Source" numFmtId="0">
      <sharedItems count="4">
        <s v="Newspapers and Magazines"/>
        <s v="Financial Consultants"/>
        <s v="Television"/>
        <s v="Internet"/>
      </sharedItems>
    </cacheField>
    <cacheField name="Age Group" numFmtId="0">
      <sharedItems count="3">
        <s v="31-35 Experienced Adulthood"/>
        <s v="21-25 Early Adulthood"/>
        <s v="26-30 Established Adulthood"/>
      </sharedItems>
    </cacheField>
    <cacheField name="Total_Investment_score" numFmtId="0">
      <sharedItems containsSemiMixedTypes="0" containsString="0" containsNumber="1" containsInteger="1" minValue="0" maxValue="28" count="1">
        <n v="2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34"/>
    <s v="Yes"/>
    <n v="1"/>
    <n v="2"/>
    <n v="5"/>
    <n v="3"/>
    <n v="7"/>
    <n v="6"/>
    <n v="4"/>
    <x v="0"/>
    <x v="0"/>
    <s v="Capital Appreciation"/>
    <s v="Wealth Creation"/>
    <x v="0"/>
    <s v="Monthly"/>
    <x v="0"/>
    <x v="0"/>
    <x v="0"/>
    <s v="Capital Appreciation"/>
    <x v="0"/>
    <s v="Safe Investment"/>
    <s v="Fixed Returns"/>
    <x v="0"/>
    <x v="0"/>
    <x v="0"/>
  </r>
  <r>
    <x v="0"/>
    <n v="23"/>
    <s v="Yes"/>
    <n v="4"/>
    <n v="3"/>
    <n v="2"/>
    <n v="1"/>
    <n v="5"/>
    <n v="6"/>
    <n v="7"/>
    <x v="1"/>
    <x v="1"/>
    <s v="Capital Appreciation"/>
    <s v="Wealth Creation"/>
    <x v="1"/>
    <s v="Weekly"/>
    <x v="0"/>
    <x v="0"/>
    <x v="1"/>
    <s v="Dividend"/>
    <x v="0"/>
    <s v="Safe Investment"/>
    <s v="High Interest Rates"/>
    <x v="1"/>
    <x v="1"/>
    <x v="0"/>
  </r>
  <r>
    <x v="1"/>
    <n v="30"/>
    <s v="Yes"/>
    <n v="3"/>
    <n v="6"/>
    <n v="4"/>
    <n v="2"/>
    <n v="5"/>
    <n v="1"/>
    <n v="7"/>
    <x v="0"/>
    <x v="0"/>
    <s v="Capital Appreciation"/>
    <s v="Wealth Creation"/>
    <x v="2"/>
    <s v="Daily"/>
    <x v="0"/>
    <x v="1"/>
    <x v="0"/>
    <s v="Capital Appreciation"/>
    <x v="1"/>
    <s v="Assured Returns"/>
    <s v="Fixed Returns"/>
    <x v="2"/>
    <x v="2"/>
    <x v="0"/>
  </r>
  <r>
    <x v="1"/>
    <n v="22"/>
    <s v="Yes"/>
    <n v="2"/>
    <n v="1"/>
    <n v="3"/>
    <n v="7"/>
    <n v="6"/>
    <n v="4"/>
    <n v="5"/>
    <x v="0"/>
    <x v="0"/>
    <s v="Income"/>
    <s v="Wealth Creation"/>
    <x v="3"/>
    <s v="Daily"/>
    <x v="1"/>
    <x v="1"/>
    <x v="0"/>
    <s v="Dividend"/>
    <x v="2"/>
    <s v="Tax Incentives"/>
    <s v="High Interest Rates"/>
    <x v="3"/>
    <x v="1"/>
    <x v="0"/>
  </r>
  <r>
    <x v="0"/>
    <n v="24"/>
    <s v="No"/>
    <n v="2"/>
    <n v="1"/>
    <n v="3"/>
    <n v="6"/>
    <n v="4"/>
    <n v="5"/>
    <n v="7"/>
    <x v="1"/>
    <x v="0"/>
    <s v="Income"/>
    <s v="Wealth Creation"/>
    <x v="3"/>
    <s v="Daily"/>
    <x v="0"/>
    <x v="1"/>
    <x v="0"/>
    <s v="Capital Appreciation"/>
    <x v="0"/>
    <s v="Safe Investment"/>
    <s v="Risk Free"/>
    <x v="3"/>
    <x v="1"/>
    <x v="0"/>
  </r>
  <r>
    <x v="0"/>
    <n v="24"/>
    <m/>
    <n v="7"/>
    <n v="5"/>
    <n v="4"/>
    <n v="6"/>
    <n v="3"/>
    <n v="1"/>
    <n v="2"/>
    <x v="1"/>
    <x v="2"/>
    <s v="Capital Appreciation"/>
    <s v="Wealth Creation"/>
    <x v="0"/>
    <s v="Daily"/>
    <x v="2"/>
    <x v="0"/>
    <x v="0"/>
    <s v="Liquidity"/>
    <x v="2"/>
    <s v="Safe Investment"/>
    <s v="Risk Free"/>
    <x v="3"/>
    <x v="1"/>
    <x v="0"/>
  </r>
  <r>
    <x v="0"/>
    <n v="27"/>
    <s v="Yes"/>
    <n v="3"/>
    <n v="6"/>
    <n v="4"/>
    <n v="2"/>
    <n v="5"/>
    <n v="1"/>
    <n v="7"/>
    <x v="0"/>
    <x v="0"/>
    <s v="Capital Appreciation"/>
    <s v="Wealth Creation"/>
    <x v="2"/>
    <s v="Monthly"/>
    <x v="0"/>
    <x v="1"/>
    <x v="0"/>
    <s v="Capital Appreciation"/>
    <x v="0"/>
    <s v="Assured Returns"/>
    <s v="High Interest Rates"/>
    <x v="1"/>
    <x v="2"/>
    <x v="0"/>
  </r>
  <r>
    <x v="1"/>
    <n v="21"/>
    <s v="Yes"/>
    <n v="2"/>
    <n v="3"/>
    <n v="7"/>
    <n v="4"/>
    <n v="6"/>
    <n v="1"/>
    <n v="5"/>
    <x v="0"/>
    <x v="2"/>
    <s v="Capital Appreciation"/>
    <s v="Wealth Creation"/>
    <x v="2"/>
    <s v="Monthly"/>
    <x v="0"/>
    <x v="0"/>
    <x v="0"/>
    <s v="Capital Appreciation"/>
    <x v="0"/>
    <s v="Assured Returns"/>
    <s v="Risk Free"/>
    <x v="0"/>
    <x v="1"/>
    <x v="0"/>
  </r>
  <r>
    <x v="1"/>
    <n v="35"/>
    <s v="Yes"/>
    <n v="2"/>
    <n v="4"/>
    <n v="7"/>
    <n v="5"/>
    <n v="3"/>
    <n v="1"/>
    <n v="6"/>
    <x v="0"/>
    <x v="0"/>
    <s v="Growth"/>
    <s v="Savings for Future"/>
    <x v="0"/>
    <s v="Weekly"/>
    <x v="0"/>
    <x v="1"/>
    <x v="0"/>
    <s v="Capital Appreciation"/>
    <x v="2"/>
    <s v="Safe Investment"/>
    <s v="Fixed Returns"/>
    <x v="2"/>
    <x v="0"/>
    <x v="0"/>
  </r>
  <r>
    <x v="1"/>
    <n v="31"/>
    <s v="Yes"/>
    <n v="1"/>
    <n v="3"/>
    <n v="7"/>
    <n v="4"/>
    <n v="5"/>
    <n v="2"/>
    <n v="6"/>
    <x v="0"/>
    <x v="0"/>
    <s v="Capital Appreciation"/>
    <s v="Wealth Creation"/>
    <x v="2"/>
    <s v="Monthly"/>
    <x v="2"/>
    <x v="2"/>
    <x v="0"/>
    <s v="Capital Appreciation"/>
    <x v="2"/>
    <s v="Assured Returns"/>
    <s v="Fixed Returns"/>
    <x v="0"/>
    <x v="0"/>
    <x v="0"/>
  </r>
  <r>
    <x v="0"/>
    <n v="35"/>
    <s v="Yes"/>
    <n v="2"/>
    <n v="4"/>
    <n v="7"/>
    <n v="5"/>
    <n v="3"/>
    <n v="1"/>
    <n v="6"/>
    <x v="0"/>
    <x v="2"/>
    <s v="Growth"/>
    <s v="Savings for Future"/>
    <x v="2"/>
    <s v="Monthly"/>
    <x v="0"/>
    <x v="0"/>
    <x v="0"/>
    <s v="Capital Appreciation"/>
    <x v="0"/>
    <s v="Assured Returns"/>
    <s v="Risk Free"/>
    <x v="1"/>
    <x v="0"/>
    <x v="0"/>
  </r>
  <r>
    <x v="1"/>
    <n v="29"/>
    <s v="Yes"/>
    <n v="2"/>
    <n v="5"/>
    <n v="7"/>
    <n v="6"/>
    <n v="3"/>
    <n v="1"/>
    <n v="4"/>
    <x v="0"/>
    <x v="2"/>
    <s v="Capital Appreciation"/>
    <s v="Wealth Creation"/>
    <x v="0"/>
    <s v="Monthly"/>
    <x v="0"/>
    <x v="0"/>
    <x v="0"/>
    <s v="Capital Appreciation"/>
    <x v="2"/>
    <s v="Assured Returns"/>
    <s v="Fixed Returns"/>
    <x v="1"/>
    <x v="2"/>
    <x v="0"/>
  </r>
  <r>
    <x v="0"/>
    <n v="21"/>
    <s v="No"/>
    <n v="1"/>
    <n v="2"/>
    <n v="3"/>
    <n v="4"/>
    <n v="5"/>
    <n v="6"/>
    <n v="7"/>
    <x v="1"/>
    <x v="0"/>
    <s v="Capital Appreciation"/>
    <s v="Savings for Future"/>
    <x v="0"/>
    <s v="Weekly"/>
    <x v="0"/>
    <x v="0"/>
    <x v="2"/>
    <s v="Dividend"/>
    <x v="0"/>
    <s v="Safe Investment"/>
    <s v="Risk Free"/>
    <x v="3"/>
    <x v="1"/>
    <x v="0"/>
  </r>
  <r>
    <x v="0"/>
    <n v="28"/>
    <s v="Yes"/>
    <n v="2"/>
    <n v="3"/>
    <n v="7"/>
    <n v="4"/>
    <n v="5"/>
    <n v="1"/>
    <n v="6"/>
    <x v="0"/>
    <x v="0"/>
    <s v="Capital Appreciation"/>
    <s v="Wealth Creation"/>
    <x v="0"/>
    <s v="Monthly"/>
    <x v="0"/>
    <x v="0"/>
    <x v="0"/>
    <s v="Capital Appreciation"/>
    <x v="2"/>
    <s v="Assured Returns"/>
    <s v="Risk Free"/>
    <x v="0"/>
    <x v="2"/>
    <x v="0"/>
  </r>
  <r>
    <x v="0"/>
    <n v="25"/>
    <s v="Yes"/>
    <n v="2"/>
    <n v="3"/>
    <n v="7"/>
    <n v="5"/>
    <n v="4"/>
    <n v="1"/>
    <n v="6"/>
    <x v="0"/>
    <x v="0"/>
    <s v="Capital Appreciation"/>
    <s v="Wealth Creation"/>
    <x v="0"/>
    <s v="Monthly"/>
    <x v="0"/>
    <x v="2"/>
    <x v="1"/>
    <s v="Dividend"/>
    <x v="0"/>
    <s v="Assured Returns"/>
    <s v="Risk Free"/>
    <x v="1"/>
    <x v="1"/>
    <x v="0"/>
  </r>
  <r>
    <x v="1"/>
    <n v="27"/>
    <s v="Yes"/>
    <n v="2"/>
    <n v="3"/>
    <n v="7"/>
    <n v="5"/>
    <n v="4"/>
    <n v="1"/>
    <n v="6"/>
    <x v="0"/>
    <x v="0"/>
    <s v="Capital Appreciation"/>
    <s v="Wealth Creation"/>
    <x v="0"/>
    <s v="Monthly"/>
    <x v="0"/>
    <x v="0"/>
    <x v="1"/>
    <s v="Capital Appreciation"/>
    <x v="2"/>
    <s v="Assured Returns"/>
    <s v="Risk Free"/>
    <x v="0"/>
    <x v="2"/>
    <x v="0"/>
  </r>
  <r>
    <x v="0"/>
    <n v="28"/>
    <s v="Yes"/>
    <n v="3"/>
    <n v="2"/>
    <n v="7"/>
    <n v="5"/>
    <n v="4"/>
    <n v="1"/>
    <n v="6"/>
    <x v="0"/>
    <x v="2"/>
    <s v="Growth"/>
    <s v="Wealth Creation"/>
    <x v="0"/>
    <s v="Monthly"/>
    <x v="0"/>
    <x v="2"/>
    <x v="1"/>
    <s v="Capital Appreciation"/>
    <x v="2"/>
    <s v="Assured Returns"/>
    <s v="Risk Free"/>
    <x v="2"/>
    <x v="2"/>
    <x v="0"/>
  </r>
  <r>
    <x v="1"/>
    <n v="27"/>
    <s v="Yes"/>
    <n v="3"/>
    <n v="2"/>
    <n v="7"/>
    <n v="4"/>
    <n v="5"/>
    <n v="1"/>
    <n v="6"/>
    <x v="0"/>
    <x v="0"/>
    <s v="Capital Appreciation"/>
    <s v="Wealth Creation"/>
    <x v="0"/>
    <s v="Monthly"/>
    <x v="0"/>
    <x v="0"/>
    <x v="0"/>
    <s v="Capital Appreciation"/>
    <x v="0"/>
    <s v="Assured Returns"/>
    <s v="Risk Free"/>
    <x v="1"/>
    <x v="2"/>
    <x v="0"/>
  </r>
  <r>
    <x v="1"/>
    <n v="29"/>
    <s v="Yes"/>
    <n v="3"/>
    <n v="2"/>
    <n v="7"/>
    <n v="4"/>
    <n v="5"/>
    <n v="1"/>
    <n v="6"/>
    <x v="0"/>
    <x v="2"/>
    <s v="Capital Appreciation"/>
    <s v="Wealth Creation"/>
    <x v="0"/>
    <s v="Monthly"/>
    <x v="0"/>
    <x v="0"/>
    <x v="0"/>
    <s v="Capital Appreciation"/>
    <x v="0"/>
    <s v="Assured Returns"/>
    <s v="Risk Free"/>
    <x v="0"/>
    <x v="2"/>
    <x v="0"/>
  </r>
  <r>
    <x v="1"/>
    <n v="26"/>
    <s v="Yes"/>
    <n v="3"/>
    <n v="4"/>
    <n v="6"/>
    <n v="5"/>
    <n v="1"/>
    <n v="2"/>
    <n v="7"/>
    <x v="0"/>
    <x v="2"/>
    <s v="Capital Appreciation"/>
    <s v="Wealth Creation"/>
    <x v="2"/>
    <s v="Monthly"/>
    <x v="0"/>
    <x v="2"/>
    <x v="1"/>
    <s v="Capital Appreciation"/>
    <x v="2"/>
    <s v="Assured Returns"/>
    <s v="Risk Free"/>
    <x v="0"/>
    <x v="2"/>
    <x v="0"/>
  </r>
  <r>
    <x v="1"/>
    <n v="29"/>
    <s v="Yes"/>
    <n v="2"/>
    <n v="4"/>
    <n v="7"/>
    <n v="5"/>
    <n v="3"/>
    <n v="1"/>
    <n v="6"/>
    <x v="0"/>
    <x v="0"/>
    <s v="Growth"/>
    <s v="Wealth Creation"/>
    <x v="2"/>
    <s v="Weekly"/>
    <x v="0"/>
    <x v="0"/>
    <x v="0"/>
    <s v="Capital Appreciation"/>
    <x v="0"/>
    <s v="Assured Returns"/>
    <s v="Fixed Returns"/>
    <x v="1"/>
    <x v="2"/>
    <x v="0"/>
  </r>
  <r>
    <x v="0"/>
    <n v="24"/>
    <s v="Yes"/>
    <n v="2"/>
    <n v="4"/>
    <n v="5"/>
    <n v="6"/>
    <n v="3"/>
    <n v="1"/>
    <n v="7"/>
    <x v="0"/>
    <x v="2"/>
    <s v="Capital Appreciation"/>
    <s v="Wealth Creation"/>
    <x v="2"/>
    <s v="Monthly"/>
    <x v="0"/>
    <x v="1"/>
    <x v="1"/>
    <s v="Capital Appreciation"/>
    <x v="0"/>
    <s v="Assured Returns"/>
    <s v="Risk Free"/>
    <x v="0"/>
    <x v="1"/>
    <x v="0"/>
  </r>
  <r>
    <x v="1"/>
    <n v="27"/>
    <s v="Yes"/>
    <n v="3"/>
    <n v="4"/>
    <n v="6"/>
    <n v="5"/>
    <n v="2"/>
    <n v="1"/>
    <n v="7"/>
    <x v="0"/>
    <x v="0"/>
    <s v="Capital Appreciation"/>
    <s v="Wealth Creation"/>
    <x v="2"/>
    <s v="Monthly"/>
    <x v="0"/>
    <x v="0"/>
    <x v="0"/>
    <s v="Capital Appreciation"/>
    <x v="0"/>
    <s v="Assured Returns"/>
    <s v="Risk Free"/>
    <x v="1"/>
    <x v="2"/>
    <x v="0"/>
  </r>
  <r>
    <x v="1"/>
    <n v="25"/>
    <s v="Yes"/>
    <n v="2"/>
    <n v="4"/>
    <n v="6"/>
    <n v="5"/>
    <n v="3"/>
    <n v="1"/>
    <n v="7"/>
    <x v="0"/>
    <x v="2"/>
    <s v="Growth"/>
    <s v="Savings for Future"/>
    <x v="2"/>
    <s v="Weekly"/>
    <x v="0"/>
    <x v="3"/>
    <x v="1"/>
    <s v="Liquidity"/>
    <x v="0"/>
    <s v="Assured Returns"/>
    <s v="Risk Free"/>
    <x v="1"/>
    <x v="1"/>
    <x v="0"/>
  </r>
  <r>
    <x v="0"/>
    <n v="26"/>
    <s v="Yes"/>
    <n v="2"/>
    <n v="3"/>
    <n v="7"/>
    <n v="5"/>
    <n v="4"/>
    <n v="1"/>
    <n v="6"/>
    <x v="0"/>
    <x v="0"/>
    <s v="Capital Appreciation"/>
    <s v="Wealth Creation"/>
    <x v="2"/>
    <s v="Monthly"/>
    <x v="2"/>
    <x v="3"/>
    <x v="0"/>
    <s v="Capital Appreciation"/>
    <x v="0"/>
    <s v="Assured Returns"/>
    <s v="Risk Free"/>
    <x v="0"/>
    <x v="2"/>
    <x v="0"/>
  </r>
  <r>
    <x v="0"/>
    <n v="32"/>
    <s v="Yes"/>
    <n v="3"/>
    <n v="4"/>
    <n v="7"/>
    <n v="5"/>
    <n v="1"/>
    <n v="2"/>
    <n v="6"/>
    <x v="0"/>
    <x v="2"/>
    <s v="Growth"/>
    <s v="Wealth Creation"/>
    <x v="2"/>
    <s v="Monthly"/>
    <x v="0"/>
    <x v="0"/>
    <x v="0"/>
    <s v="Capital Appreciation"/>
    <x v="0"/>
    <s v="Assured Returns"/>
    <s v="Fixed Returns"/>
    <x v="1"/>
    <x v="0"/>
    <x v="0"/>
  </r>
  <r>
    <x v="1"/>
    <n v="26"/>
    <s v="Yes"/>
    <n v="3"/>
    <n v="4"/>
    <n v="6"/>
    <n v="5"/>
    <n v="1"/>
    <n v="2"/>
    <n v="7"/>
    <x v="0"/>
    <x v="0"/>
    <s v="Capital Appreciation"/>
    <s v="Wealth Creation"/>
    <x v="2"/>
    <s v="Monthly"/>
    <x v="0"/>
    <x v="0"/>
    <x v="0"/>
    <s v="Dividend"/>
    <x v="2"/>
    <s v="Assured Returns"/>
    <s v="Fixed Returns"/>
    <x v="1"/>
    <x v="2"/>
    <x v="0"/>
  </r>
  <r>
    <x v="1"/>
    <n v="31"/>
    <s v="Yes"/>
    <n v="2"/>
    <n v="3"/>
    <n v="7"/>
    <n v="6"/>
    <n v="4"/>
    <n v="1"/>
    <n v="5"/>
    <x v="0"/>
    <x v="2"/>
    <s v="Growth"/>
    <s v="Savings for Future"/>
    <x v="0"/>
    <s v="Monthly"/>
    <x v="0"/>
    <x v="2"/>
    <x v="1"/>
    <s v="Capital Appreciation"/>
    <x v="2"/>
    <s v="Safe Investment"/>
    <s v="Fixed Returns"/>
    <x v="2"/>
    <x v="0"/>
    <x v="0"/>
  </r>
  <r>
    <x v="1"/>
    <n v="29"/>
    <s v="Yes"/>
    <n v="2"/>
    <n v="3"/>
    <n v="6"/>
    <n v="5"/>
    <n v="1"/>
    <n v="4"/>
    <n v="7"/>
    <x v="0"/>
    <x v="0"/>
    <s v="Capital Appreciation"/>
    <s v="Wealth Creation"/>
    <x v="0"/>
    <s v="Monthly"/>
    <x v="0"/>
    <x v="1"/>
    <x v="0"/>
    <s v="Capital Appreciation"/>
    <x v="0"/>
    <s v="Assured Returns"/>
    <s v="Risk Free"/>
    <x v="2"/>
    <x v="2"/>
    <x v="0"/>
  </r>
  <r>
    <x v="0"/>
    <n v="34"/>
    <s v="Yes"/>
    <n v="5"/>
    <n v="4"/>
    <n v="3"/>
    <n v="2"/>
    <n v="7"/>
    <n v="1"/>
    <n v="6"/>
    <x v="0"/>
    <x v="0"/>
    <s v="Income"/>
    <s v="Returns"/>
    <x v="2"/>
    <s v="Monthly"/>
    <x v="1"/>
    <x v="0"/>
    <x v="0"/>
    <s v="Capital Appreciation"/>
    <x v="1"/>
    <s v="Safe Investment"/>
    <s v="Fixed Returns"/>
    <x v="0"/>
    <x v="0"/>
    <x v="0"/>
  </r>
  <r>
    <x v="1"/>
    <n v="27"/>
    <s v="Yes"/>
    <n v="4"/>
    <n v="5"/>
    <n v="1"/>
    <n v="2"/>
    <n v="7"/>
    <n v="3"/>
    <n v="6"/>
    <x v="1"/>
    <x v="0"/>
    <s v="Growth"/>
    <s v="Wealth Creation"/>
    <x v="0"/>
    <s v="Monthly"/>
    <x v="1"/>
    <x v="0"/>
    <x v="2"/>
    <s v="Capital Appreciation"/>
    <x v="1"/>
    <s v="Safe Investment"/>
    <s v="Fixed Returns"/>
    <x v="2"/>
    <x v="2"/>
    <x v="0"/>
  </r>
  <r>
    <x v="0"/>
    <n v="31"/>
    <s v="Yes"/>
    <n v="2"/>
    <n v="4"/>
    <n v="7"/>
    <n v="6"/>
    <n v="3"/>
    <n v="1"/>
    <n v="5"/>
    <x v="0"/>
    <x v="0"/>
    <s v="Capital Appreciation"/>
    <s v="Wealth Creation"/>
    <x v="2"/>
    <s v="Monthly"/>
    <x v="0"/>
    <x v="2"/>
    <x v="0"/>
    <s v="Capital Appreciation"/>
    <x v="0"/>
    <s v="Assured Returns"/>
    <s v="Fixed Returns"/>
    <x v="1"/>
    <x v="0"/>
    <x v="0"/>
  </r>
  <r>
    <x v="1"/>
    <n v="27"/>
    <s v="Yes"/>
    <n v="2"/>
    <n v="4"/>
    <n v="7"/>
    <n v="5"/>
    <n v="1"/>
    <n v="3"/>
    <n v="6"/>
    <x v="0"/>
    <x v="0"/>
    <s v="Capital Appreciation"/>
    <s v="Wealth Creation"/>
    <x v="2"/>
    <s v="Monthly"/>
    <x v="2"/>
    <x v="1"/>
    <x v="1"/>
    <s v="Capital Appreciation"/>
    <x v="2"/>
    <s v="Assured Returns"/>
    <s v="Fixed Returns"/>
    <x v="0"/>
    <x v="2"/>
    <x v="0"/>
  </r>
  <r>
    <x v="1"/>
    <n v="26"/>
    <s v="Yes"/>
    <n v="2"/>
    <n v="3"/>
    <n v="6"/>
    <n v="4"/>
    <n v="1"/>
    <n v="5"/>
    <n v="7"/>
    <x v="0"/>
    <x v="0"/>
    <s v="Capital Appreciation"/>
    <s v="Returns"/>
    <x v="0"/>
    <s v="Monthly"/>
    <x v="0"/>
    <x v="2"/>
    <x v="2"/>
    <s v="Dividend"/>
    <x v="0"/>
    <s v="Safe Investment"/>
    <s v="Risk Free"/>
    <x v="0"/>
    <x v="2"/>
    <x v="0"/>
  </r>
  <r>
    <x v="1"/>
    <n v="27"/>
    <s v="Yes"/>
    <n v="2"/>
    <n v="3"/>
    <n v="6"/>
    <n v="5"/>
    <n v="4"/>
    <n v="1"/>
    <n v="7"/>
    <x v="0"/>
    <x v="0"/>
    <s v="Capital Appreciation"/>
    <s v="Wealth Creation"/>
    <x v="0"/>
    <s v="Weekly"/>
    <x v="0"/>
    <x v="0"/>
    <x v="1"/>
    <s v="Capital Appreciation"/>
    <x v="0"/>
    <s v="Safe Investment"/>
    <s v="Fixed Returns"/>
    <x v="1"/>
    <x v="2"/>
    <x v="0"/>
  </r>
  <r>
    <x v="1"/>
    <n v="30"/>
    <s v="Yes"/>
    <n v="1"/>
    <n v="4"/>
    <n v="6"/>
    <n v="5"/>
    <n v="3"/>
    <n v="2"/>
    <n v="7"/>
    <x v="0"/>
    <x v="2"/>
    <s v="Growth"/>
    <s v="Wealth Creation"/>
    <x v="2"/>
    <s v="Monthly"/>
    <x v="0"/>
    <x v="2"/>
    <x v="1"/>
    <s v="Capital Appreciation"/>
    <x v="0"/>
    <s v="Assured Returns"/>
    <s v="Fixed Returns"/>
    <x v="1"/>
    <x v="2"/>
    <x v="0"/>
  </r>
  <r>
    <x v="1"/>
    <n v="30"/>
    <s v="Yes"/>
    <n v="2"/>
    <n v="4"/>
    <n v="7"/>
    <n v="5"/>
    <n v="1"/>
    <n v="3"/>
    <n v="6"/>
    <x v="0"/>
    <x v="0"/>
    <s v="Capital Appreciation"/>
    <s v="Wealth Creation"/>
    <x v="0"/>
    <s v="Monthly"/>
    <x v="0"/>
    <x v="1"/>
    <x v="0"/>
    <s v="Capital Appreciation"/>
    <x v="0"/>
    <s v="Assured Returns"/>
    <s v="Risk Free"/>
    <x v="0"/>
    <x v="2"/>
    <x v="0"/>
  </r>
  <r>
    <x v="1"/>
    <n v="25"/>
    <s v="Yes"/>
    <n v="5"/>
    <n v="4"/>
    <n v="7"/>
    <n v="6"/>
    <n v="1"/>
    <n v="2"/>
    <n v="3"/>
    <x v="0"/>
    <x v="2"/>
    <s v="Growth"/>
    <s v="Savings for Future"/>
    <x v="2"/>
    <s v="Monthly"/>
    <x v="2"/>
    <x v="3"/>
    <x v="1"/>
    <s v="Capital Appreciation"/>
    <x v="0"/>
    <s v="Safe Investment"/>
    <s v="Fixed Returns"/>
    <x v="1"/>
    <x v="1"/>
    <x v="0"/>
  </r>
  <r>
    <x v="1"/>
    <n v="31"/>
    <s v="Yes"/>
    <n v="2"/>
    <n v="4"/>
    <n v="7"/>
    <n v="5"/>
    <n v="3"/>
    <n v="1"/>
    <n v="6"/>
    <x v="0"/>
    <x v="2"/>
    <s v="Growth"/>
    <s v="Wealth Creation"/>
    <x v="0"/>
    <s v="Weekly"/>
    <x v="0"/>
    <x v="1"/>
    <x v="1"/>
    <s v="Dividend"/>
    <x v="2"/>
    <s v="Assured Returns"/>
    <s v="Fixed Returns"/>
    <x v="0"/>
    <x v="0"/>
    <x v="0"/>
  </r>
  <r>
    <x v="1"/>
    <n v="29"/>
    <s v="Yes"/>
    <n v="4"/>
    <n v="3"/>
    <n v="5"/>
    <n v="7"/>
    <n v="2"/>
    <n v="1"/>
    <n v="6"/>
    <x v="0"/>
    <x v="0"/>
    <s v="Capital Appreciation"/>
    <s v="Wealth Creation"/>
    <x v="2"/>
    <s v="Monthly"/>
    <x v="0"/>
    <x v="2"/>
    <x v="0"/>
    <s v="Dividend"/>
    <x v="0"/>
    <s v="Safe Investment"/>
    <s v="Fixed Returns"/>
    <x v="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A106:B110" firstHeaderRow="1" firstDataRow="1" firstDataCol="1"/>
  <pivotFields count="26"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xpect" fld="16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A82:E87" firstHeaderRow="1" firstDataRow="2" firstDataCol="1"/>
  <pivotFields count="26"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Col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Reason_Mutual" fld="20" subtotal="count" baseField="16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A64:E70" firstHeaderRow="1" firstDataRow="2" firstDataCol="1"/>
  <pivotFields count="26"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ortType="ascending" showAll="0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</pivotFields>
  <rowFields count="1">
    <field x="14"/>
  </rowFields>
  <rowItems count="5">
    <i>
      <x v="3"/>
    </i>
    <i>
      <x v="2"/>
    </i>
    <i>
      <x/>
    </i>
    <i>
      <x v="1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ount of Savings_Objectives" fld="18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D43:H48" firstHeaderRow="1" firstDataRow="2" firstDataCol="1"/>
  <pivotFields count="26"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>
      <items count="2"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Factor" fld="1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42:C59" firstHeaderRow="1" firstDataRow="1" firstDataCol="0"/>
  <pivotFields count="26"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3">
  <location ref="D23:I28" firstHeaderRow="1" firstDataRow="2" firstDataCol="1"/>
  <pivotFields count="26"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</pivotFields>
  <rowFields count="1">
    <field x="24"/>
  </rowFields>
  <rowItems count="4">
    <i>
      <x/>
    </i>
    <i>
      <x v="1"/>
    </i>
    <i>
      <x v="2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ge Group" fld="2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D1:K4" firstHeaderRow="0" firstDataRow="1" firstDataCol="1"/>
  <pivotFields count="26"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Mutual Funds" fld="3" subtotal="average" baseField="0" baseItem="0" numFmtId="178"/>
    <dataField name=" Gold" fld="9" subtotal="average" baseField="0" baseItem="0" numFmtId="2"/>
    <dataField name=" PPF" fld="8" subtotal="average" baseField="0" baseItem="0" numFmtId="178"/>
    <dataField name=" Fixed Deposits" fld="7" subtotal="average" baseField="0" baseItem="0"/>
    <dataField name=" Equity Market" fld="4" subtotal="average" baseField="0" baseItem="0" numFmtId="2"/>
    <dataField name=" Debentures" fld="5" subtotal="average" baseField="0" baseItem="0" numFmtId="2"/>
    <dataField name=" Government Bonds" fld="6" subtotal="average" baseField="0" baseItem="0" numFmtId="2"/>
  </dataFields>
  <formats count="15">
    <format dxfId="0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2"/>
          </reference>
          <reference field="0" count="1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6"/>
          </reference>
          <reference field="0" count="1">
            <x v="0"/>
          </reference>
        </references>
      </pivotArea>
    </format>
    <format dxfId="3">
      <pivotArea grandRow="1" outline="0" collapsedLevelsAreSubtotals="1" fieldPosition="0">
        <references count="1">
          <reference field="4294967294" count="1" selected="0">
            <x v="4"/>
          </reference>
        </references>
      </pivotArea>
    </format>
    <format dxfId="4">
      <pivotArea grandRow="1"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">
      <pivotArea grandRow="1"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grandRow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5"/>
          </reference>
          <reference field="0" count="1">
            <x v="0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4"/>
          </reference>
          <reference field="0" count="1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27">
    <queryTableFields count="26">
      <queryTableField id="1" name="gender" tableColumnId="1"/>
      <queryTableField id="2" name="age" tableColumnId="2"/>
      <queryTableField id="3" name="Investment_Avenues" tableColumnId="3"/>
      <queryTableField id="4" name="Mutual_Funds" tableColumnId="4"/>
      <queryTableField id="5" name="Equity_Market" tableColumnId="5"/>
      <queryTableField id="6" name="Debentures" tableColumnId="6"/>
      <queryTableField id="7" name="Government_Bonds" tableColumnId="7"/>
      <queryTableField id="8" name="Fixed_Deposits" tableColumnId="8"/>
      <queryTableField id="9" name="PPF" tableColumnId="9"/>
      <queryTableField id="10" name="Gold" tableColumnId="10"/>
      <queryTableField id="11" name="Stock_Market" tableColumnId="11"/>
      <queryTableField id="12" name="Factor" tableColumnId="12"/>
      <queryTableField id="13" name="Objective" tableColumnId="13"/>
      <queryTableField id="14" name="Purpose" tableColumnId="14"/>
      <queryTableField id="15" name="Duration" tableColumnId="15"/>
      <queryTableField id="16" name="Invest_Monitor" tableColumnId="16"/>
      <queryTableField id="17" name="Expect" tableColumnId="17"/>
      <queryTableField id="18" name="Avenue" tableColumnId="18"/>
      <queryTableField id="19" name="Savings_Objectives" tableColumnId="19"/>
      <queryTableField id="20" name="Reason_Equity" tableColumnId="20"/>
      <queryTableField id="21" name="Reason_Mutual" tableColumnId="21"/>
      <queryTableField id="22" name="Reason_Bonds" tableColumnId="22"/>
      <queryTableField id="23" name="Reason_FD" tableColumnId="23"/>
      <queryTableField id="24" name="Source" tableColumnId="24"/>
      <queryTableField id="25" name="Age Group" tableColumnId="25"/>
      <queryTableField id="26" name="Total_Investment_score" tableColumnId="2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_Group" sourceName="Age Group">
  <pivotTables>
    <pivotTable tabId="1" name="PivotTable5"/>
    <pivotTable tabId="1" name="PivotTable1"/>
    <pivotTable tabId="1" name="PivotTable2"/>
    <pivotTable tabId="1" name="PivotTable3"/>
    <pivotTable tabId="1" name="PivotTable7"/>
    <pivotTable tabId="1" name="PivotTable8"/>
    <pivotTable tabId="1" name="PivotTable9"/>
  </pivotTables>
  <data>
    <tabular pivotCacheId="1">
      <items count="3">
        <i x="1" s="1"/>
        <i x="2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1" name="PivotTable5"/>
    <pivotTable tabId="1" name="PivotTable1"/>
    <pivotTable tabId="1" name="PivotTable2"/>
    <pivotTable tabId="1" name="PivotTable3"/>
    <pivotTable tabId="1" name="PivotTable7"/>
    <pivotTable tabId="1" name="PivotTable8"/>
    <pivotTable tabId="1" name="PivotTable9"/>
  </pivotTables>
  <data>
    <tabular pivotCacheId="1">
      <items count="2"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uration" sourceName="Duration">
  <pivotTables>
    <pivotTable tabId="1" name="PivotTable5"/>
    <pivotTable tabId="1" name="PivotTable1"/>
    <pivotTable tabId="1" name="PivotTable2"/>
    <pivotTable tabId="1" name="PivotTable3"/>
    <pivotTable tabId="1" name="PivotTable7"/>
    <pivotTable tabId="1" name="PivotTable8"/>
    <pivotTable tabId="1" name="PivotTable9"/>
  </pivotTables>
  <data>
    <tabular pivotCacheId="1">
      <items count="4">
        <i x="0" s="1"/>
        <i x="2" s="1"/>
        <i x="3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ge Group" cache="Slicer_Age_Group" caption="     Age Group" style="SlicerStyleLight3" rowHeight="640080"/>
  <slicer name="gender" cache="Slicer_gender" caption="      Gender" style="SlicerStyleLight3" rowHeight="640080"/>
  <slicer name="Duration" cache="Slicer_Duration" caption="   Duration" style="SlicerStyleLight3" rowHeight="82296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Investment_Preference_Data" displayName="Investment_preference_data" ref="A1:Z41" tableType="queryTable" totalsRowShown="0">
  <autoFilter xmlns:etc="http://www.wps.cn/officeDocument/2017/etCustomData" ref="A1:Z41" etc:filterBottomFollowUsedRange="0"/>
  <tableColumns count="26">
    <tableColumn id="1" name="gender" uniqueName="1" queryTableFieldId="1" dataDxfId="15"/>
    <tableColumn id="2" name="age" uniqueName="2" queryTableFieldId="2"/>
    <tableColumn id="3" name="Investment_Avenues" uniqueName="3" queryTableFieldId="3" dataDxfId="16"/>
    <tableColumn id="4" name="Mutual_Funds" uniqueName="4" queryTableFieldId="4"/>
    <tableColumn id="5" name="Equity_Market" uniqueName="5" queryTableFieldId="5"/>
    <tableColumn id="6" name="Debentures" uniqueName="6" queryTableFieldId="6"/>
    <tableColumn id="7" name="Government_Bonds" uniqueName="7" queryTableFieldId="7"/>
    <tableColumn id="8" name="Fixed_Deposits" uniqueName="8" queryTableFieldId="8"/>
    <tableColumn id="9" name="PPF" uniqueName="9" queryTableFieldId="9"/>
    <tableColumn id="10" name="Gold" uniqueName="10" queryTableFieldId="10"/>
    <tableColumn id="11" name="Stock_Market" uniqueName="11" queryTableFieldId="11" dataDxfId="17"/>
    <tableColumn id="12" name="Factor" uniqueName="12" queryTableFieldId="12" dataDxfId="18"/>
    <tableColumn id="13" name="Objective" uniqueName="13" queryTableFieldId="13" dataDxfId="19"/>
    <tableColumn id="14" name="Purpose" uniqueName="14" queryTableFieldId="14" dataDxfId="20"/>
    <tableColumn id="15" name="Duration" uniqueName="15" queryTableFieldId="15" dataDxfId="21"/>
    <tableColumn id="16" name="Invest_Monitor" uniqueName="16" queryTableFieldId="16" dataDxfId="22"/>
    <tableColumn id="17" name="Expect" uniqueName="17" queryTableFieldId="17" dataDxfId="23"/>
    <tableColumn id="18" name="Avenue" uniqueName="18" queryTableFieldId="18" dataDxfId="24"/>
    <tableColumn id="19" name="Savings_Objectives" uniqueName="19" queryTableFieldId="19" dataDxfId="25"/>
    <tableColumn id="20" name="Reason_Equity" uniqueName="20" queryTableFieldId="20" dataDxfId="26"/>
    <tableColumn id="21" name="Reason_Mutual" uniqueName="21" queryTableFieldId="21" dataDxfId="27"/>
    <tableColumn id="22" name="Reason_Bonds" uniqueName="22" queryTableFieldId="22" dataDxfId="28"/>
    <tableColumn id="23" name="Reason_FD" uniqueName="23" queryTableFieldId="23" dataDxfId="29"/>
    <tableColumn id="24" name="Source" uniqueName="24" queryTableFieldId="24" dataDxfId="30"/>
    <tableColumn id="25" name="Age Group" uniqueName="25" queryTableFieldId="25" dataDxfId="31"/>
    <tableColumn id="26" name="Total_Investment_score" uniqueName="26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Gallery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Gallery">
      <a:majorFont>
        <a:latin typeface="Gill Sans M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1"/>
  <sheetViews>
    <sheetView topLeftCell="A2" workbookViewId="0">
      <selection activeCell="A2" sqref="A2:Z41"/>
    </sheetView>
  </sheetViews>
  <sheetFormatPr defaultColWidth="9" defaultRowHeight="17.25"/>
  <cols>
    <col min="1" max="1" width="9.5" customWidth="1"/>
    <col min="2" max="2" width="6.375" customWidth="1"/>
    <col min="3" max="3" width="22.375" customWidth="1"/>
    <col min="4" max="4" width="16" customWidth="1"/>
    <col min="5" max="5" width="16.375" customWidth="1"/>
    <col min="6" max="6" width="13.625" customWidth="1"/>
    <col min="7" max="7" width="21.25" customWidth="1"/>
    <col min="8" max="8" width="16.875" customWidth="1"/>
    <col min="9" max="9" width="6.5" customWidth="1"/>
    <col min="10" max="10" width="7.5" customWidth="1"/>
    <col min="11" max="11" width="15.5" customWidth="1"/>
    <col min="12" max="12" width="13.875" customWidth="1"/>
    <col min="13" max="13" width="19.25" customWidth="1"/>
    <col min="14" max="14" width="16.875" customWidth="1"/>
    <col min="15" max="15" width="16.75" customWidth="1"/>
    <col min="16" max="16" width="17" customWidth="1"/>
    <col min="18" max="18" width="20.625" customWidth="1"/>
    <col min="19" max="19" width="20.5" customWidth="1"/>
    <col min="20" max="20" width="19.25" customWidth="1"/>
    <col min="21" max="21" width="18.875" customWidth="1"/>
    <col min="22" max="22" width="16.25" customWidth="1"/>
    <col min="23" max="23" width="17.875" customWidth="1"/>
    <col min="24" max="24" width="25.875" customWidth="1"/>
    <col min="25" max="25" width="27.5" customWidth="1"/>
    <col min="26" max="26" width="24.87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4" t="s">
        <v>26</v>
      </c>
      <c r="B2">
        <v>34</v>
      </c>
      <c r="C2" s="4" t="s">
        <v>27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4" t="s">
        <v>29</v>
      </c>
      <c r="U2" s="4" t="s">
        <v>36</v>
      </c>
      <c r="V2" s="4" t="s">
        <v>37</v>
      </c>
      <c r="W2" s="4" t="s">
        <v>38</v>
      </c>
      <c r="X2" s="4" t="s">
        <v>39</v>
      </c>
      <c r="Y2" s="4" t="s">
        <v>40</v>
      </c>
      <c r="Z2">
        <v>28</v>
      </c>
    </row>
    <row r="3" spans="1:26">
      <c r="A3" s="4" t="s">
        <v>26</v>
      </c>
      <c r="B3">
        <v>23</v>
      </c>
      <c r="C3" s="4" t="s">
        <v>27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s="4" t="s">
        <v>41</v>
      </c>
      <c r="L3" s="4" t="s">
        <v>42</v>
      </c>
      <c r="M3" s="4" t="s">
        <v>29</v>
      </c>
      <c r="N3" s="4" t="s">
        <v>30</v>
      </c>
      <c r="O3" s="4" t="s">
        <v>43</v>
      </c>
      <c r="P3" s="4" t="s">
        <v>44</v>
      </c>
      <c r="Q3" s="4" t="s">
        <v>33</v>
      </c>
      <c r="R3" s="4" t="s">
        <v>34</v>
      </c>
      <c r="S3" s="4" t="s">
        <v>45</v>
      </c>
      <c r="T3" s="4" t="s">
        <v>46</v>
      </c>
      <c r="U3" s="4" t="s">
        <v>36</v>
      </c>
      <c r="V3" s="4" t="s">
        <v>37</v>
      </c>
      <c r="W3" s="4" t="s">
        <v>47</v>
      </c>
      <c r="X3" s="4" t="s">
        <v>48</v>
      </c>
      <c r="Y3" s="4" t="s">
        <v>49</v>
      </c>
      <c r="Z3">
        <v>28</v>
      </c>
    </row>
    <row r="4" spans="1:26">
      <c r="A4" s="4" t="s">
        <v>50</v>
      </c>
      <c r="B4">
        <v>30</v>
      </c>
      <c r="C4" s="4" t="s">
        <v>27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s="4" t="s">
        <v>27</v>
      </c>
      <c r="L4" s="4" t="s">
        <v>28</v>
      </c>
      <c r="M4" s="4" t="s">
        <v>29</v>
      </c>
      <c r="N4" s="4" t="s">
        <v>30</v>
      </c>
      <c r="O4" s="4" t="s">
        <v>51</v>
      </c>
      <c r="P4" s="4" t="s">
        <v>52</v>
      </c>
      <c r="Q4" s="4" t="s">
        <v>33</v>
      </c>
      <c r="R4" s="4" t="s">
        <v>53</v>
      </c>
      <c r="S4" s="4" t="s">
        <v>35</v>
      </c>
      <c r="T4" s="4" t="s">
        <v>29</v>
      </c>
      <c r="U4" s="4" t="s">
        <v>54</v>
      </c>
      <c r="V4" s="4" t="s">
        <v>55</v>
      </c>
      <c r="W4" s="4" t="s">
        <v>38</v>
      </c>
      <c r="X4" s="4" t="s">
        <v>56</v>
      </c>
      <c r="Y4" s="4" t="s">
        <v>57</v>
      </c>
      <c r="Z4">
        <v>28</v>
      </c>
    </row>
    <row r="5" spans="1:26">
      <c r="A5" s="4" t="s">
        <v>50</v>
      </c>
      <c r="B5">
        <v>22</v>
      </c>
      <c r="C5" s="4" t="s">
        <v>27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s="4" t="s">
        <v>27</v>
      </c>
      <c r="L5" s="4" t="s">
        <v>28</v>
      </c>
      <c r="M5" s="4" t="s">
        <v>58</v>
      </c>
      <c r="N5" s="4" t="s">
        <v>30</v>
      </c>
      <c r="O5" s="4" t="s">
        <v>59</v>
      </c>
      <c r="P5" s="4" t="s">
        <v>52</v>
      </c>
      <c r="Q5" s="4" t="s">
        <v>60</v>
      </c>
      <c r="R5" s="4" t="s">
        <v>53</v>
      </c>
      <c r="S5" s="4" t="s">
        <v>35</v>
      </c>
      <c r="T5" s="4" t="s">
        <v>46</v>
      </c>
      <c r="U5" s="4" t="s">
        <v>61</v>
      </c>
      <c r="V5" s="4" t="s">
        <v>62</v>
      </c>
      <c r="W5" s="4" t="s">
        <v>47</v>
      </c>
      <c r="X5" s="4" t="s">
        <v>63</v>
      </c>
      <c r="Y5" s="4" t="s">
        <v>49</v>
      </c>
      <c r="Z5">
        <v>28</v>
      </c>
    </row>
    <row r="6" spans="1:26">
      <c r="A6" s="4" t="s">
        <v>26</v>
      </c>
      <c r="B6">
        <v>24</v>
      </c>
      <c r="C6" s="4" t="s">
        <v>41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s="4" t="s">
        <v>41</v>
      </c>
      <c r="L6" s="4" t="s">
        <v>28</v>
      </c>
      <c r="M6" s="4" t="s">
        <v>58</v>
      </c>
      <c r="N6" s="4" t="s">
        <v>30</v>
      </c>
      <c r="O6" s="4" t="s">
        <v>59</v>
      </c>
      <c r="P6" s="4" t="s">
        <v>52</v>
      </c>
      <c r="Q6" s="4" t="s">
        <v>33</v>
      </c>
      <c r="R6" s="4" t="s">
        <v>53</v>
      </c>
      <c r="S6" s="4" t="s">
        <v>35</v>
      </c>
      <c r="T6" s="4" t="s">
        <v>29</v>
      </c>
      <c r="U6" s="4" t="s">
        <v>36</v>
      </c>
      <c r="V6" s="4" t="s">
        <v>37</v>
      </c>
      <c r="W6" s="4" t="s">
        <v>64</v>
      </c>
      <c r="X6" s="4" t="s">
        <v>63</v>
      </c>
      <c r="Y6" s="4" t="s">
        <v>49</v>
      </c>
      <c r="Z6">
        <v>28</v>
      </c>
    </row>
    <row r="7" spans="1:26">
      <c r="A7" s="4" t="s">
        <v>26</v>
      </c>
      <c r="B7">
        <v>24</v>
      </c>
      <c r="C7" s="4"/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s="4" t="s">
        <v>41</v>
      </c>
      <c r="L7" s="4" t="s">
        <v>65</v>
      </c>
      <c r="M7" s="4" t="s">
        <v>29</v>
      </c>
      <c r="N7" s="4" t="s">
        <v>30</v>
      </c>
      <c r="O7" s="4" t="s">
        <v>31</v>
      </c>
      <c r="P7" s="4" t="s">
        <v>52</v>
      </c>
      <c r="Q7" s="4" t="s">
        <v>66</v>
      </c>
      <c r="R7" s="4" t="s">
        <v>34</v>
      </c>
      <c r="S7" s="4" t="s">
        <v>35</v>
      </c>
      <c r="T7" s="4" t="s">
        <v>67</v>
      </c>
      <c r="U7" s="4" t="s">
        <v>61</v>
      </c>
      <c r="V7" s="4" t="s">
        <v>37</v>
      </c>
      <c r="W7" s="4" t="s">
        <v>64</v>
      </c>
      <c r="X7" s="4" t="s">
        <v>63</v>
      </c>
      <c r="Y7" s="4" t="s">
        <v>49</v>
      </c>
      <c r="Z7">
        <v>28</v>
      </c>
    </row>
    <row r="8" spans="1:26">
      <c r="A8" s="4" t="s">
        <v>26</v>
      </c>
      <c r="B8">
        <v>27</v>
      </c>
      <c r="C8" s="4" t="s">
        <v>27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s="4" t="s">
        <v>27</v>
      </c>
      <c r="L8" s="4" t="s">
        <v>28</v>
      </c>
      <c r="M8" s="4" t="s">
        <v>29</v>
      </c>
      <c r="N8" s="4" t="s">
        <v>30</v>
      </c>
      <c r="O8" s="4" t="s">
        <v>51</v>
      </c>
      <c r="P8" s="4" t="s">
        <v>32</v>
      </c>
      <c r="Q8" s="4" t="s">
        <v>33</v>
      </c>
      <c r="R8" s="4" t="s">
        <v>53</v>
      </c>
      <c r="S8" s="4" t="s">
        <v>35</v>
      </c>
      <c r="T8" s="4" t="s">
        <v>29</v>
      </c>
      <c r="U8" s="4" t="s">
        <v>36</v>
      </c>
      <c r="V8" s="4" t="s">
        <v>55</v>
      </c>
      <c r="W8" s="4" t="s">
        <v>47</v>
      </c>
      <c r="X8" s="4" t="s">
        <v>48</v>
      </c>
      <c r="Y8" s="4" t="s">
        <v>57</v>
      </c>
      <c r="Z8">
        <v>28</v>
      </c>
    </row>
    <row r="9" spans="1:26">
      <c r="A9" s="4" t="s">
        <v>50</v>
      </c>
      <c r="B9">
        <v>21</v>
      </c>
      <c r="C9" s="4" t="s">
        <v>27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s="4" t="s">
        <v>27</v>
      </c>
      <c r="L9" s="4" t="s">
        <v>65</v>
      </c>
      <c r="M9" s="4" t="s">
        <v>29</v>
      </c>
      <c r="N9" s="4" t="s">
        <v>30</v>
      </c>
      <c r="O9" s="4" t="s">
        <v>51</v>
      </c>
      <c r="P9" s="4" t="s">
        <v>32</v>
      </c>
      <c r="Q9" s="4" t="s">
        <v>33</v>
      </c>
      <c r="R9" s="4" t="s">
        <v>34</v>
      </c>
      <c r="S9" s="4" t="s">
        <v>35</v>
      </c>
      <c r="T9" s="4" t="s">
        <v>29</v>
      </c>
      <c r="U9" s="4" t="s">
        <v>36</v>
      </c>
      <c r="V9" s="4" t="s">
        <v>55</v>
      </c>
      <c r="W9" s="4" t="s">
        <v>64</v>
      </c>
      <c r="X9" s="4" t="s">
        <v>39</v>
      </c>
      <c r="Y9" s="4" t="s">
        <v>49</v>
      </c>
      <c r="Z9">
        <v>28</v>
      </c>
    </row>
    <row r="10" spans="1:26">
      <c r="A10" s="4" t="s">
        <v>50</v>
      </c>
      <c r="B10">
        <v>35</v>
      </c>
      <c r="C10" s="4" t="s">
        <v>27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s="4" t="s">
        <v>27</v>
      </c>
      <c r="L10" s="4" t="s">
        <v>28</v>
      </c>
      <c r="M10" s="4" t="s">
        <v>68</v>
      </c>
      <c r="N10" s="4" t="s">
        <v>69</v>
      </c>
      <c r="O10" s="4" t="s">
        <v>31</v>
      </c>
      <c r="P10" s="4" t="s">
        <v>44</v>
      </c>
      <c r="Q10" s="4" t="s">
        <v>33</v>
      </c>
      <c r="R10" s="4" t="s">
        <v>53</v>
      </c>
      <c r="S10" s="4" t="s">
        <v>35</v>
      </c>
      <c r="T10" s="4" t="s">
        <v>29</v>
      </c>
      <c r="U10" s="4" t="s">
        <v>61</v>
      </c>
      <c r="V10" s="4" t="s">
        <v>37</v>
      </c>
      <c r="W10" s="4" t="s">
        <v>38</v>
      </c>
      <c r="X10" s="4" t="s">
        <v>56</v>
      </c>
      <c r="Y10" s="4" t="s">
        <v>40</v>
      </c>
      <c r="Z10">
        <v>28</v>
      </c>
    </row>
    <row r="11" spans="1:26">
      <c r="A11" s="4" t="s">
        <v>50</v>
      </c>
      <c r="B11">
        <v>31</v>
      </c>
      <c r="C11" s="4" t="s">
        <v>27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51</v>
      </c>
      <c r="P11" s="4" t="s">
        <v>32</v>
      </c>
      <c r="Q11" s="4" t="s">
        <v>66</v>
      </c>
      <c r="R11" s="4" t="s">
        <v>70</v>
      </c>
      <c r="S11" s="4" t="s">
        <v>35</v>
      </c>
      <c r="T11" s="4" t="s">
        <v>29</v>
      </c>
      <c r="U11" s="4" t="s">
        <v>61</v>
      </c>
      <c r="V11" s="4" t="s">
        <v>55</v>
      </c>
      <c r="W11" s="4" t="s">
        <v>38</v>
      </c>
      <c r="X11" s="4" t="s">
        <v>39</v>
      </c>
      <c r="Y11" s="4" t="s">
        <v>40</v>
      </c>
      <c r="Z11">
        <v>28</v>
      </c>
    </row>
    <row r="12" spans="1:26">
      <c r="A12" s="4" t="s">
        <v>26</v>
      </c>
      <c r="B12">
        <v>35</v>
      </c>
      <c r="C12" s="4" t="s">
        <v>27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s="4" t="s">
        <v>27</v>
      </c>
      <c r="L12" s="4" t="s">
        <v>65</v>
      </c>
      <c r="M12" s="4" t="s">
        <v>68</v>
      </c>
      <c r="N12" s="4" t="s">
        <v>69</v>
      </c>
      <c r="O12" s="4" t="s">
        <v>51</v>
      </c>
      <c r="P12" s="4" t="s">
        <v>32</v>
      </c>
      <c r="Q12" s="4" t="s">
        <v>33</v>
      </c>
      <c r="R12" s="4" t="s">
        <v>34</v>
      </c>
      <c r="S12" s="4" t="s">
        <v>35</v>
      </c>
      <c r="T12" s="4" t="s">
        <v>29</v>
      </c>
      <c r="U12" s="4" t="s">
        <v>36</v>
      </c>
      <c r="V12" s="4" t="s">
        <v>55</v>
      </c>
      <c r="W12" s="4" t="s">
        <v>64</v>
      </c>
      <c r="X12" s="4" t="s">
        <v>48</v>
      </c>
      <c r="Y12" s="4" t="s">
        <v>40</v>
      </c>
      <c r="Z12">
        <v>28</v>
      </c>
    </row>
    <row r="13" spans="1:26">
      <c r="A13" s="4" t="s">
        <v>50</v>
      </c>
      <c r="B13">
        <v>29</v>
      </c>
      <c r="C13" s="4" t="s">
        <v>27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s="4" t="s">
        <v>27</v>
      </c>
      <c r="L13" s="4" t="s">
        <v>65</v>
      </c>
      <c r="M13" s="4" t="s">
        <v>29</v>
      </c>
      <c r="N13" s="4" t="s">
        <v>30</v>
      </c>
      <c r="O13" s="4" t="s">
        <v>31</v>
      </c>
      <c r="P13" s="4" t="s">
        <v>32</v>
      </c>
      <c r="Q13" s="4" t="s">
        <v>33</v>
      </c>
      <c r="R13" s="4" t="s">
        <v>34</v>
      </c>
      <c r="S13" s="4" t="s">
        <v>35</v>
      </c>
      <c r="T13" s="4" t="s">
        <v>29</v>
      </c>
      <c r="U13" s="4" t="s">
        <v>61</v>
      </c>
      <c r="V13" s="4" t="s">
        <v>55</v>
      </c>
      <c r="W13" s="4" t="s">
        <v>38</v>
      </c>
      <c r="X13" s="4" t="s">
        <v>48</v>
      </c>
      <c r="Y13" s="4" t="s">
        <v>57</v>
      </c>
      <c r="Z13">
        <v>28</v>
      </c>
    </row>
    <row r="14" spans="1:26">
      <c r="A14" s="4" t="s">
        <v>26</v>
      </c>
      <c r="B14">
        <v>21</v>
      </c>
      <c r="C14" s="4" t="s">
        <v>41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s="4" t="s">
        <v>41</v>
      </c>
      <c r="L14" s="4" t="s">
        <v>28</v>
      </c>
      <c r="M14" s="4" t="s">
        <v>29</v>
      </c>
      <c r="N14" s="4" t="s">
        <v>69</v>
      </c>
      <c r="O14" s="4" t="s">
        <v>31</v>
      </c>
      <c r="P14" s="4" t="s">
        <v>44</v>
      </c>
      <c r="Q14" s="4" t="s">
        <v>33</v>
      </c>
      <c r="R14" s="4" t="s">
        <v>34</v>
      </c>
      <c r="S14" s="4" t="s">
        <v>71</v>
      </c>
      <c r="T14" s="4" t="s">
        <v>46</v>
      </c>
      <c r="U14" s="4" t="s">
        <v>36</v>
      </c>
      <c r="V14" s="4" t="s">
        <v>37</v>
      </c>
      <c r="W14" s="4" t="s">
        <v>64</v>
      </c>
      <c r="X14" s="4" t="s">
        <v>63</v>
      </c>
      <c r="Y14" s="4" t="s">
        <v>49</v>
      </c>
      <c r="Z14">
        <v>28</v>
      </c>
    </row>
    <row r="15" spans="1:26">
      <c r="A15" s="4" t="s">
        <v>26</v>
      </c>
      <c r="B15">
        <v>28</v>
      </c>
      <c r="C15" s="4" t="s">
        <v>27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s="4" t="s">
        <v>27</v>
      </c>
      <c r="L15" s="4" t="s">
        <v>28</v>
      </c>
      <c r="M15" s="4" t="s">
        <v>29</v>
      </c>
      <c r="N15" s="4" t="s">
        <v>30</v>
      </c>
      <c r="O15" s="4" t="s">
        <v>31</v>
      </c>
      <c r="P15" s="4" t="s">
        <v>32</v>
      </c>
      <c r="Q15" s="4" t="s">
        <v>33</v>
      </c>
      <c r="R15" s="4" t="s">
        <v>34</v>
      </c>
      <c r="S15" s="4" t="s">
        <v>35</v>
      </c>
      <c r="T15" s="4" t="s">
        <v>29</v>
      </c>
      <c r="U15" s="4" t="s">
        <v>61</v>
      </c>
      <c r="V15" s="4" t="s">
        <v>55</v>
      </c>
      <c r="W15" s="4" t="s">
        <v>64</v>
      </c>
      <c r="X15" s="4" t="s">
        <v>39</v>
      </c>
      <c r="Y15" s="4" t="s">
        <v>57</v>
      </c>
      <c r="Z15">
        <v>28</v>
      </c>
    </row>
    <row r="16" spans="1:26">
      <c r="A16" s="4" t="s">
        <v>26</v>
      </c>
      <c r="B16">
        <v>25</v>
      </c>
      <c r="C16" s="4" t="s">
        <v>27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s="4" t="s">
        <v>27</v>
      </c>
      <c r="L16" s="4" t="s">
        <v>28</v>
      </c>
      <c r="M16" s="4" t="s">
        <v>29</v>
      </c>
      <c r="N16" s="4" t="s">
        <v>30</v>
      </c>
      <c r="O16" s="4" t="s">
        <v>31</v>
      </c>
      <c r="P16" s="4" t="s">
        <v>32</v>
      </c>
      <c r="Q16" s="4" t="s">
        <v>33</v>
      </c>
      <c r="R16" s="4" t="s">
        <v>70</v>
      </c>
      <c r="S16" s="4" t="s">
        <v>45</v>
      </c>
      <c r="T16" s="4" t="s">
        <v>46</v>
      </c>
      <c r="U16" s="4" t="s">
        <v>36</v>
      </c>
      <c r="V16" s="4" t="s">
        <v>55</v>
      </c>
      <c r="W16" s="4" t="s">
        <v>64</v>
      </c>
      <c r="X16" s="4" t="s">
        <v>48</v>
      </c>
      <c r="Y16" s="4" t="s">
        <v>49</v>
      </c>
      <c r="Z16">
        <v>28</v>
      </c>
    </row>
    <row r="17" spans="1:26">
      <c r="A17" s="4" t="s">
        <v>50</v>
      </c>
      <c r="B17">
        <v>27</v>
      </c>
      <c r="C17" s="4" t="s">
        <v>27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s="4" t="s">
        <v>27</v>
      </c>
      <c r="L17" s="4" t="s">
        <v>28</v>
      </c>
      <c r="M17" s="4" t="s">
        <v>29</v>
      </c>
      <c r="N17" s="4" t="s">
        <v>30</v>
      </c>
      <c r="O17" s="4" t="s">
        <v>31</v>
      </c>
      <c r="P17" s="4" t="s">
        <v>32</v>
      </c>
      <c r="Q17" s="4" t="s">
        <v>33</v>
      </c>
      <c r="R17" s="4" t="s">
        <v>34</v>
      </c>
      <c r="S17" s="4" t="s">
        <v>45</v>
      </c>
      <c r="T17" s="4" t="s">
        <v>29</v>
      </c>
      <c r="U17" s="4" t="s">
        <v>61</v>
      </c>
      <c r="V17" s="4" t="s">
        <v>55</v>
      </c>
      <c r="W17" s="4" t="s">
        <v>64</v>
      </c>
      <c r="X17" s="4" t="s">
        <v>39</v>
      </c>
      <c r="Y17" s="4" t="s">
        <v>57</v>
      </c>
      <c r="Z17">
        <v>28</v>
      </c>
    </row>
    <row r="18" spans="1:26">
      <c r="A18" s="4" t="s">
        <v>26</v>
      </c>
      <c r="B18">
        <v>28</v>
      </c>
      <c r="C18" s="4" t="s">
        <v>27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s="4" t="s">
        <v>27</v>
      </c>
      <c r="L18" s="4" t="s">
        <v>65</v>
      </c>
      <c r="M18" s="4" t="s">
        <v>68</v>
      </c>
      <c r="N18" s="4" t="s">
        <v>30</v>
      </c>
      <c r="O18" s="4" t="s">
        <v>31</v>
      </c>
      <c r="P18" s="4" t="s">
        <v>32</v>
      </c>
      <c r="Q18" s="4" t="s">
        <v>33</v>
      </c>
      <c r="R18" s="4" t="s">
        <v>70</v>
      </c>
      <c r="S18" s="4" t="s">
        <v>45</v>
      </c>
      <c r="T18" s="4" t="s">
        <v>29</v>
      </c>
      <c r="U18" s="4" t="s">
        <v>61</v>
      </c>
      <c r="V18" s="4" t="s">
        <v>55</v>
      </c>
      <c r="W18" s="4" t="s">
        <v>64</v>
      </c>
      <c r="X18" s="4" t="s">
        <v>56</v>
      </c>
      <c r="Y18" s="4" t="s">
        <v>57</v>
      </c>
      <c r="Z18">
        <v>28</v>
      </c>
    </row>
    <row r="19" spans="1:26">
      <c r="A19" s="4" t="s">
        <v>50</v>
      </c>
      <c r="B19">
        <v>27</v>
      </c>
      <c r="C19" s="4" t="s">
        <v>27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s="4" t="s">
        <v>27</v>
      </c>
      <c r="L19" s="4" t="s">
        <v>28</v>
      </c>
      <c r="M19" s="4" t="s">
        <v>29</v>
      </c>
      <c r="N19" s="4" t="s">
        <v>30</v>
      </c>
      <c r="O19" s="4" t="s">
        <v>31</v>
      </c>
      <c r="P19" s="4" t="s">
        <v>32</v>
      </c>
      <c r="Q19" s="4" t="s">
        <v>33</v>
      </c>
      <c r="R19" s="4" t="s">
        <v>34</v>
      </c>
      <c r="S19" s="4" t="s">
        <v>35</v>
      </c>
      <c r="T19" s="4" t="s">
        <v>29</v>
      </c>
      <c r="U19" s="4" t="s">
        <v>36</v>
      </c>
      <c r="V19" s="4" t="s">
        <v>55</v>
      </c>
      <c r="W19" s="4" t="s">
        <v>64</v>
      </c>
      <c r="X19" s="4" t="s">
        <v>48</v>
      </c>
      <c r="Y19" s="4" t="s">
        <v>57</v>
      </c>
      <c r="Z19">
        <v>28</v>
      </c>
    </row>
    <row r="20" spans="1:26">
      <c r="A20" s="4" t="s">
        <v>50</v>
      </c>
      <c r="B20">
        <v>29</v>
      </c>
      <c r="C20" s="4" t="s">
        <v>27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s="4" t="s">
        <v>27</v>
      </c>
      <c r="L20" s="4" t="s">
        <v>65</v>
      </c>
      <c r="M20" s="4" t="s">
        <v>29</v>
      </c>
      <c r="N20" s="4" t="s">
        <v>30</v>
      </c>
      <c r="O20" s="4" t="s">
        <v>31</v>
      </c>
      <c r="P20" s="4" t="s">
        <v>32</v>
      </c>
      <c r="Q20" s="4" t="s">
        <v>33</v>
      </c>
      <c r="R20" s="4" t="s">
        <v>34</v>
      </c>
      <c r="S20" s="4" t="s">
        <v>35</v>
      </c>
      <c r="T20" s="4" t="s">
        <v>29</v>
      </c>
      <c r="U20" s="4" t="s">
        <v>36</v>
      </c>
      <c r="V20" s="4" t="s">
        <v>55</v>
      </c>
      <c r="W20" s="4" t="s">
        <v>64</v>
      </c>
      <c r="X20" s="4" t="s">
        <v>39</v>
      </c>
      <c r="Y20" s="4" t="s">
        <v>57</v>
      </c>
      <c r="Z20">
        <v>28</v>
      </c>
    </row>
    <row r="21" spans="1:26">
      <c r="A21" s="4" t="s">
        <v>50</v>
      </c>
      <c r="B21">
        <v>26</v>
      </c>
      <c r="C21" s="4" t="s">
        <v>27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s="4" t="s">
        <v>27</v>
      </c>
      <c r="L21" s="4" t="s">
        <v>65</v>
      </c>
      <c r="M21" s="4" t="s">
        <v>29</v>
      </c>
      <c r="N21" s="4" t="s">
        <v>30</v>
      </c>
      <c r="O21" s="4" t="s">
        <v>51</v>
      </c>
      <c r="P21" s="4" t="s">
        <v>32</v>
      </c>
      <c r="Q21" s="4" t="s">
        <v>33</v>
      </c>
      <c r="R21" s="4" t="s">
        <v>70</v>
      </c>
      <c r="S21" s="4" t="s">
        <v>45</v>
      </c>
      <c r="T21" s="4" t="s">
        <v>29</v>
      </c>
      <c r="U21" s="4" t="s">
        <v>61</v>
      </c>
      <c r="V21" s="4" t="s">
        <v>55</v>
      </c>
      <c r="W21" s="4" t="s">
        <v>64</v>
      </c>
      <c r="X21" s="4" t="s">
        <v>39</v>
      </c>
      <c r="Y21" s="4" t="s">
        <v>57</v>
      </c>
      <c r="Z21">
        <v>28</v>
      </c>
    </row>
    <row r="22" spans="1:26">
      <c r="A22" s="4" t="s">
        <v>50</v>
      </c>
      <c r="B22">
        <v>29</v>
      </c>
      <c r="C22" s="4" t="s">
        <v>27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s="4" t="s">
        <v>27</v>
      </c>
      <c r="L22" s="4" t="s">
        <v>28</v>
      </c>
      <c r="M22" s="4" t="s">
        <v>68</v>
      </c>
      <c r="N22" s="4" t="s">
        <v>30</v>
      </c>
      <c r="O22" s="4" t="s">
        <v>51</v>
      </c>
      <c r="P22" s="4" t="s">
        <v>44</v>
      </c>
      <c r="Q22" s="4" t="s">
        <v>33</v>
      </c>
      <c r="R22" s="4" t="s">
        <v>34</v>
      </c>
      <c r="S22" s="4" t="s">
        <v>35</v>
      </c>
      <c r="T22" s="4" t="s">
        <v>29</v>
      </c>
      <c r="U22" s="4" t="s">
        <v>36</v>
      </c>
      <c r="V22" s="4" t="s">
        <v>55</v>
      </c>
      <c r="W22" s="4" t="s">
        <v>38</v>
      </c>
      <c r="X22" s="4" t="s">
        <v>48</v>
      </c>
      <c r="Y22" s="4" t="s">
        <v>57</v>
      </c>
      <c r="Z22">
        <v>28</v>
      </c>
    </row>
    <row r="23" spans="1:26">
      <c r="A23" s="4" t="s">
        <v>26</v>
      </c>
      <c r="B23">
        <v>24</v>
      </c>
      <c r="C23" s="4" t="s">
        <v>27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s="4" t="s">
        <v>27</v>
      </c>
      <c r="L23" s="4" t="s">
        <v>65</v>
      </c>
      <c r="M23" s="4" t="s">
        <v>29</v>
      </c>
      <c r="N23" s="4" t="s">
        <v>30</v>
      </c>
      <c r="O23" s="4" t="s">
        <v>51</v>
      </c>
      <c r="P23" s="4" t="s">
        <v>32</v>
      </c>
      <c r="Q23" s="4" t="s">
        <v>33</v>
      </c>
      <c r="R23" s="4" t="s">
        <v>53</v>
      </c>
      <c r="S23" s="4" t="s">
        <v>45</v>
      </c>
      <c r="T23" s="4" t="s">
        <v>29</v>
      </c>
      <c r="U23" s="4" t="s">
        <v>36</v>
      </c>
      <c r="V23" s="4" t="s">
        <v>55</v>
      </c>
      <c r="W23" s="4" t="s">
        <v>64</v>
      </c>
      <c r="X23" s="4" t="s">
        <v>39</v>
      </c>
      <c r="Y23" s="4" t="s">
        <v>49</v>
      </c>
      <c r="Z23">
        <v>28</v>
      </c>
    </row>
    <row r="24" spans="1:26">
      <c r="A24" s="4" t="s">
        <v>50</v>
      </c>
      <c r="B24">
        <v>27</v>
      </c>
      <c r="C24" s="4" t="s">
        <v>27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s="4" t="s">
        <v>27</v>
      </c>
      <c r="L24" s="4" t="s">
        <v>28</v>
      </c>
      <c r="M24" s="4" t="s">
        <v>29</v>
      </c>
      <c r="N24" s="4" t="s">
        <v>30</v>
      </c>
      <c r="O24" s="4" t="s">
        <v>51</v>
      </c>
      <c r="P24" s="4" t="s">
        <v>32</v>
      </c>
      <c r="Q24" s="4" t="s">
        <v>33</v>
      </c>
      <c r="R24" s="4" t="s">
        <v>34</v>
      </c>
      <c r="S24" s="4" t="s">
        <v>35</v>
      </c>
      <c r="T24" s="4" t="s">
        <v>29</v>
      </c>
      <c r="U24" s="4" t="s">
        <v>36</v>
      </c>
      <c r="V24" s="4" t="s">
        <v>55</v>
      </c>
      <c r="W24" s="4" t="s">
        <v>64</v>
      </c>
      <c r="X24" s="4" t="s">
        <v>48</v>
      </c>
      <c r="Y24" s="4" t="s">
        <v>57</v>
      </c>
      <c r="Z24">
        <v>28</v>
      </c>
    </row>
    <row r="25" spans="1:26">
      <c r="A25" s="4" t="s">
        <v>50</v>
      </c>
      <c r="B25">
        <v>25</v>
      </c>
      <c r="C25" s="4" t="s">
        <v>27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s="4" t="s">
        <v>27</v>
      </c>
      <c r="L25" s="4" t="s">
        <v>65</v>
      </c>
      <c r="M25" s="4" t="s">
        <v>68</v>
      </c>
      <c r="N25" s="4" t="s">
        <v>69</v>
      </c>
      <c r="O25" s="4" t="s">
        <v>51</v>
      </c>
      <c r="P25" s="4" t="s">
        <v>44</v>
      </c>
      <c r="Q25" s="4" t="s">
        <v>33</v>
      </c>
      <c r="R25" s="4" t="s">
        <v>72</v>
      </c>
      <c r="S25" s="4" t="s">
        <v>45</v>
      </c>
      <c r="T25" s="4" t="s">
        <v>67</v>
      </c>
      <c r="U25" s="4" t="s">
        <v>36</v>
      </c>
      <c r="V25" s="4" t="s">
        <v>55</v>
      </c>
      <c r="W25" s="4" t="s">
        <v>64</v>
      </c>
      <c r="X25" s="4" t="s">
        <v>48</v>
      </c>
      <c r="Y25" s="4" t="s">
        <v>49</v>
      </c>
      <c r="Z25">
        <v>28</v>
      </c>
    </row>
    <row r="26" spans="1:26">
      <c r="A26" s="4" t="s">
        <v>26</v>
      </c>
      <c r="B26">
        <v>26</v>
      </c>
      <c r="C26" s="4" t="s">
        <v>27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s="4" t="s">
        <v>27</v>
      </c>
      <c r="L26" s="4" t="s">
        <v>28</v>
      </c>
      <c r="M26" s="4" t="s">
        <v>29</v>
      </c>
      <c r="N26" s="4" t="s">
        <v>30</v>
      </c>
      <c r="O26" s="4" t="s">
        <v>51</v>
      </c>
      <c r="P26" s="4" t="s">
        <v>32</v>
      </c>
      <c r="Q26" s="4" t="s">
        <v>66</v>
      </c>
      <c r="R26" s="4" t="s">
        <v>72</v>
      </c>
      <c r="S26" s="4" t="s">
        <v>35</v>
      </c>
      <c r="T26" s="4" t="s">
        <v>29</v>
      </c>
      <c r="U26" s="4" t="s">
        <v>36</v>
      </c>
      <c r="V26" s="4" t="s">
        <v>55</v>
      </c>
      <c r="W26" s="4" t="s">
        <v>64</v>
      </c>
      <c r="X26" s="4" t="s">
        <v>39</v>
      </c>
      <c r="Y26" s="4" t="s">
        <v>57</v>
      </c>
      <c r="Z26">
        <v>28</v>
      </c>
    </row>
    <row r="27" spans="1:26">
      <c r="A27" s="4" t="s">
        <v>26</v>
      </c>
      <c r="B27">
        <v>32</v>
      </c>
      <c r="C27" s="4" t="s">
        <v>27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s="4" t="s">
        <v>27</v>
      </c>
      <c r="L27" s="4" t="s">
        <v>65</v>
      </c>
      <c r="M27" s="4" t="s">
        <v>68</v>
      </c>
      <c r="N27" s="4" t="s">
        <v>30</v>
      </c>
      <c r="O27" s="4" t="s">
        <v>51</v>
      </c>
      <c r="P27" s="4" t="s">
        <v>32</v>
      </c>
      <c r="Q27" s="4" t="s">
        <v>33</v>
      </c>
      <c r="R27" s="4" t="s">
        <v>34</v>
      </c>
      <c r="S27" s="4" t="s">
        <v>35</v>
      </c>
      <c r="T27" s="4" t="s">
        <v>29</v>
      </c>
      <c r="U27" s="4" t="s">
        <v>36</v>
      </c>
      <c r="V27" s="4" t="s">
        <v>55</v>
      </c>
      <c r="W27" s="4" t="s">
        <v>38</v>
      </c>
      <c r="X27" s="4" t="s">
        <v>48</v>
      </c>
      <c r="Y27" s="4" t="s">
        <v>40</v>
      </c>
      <c r="Z27">
        <v>28</v>
      </c>
    </row>
    <row r="28" spans="1:26">
      <c r="A28" s="4" t="s">
        <v>50</v>
      </c>
      <c r="B28">
        <v>26</v>
      </c>
      <c r="C28" s="4" t="s">
        <v>27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s="4" t="s">
        <v>27</v>
      </c>
      <c r="L28" s="4" t="s">
        <v>28</v>
      </c>
      <c r="M28" s="4" t="s">
        <v>29</v>
      </c>
      <c r="N28" s="4" t="s">
        <v>30</v>
      </c>
      <c r="O28" s="4" t="s">
        <v>51</v>
      </c>
      <c r="P28" s="4" t="s">
        <v>32</v>
      </c>
      <c r="Q28" s="4" t="s">
        <v>33</v>
      </c>
      <c r="R28" s="4" t="s">
        <v>34</v>
      </c>
      <c r="S28" s="4" t="s">
        <v>35</v>
      </c>
      <c r="T28" s="4" t="s">
        <v>46</v>
      </c>
      <c r="U28" s="4" t="s">
        <v>61</v>
      </c>
      <c r="V28" s="4" t="s">
        <v>55</v>
      </c>
      <c r="W28" s="4" t="s">
        <v>38</v>
      </c>
      <c r="X28" s="4" t="s">
        <v>48</v>
      </c>
      <c r="Y28" s="4" t="s">
        <v>57</v>
      </c>
      <c r="Z28">
        <v>28</v>
      </c>
    </row>
    <row r="29" spans="1:26">
      <c r="A29" s="4" t="s">
        <v>50</v>
      </c>
      <c r="B29">
        <v>31</v>
      </c>
      <c r="C29" s="4" t="s">
        <v>27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s="4" t="s">
        <v>27</v>
      </c>
      <c r="L29" s="4" t="s">
        <v>65</v>
      </c>
      <c r="M29" s="4" t="s">
        <v>68</v>
      </c>
      <c r="N29" s="4" t="s">
        <v>69</v>
      </c>
      <c r="O29" s="4" t="s">
        <v>31</v>
      </c>
      <c r="P29" s="4" t="s">
        <v>32</v>
      </c>
      <c r="Q29" s="4" t="s">
        <v>33</v>
      </c>
      <c r="R29" s="4" t="s">
        <v>70</v>
      </c>
      <c r="S29" s="4" t="s">
        <v>45</v>
      </c>
      <c r="T29" s="4" t="s">
        <v>29</v>
      </c>
      <c r="U29" s="4" t="s">
        <v>61</v>
      </c>
      <c r="V29" s="4" t="s">
        <v>37</v>
      </c>
      <c r="W29" s="4" t="s">
        <v>38</v>
      </c>
      <c r="X29" s="4" t="s">
        <v>56</v>
      </c>
      <c r="Y29" s="4" t="s">
        <v>40</v>
      </c>
      <c r="Z29">
        <v>28</v>
      </c>
    </row>
    <row r="30" spans="1:26">
      <c r="A30" s="4" t="s">
        <v>50</v>
      </c>
      <c r="B30">
        <v>29</v>
      </c>
      <c r="C30" s="4" t="s">
        <v>27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s="4" t="s">
        <v>27</v>
      </c>
      <c r="L30" s="4" t="s">
        <v>28</v>
      </c>
      <c r="M30" s="4" t="s">
        <v>29</v>
      </c>
      <c r="N30" s="4" t="s">
        <v>30</v>
      </c>
      <c r="O30" s="4" t="s">
        <v>31</v>
      </c>
      <c r="P30" s="4" t="s">
        <v>32</v>
      </c>
      <c r="Q30" s="4" t="s">
        <v>33</v>
      </c>
      <c r="R30" s="4" t="s">
        <v>53</v>
      </c>
      <c r="S30" s="4" t="s">
        <v>35</v>
      </c>
      <c r="T30" s="4" t="s">
        <v>29</v>
      </c>
      <c r="U30" s="4" t="s">
        <v>36</v>
      </c>
      <c r="V30" s="4" t="s">
        <v>55</v>
      </c>
      <c r="W30" s="4" t="s">
        <v>64</v>
      </c>
      <c r="X30" s="4" t="s">
        <v>56</v>
      </c>
      <c r="Y30" s="4" t="s">
        <v>57</v>
      </c>
      <c r="Z30">
        <v>28</v>
      </c>
    </row>
    <row r="31" spans="1:26">
      <c r="A31" s="4" t="s">
        <v>26</v>
      </c>
      <c r="B31">
        <v>34</v>
      </c>
      <c r="C31" s="4" t="s">
        <v>27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s="4" t="s">
        <v>27</v>
      </c>
      <c r="L31" s="4" t="s">
        <v>28</v>
      </c>
      <c r="M31" s="4" t="s">
        <v>58</v>
      </c>
      <c r="N31" s="4" t="s">
        <v>28</v>
      </c>
      <c r="O31" s="4" t="s">
        <v>51</v>
      </c>
      <c r="P31" s="4" t="s">
        <v>32</v>
      </c>
      <c r="Q31" s="4" t="s">
        <v>60</v>
      </c>
      <c r="R31" s="4" t="s">
        <v>34</v>
      </c>
      <c r="S31" s="4" t="s">
        <v>35</v>
      </c>
      <c r="T31" s="4" t="s">
        <v>29</v>
      </c>
      <c r="U31" s="4" t="s">
        <v>54</v>
      </c>
      <c r="V31" s="4" t="s">
        <v>37</v>
      </c>
      <c r="W31" s="4" t="s">
        <v>38</v>
      </c>
      <c r="X31" s="4" t="s">
        <v>39</v>
      </c>
      <c r="Y31" s="4" t="s">
        <v>40</v>
      </c>
      <c r="Z31">
        <v>28</v>
      </c>
    </row>
    <row r="32" spans="1:26">
      <c r="A32" s="4" t="s">
        <v>50</v>
      </c>
      <c r="B32">
        <v>27</v>
      </c>
      <c r="C32" s="4" t="s">
        <v>27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s="4" t="s">
        <v>41</v>
      </c>
      <c r="L32" s="4" t="s">
        <v>28</v>
      </c>
      <c r="M32" s="4" t="s">
        <v>68</v>
      </c>
      <c r="N32" s="4" t="s">
        <v>30</v>
      </c>
      <c r="O32" s="4" t="s">
        <v>31</v>
      </c>
      <c r="P32" s="4" t="s">
        <v>32</v>
      </c>
      <c r="Q32" s="4" t="s">
        <v>60</v>
      </c>
      <c r="R32" s="4" t="s">
        <v>34</v>
      </c>
      <c r="S32" s="4" t="s">
        <v>71</v>
      </c>
      <c r="T32" s="4" t="s">
        <v>29</v>
      </c>
      <c r="U32" s="4" t="s">
        <v>54</v>
      </c>
      <c r="V32" s="4" t="s">
        <v>37</v>
      </c>
      <c r="W32" s="4" t="s">
        <v>38</v>
      </c>
      <c r="X32" s="4" t="s">
        <v>56</v>
      </c>
      <c r="Y32" s="4" t="s">
        <v>57</v>
      </c>
      <c r="Z32">
        <v>28</v>
      </c>
    </row>
    <row r="33" spans="1:26">
      <c r="A33" s="4" t="s">
        <v>26</v>
      </c>
      <c r="B33">
        <v>31</v>
      </c>
      <c r="C33" s="4" t="s">
        <v>27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s="4" t="s">
        <v>27</v>
      </c>
      <c r="L33" s="4" t="s">
        <v>28</v>
      </c>
      <c r="M33" s="4" t="s">
        <v>29</v>
      </c>
      <c r="N33" s="4" t="s">
        <v>30</v>
      </c>
      <c r="O33" s="4" t="s">
        <v>51</v>
      </c>
      <c r="P33" s="4" t="s">
        <v>32</v>
      </c>
      <c r="Q33" s="4" t="s">
        <v>33</v>
      </c>
      <c r="R33" s="4" t="s">
        <v>70</v>
      </c>
      <c r="S33" s="4" t="s">
        <v>35</v>
      </c>
      <c r="T33" s="4" t="s">
        <v>29</v>
      </c>
      <c r="U33" s="4" t="s">
        <v>36</v>
      </c>
      <c r="V33" s="4" t="s">
        <v>55</v>
      </c>
      <c r="W33" s="4" t="s">
        <v>38</v>
      </c>
      <c r="X33" s="4" t="s">
        <v>48</v>
      </c>
      <c r="Y33" s="4" t="s">
        <v>40</v>
      </c>
      <c r="Z33">
        <v>28</v>
      </c>
    </row>
    <row r="34" spans="1:26">
      <c r="A34" s="4" t="s">
        <v>50</v>
      </c>
      <c r="B34">
        <v>27</v>
      </c>
      <c r="C34" s="4" t="s">
        <v>27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s="4" t="s">
        <v>27</v>
      </c>
      <c r="L34" s="4" t="s">
        <v>28</v>
      </c>
      <c r="M34" s="4" t="s">
        <v>29</v>
      </c>
      <c r="N34" s="4" t="s">
        <v>30</v>
      </c>
      <c r="O34" s="4" t="s">
        <v>51</v>
      </c>
      <c r="P34" s="4" t="s">
        <v>32</v>
      </c>
      <c r="Q34" s="4" t="s">
        <v>66</v>
      </c>
      <c r="R34" s="4" t="s">
        <v>53</v>
      </c>
      <c r="S34" s="4" t="s">
        <v>45</v>
      </c>
      <c r="T34" s="4" t="s">
        <v>29</v>
      </c>
      <c r="U34" s="4" t="s">
        <v>61</v>
      </c>
      <c r="V34" s="4" t="s">
        <v>55</v>
      </c>
      <c r="W34" s="4" t="s">
        <v>38</v>
      </c>
      <c r="X34" s="4" t="s">
        <v>39</v>
      </c>
      <c r="Y34" s="4" t="s">
        <v>57</v>
      </c>
      <c r="Z34">
        <v>28</v>
      </c>
    </row>
    <row r="35" spans="1:26">
      <c r="A35" s="4" t="s">
        <v>50</v>
      </c>
      <c r="B35">
        <v>26</v>
      </c>
      <c r="C35" s="4" t="s">
        <v>27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s="4" t="s">
        <v>27</v>
      </c>
      <c r="L35" s="4" t="s">
        <v>28</v>
      </c>
      <c r="M35" s="4" t="s">
        <v>29</v>
      </c>
      <c r="N35" s="4" t="s">
        <v>28</v>
      </c>
      <c r="O35" s="4" t="s">
        <v>31</v>
      </c>
      <c r="P35" s="4" t="s">
        <v>32</v>
      </c>
      <c r="Q35" s="4" t="s">
        <v>33</v>
      </c>
      <c r="R35" s="4" t="s">
        <v>70</v>
      </c>
      <c r="S35" s="4" t="s">
        <v>71</v>
      </c>
      <c r="T35" s="4" t="s">
        <v>46</v>
      </c>
      <c r="U35" s="4" t="s">
        <v>36</v>
      </c>
      <c r="V35" s="4" t="s">
        <v>37</v>
      </c>
      <c r="W35" s="4" t="s">
        <v>64</v>
      </c>
      <c r="X35" s="4" t="s">
        <v>39</v>
      </c>
      <c r="Y35" s="4" t="s">
        <v>57</v>
      </c>
      <c r="Z35">
        <v>28</v>
      </c>
    </row>
    <row r="36" spans="1:26">
      <c r="A36" s="4" t="s">
        <v>50</v>
      </c>
      <c r="B36">
        <v>27</v>
      </c>
      <c r="C36" s="4" t="s">
        <v>27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s="4" t="s">
        <v>27</v>
      </c>
      <c r="L36" s="4" t="s">
        <v>28</v>
      </c>
      <c r="M36" s="4" t="s">
        <v>29</v>
      </c>
      <c r="N36" s="4" t="s">
        <v>30</v>
      </c>
      <c r="O36" s="4" t="s">
        <v>31</v>
      </c>
      <c r="P36" s="4" t="s">
        <v>44</v>
      </c>
      <c r="Q36" s="4" t="s">
        <v>33</v>
      </c>
      <c r="R36" s="4" t="s">
        <v>34</v>
      </c>
      <c r="S36" s="4" t="s">
        <v>45</v>
      </c>
      <c r="T36" s="4" t="s">
        <v>29</v>
      </c>
      <c r="U36" s="4" t="s">
        <v>36</v>
      </c>
      <c r="V36" s="4" t="s">
        <v>37</v>
      </c>
      <c r="W36" s="4" t="s">
        <v>38</v>
      </c>
      <c r="X36" s="4" t="s">
        <v>48</v>
      </c>
      <c r="Y36" s="4" t="s">
        <v>57</v>
      </c>
      <c r="Z36">
        <v>28</v>
      </c>
    </row>
    <row r="37" spans="1:26">
      <c r="A37" s="4" t="s">
        <v>50</v>
      </c>
      <c r="B37">
        <v>30</v>
      </c>
      <c r="C37" s="4" t="s">
        <v>27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s="4" t="s">
        <v>27</v>
      </c>
      <c r="L37" s="4" t="s">
        <v>65</v>
      </c>
      <c r="M37" s="4" t="s">
        <v>68</v>
      </c>
      <c r="N37" s="4" t="s">
        <v>30</v>
      </c>
      <c r="O37" s="4" t="s">
        <v>51</v>
      </c>
      <c r="P37" s="4" t="s">
        <v>32</v>
      </c>
      <c r="Q37" s="4" t="s">
        <v>33</v>
      </c>
      <c r="R37" s="4" t="s">
        <v>70</v>
      </c>
      <c r="S37" s="4" t="s">
        <v>45</v>
      </c>
      <c r="T37" s="4" t="s">
        <v>29</v>
      </c>
      <c r="U37" s="4" t="s">
        <v>36</v>
      </c>
      <c r="V37" s="4" t="s">
        <v>55</v>
      </c>
      <c r="W37" s="4" t="s">
        <v>38</v>
      </c>
      <c r="X37" s="4" t="s">
        <v>48</v>
      </c>
      <c r="Y37" s="4" t="s">
        <v>57</v>
      </c>
      <c r="Z37">
        <v>28</v>
      </c>
    </row>
    <row r="38" spans="1:26">
      <c r="A38" s="4" t="s">
        <v>50</v>
      </c>
      <c r="B38">
        <v>30</v>
      </c>
      <c r="C38" s="4" t="s">
        <v>27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s="4" t="s">
        <v>27</v>
      </c>
      <c r="L38" s="4" t="s">
        <v>28</v>
      </c>
      <c r="M38" s="4" t="s">
        <v>29</v>
      </c>
      <c r="N38" s="4" t="s">
        <v>30</v>
      </c>
      <c r="O38" s="4" t="s">
        <v>31</v>
      </c>
      <c r="P38" s="4" t="s">
        <v>32</v>
      </c>
      <c r="Q38" s="4" t="s">
        <v>33</v>
      </c>
      <c r="R38" s="4" t="s">
        <v>53</v>
      </c>
      <c r="S38" s="4" t="s">
        <v>35</v>
      </c>
      <c r="T38" s="4" t="s">
        <v>29</v>
      </c>
      <c r="U38" s="4" t="s">
        <v>36</v>
      </c>
      <c r="V38" s="4" t="s">
        <v>55</v>
      </c>
      <c r="W38" s="4" t="s">
        <v>64</v>
      </c>
      <c r="X38" s="4" t="s">
        <v>39</v>
      </c>
      <c r="Y38" s="4" t="s">
        <v>57</v>
      </c>
      <c r="Z38">
        <v>28</v>
      </c>
    </row>
    <row r="39" spans="1:26">
      <c r="A39" s="4" t="s">
        <v>50</v>
      </c>
      <c r="B39">
        <v>25</v>
      </c>
      <c r="C39" s="4" t="s">
        <v>27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s="4" t="s">
        <v>27</v>
      </c>
      <c r="L39" s="4" t="s">
        <v>65</v>
      </c>
      <c r="M39" s="4" t="s">
        <v>68</v>
      </c>
      <c r="N39" s="4" t="s">
        <v>69</v>
      </c>
      <c r="O39" s="4" t="s">
        <v>51</v>
      </c>
      <c r="P39" s="4" t="s">
        <v>32</v>
      </c>
      <c r="Q39" s="4" t="s">
        <v>66</v>
      </c>
      <c r="R39" s="4" t="s">
        <v>72</v>
      </c>
      <c r="S39" s="4" t="s">
        <v>45</v>
      </c>
      <c r="T39" s="4" t="s">
        <v>29</v>
      </c>
      <c r="U39" s="4" t="s">
        <v>36</v>
      </c>
      <c r="V39" s="4" t="s">
        <v>37</v>
      </c>
      <c r="W39" s="4" t="s">
        <v>38</v>
      </c>
      <c r="X39" s="4" t="s">
        <v>48</v>
      </c>
      <c r="Y39" s="4" t="s">
        <v>49</v>
      </c>
      <c r="Z39">
        <v>28</v>
      </c>
    </row>
    <row r="40" spans="1:26">
      <c r="A40" s="4" t="s">
        <v>50</v>
      </c>
      <c r="B40">
        <v>31</v>
      </c>
      <c r="C40" s="4" t="s">
        <v>27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s="4" t="s">
        <v>27</v>
      </c>
      <c r="L40" s="4" t="s">
        <v>65</v>
      </c>
      <c r="M40" s="4" t="s">
        <v>68</v>
      </c>
      <c r="N40" s="4" t="s">
        <v>30</v>
      </c>
      <c r="O40" s="4" t="s">
        <v>31</v>
      </c>
      <c r="P40" s="4" t="s">
        <v>44</v>
      </c>
      <c r="Q40" s="4" t="s">
        <v>33</v>
      </c>
      <c r="R40" s="4" t="s">
        <v>53</v>
      </c>
      <c r="S40" s="4" t="s">
        <v>45</v>
      </c>
      <c r="T40" s="4" t="s">
        <v>46</v>
      </c>
      <c r="U40" s="4" t="s">
        <v>61</v>
      </c>
      <c r="V40" s="4" t="s">
        <v>55</v>
      </c>
      <c r="W40" s="4" t="s">
        <v>38</v>
      </c>
      <c r="X40" s="4" t="s">
        <v>39</v>
      </c>
      <c r="Y40" s="4" t="s">
        <v>40</v>
      </c>
      <c r="Z40">
        <v>28</v>
      </c>
    </row>
    <row r="41" spans="1:26">
      <c r="A41" s="4" t="s">
        <v>50</v>
      </c>
      <c r="B41">
        <v>29</v>
      </c>
      <c r="C41" s="4" t="s">
        <v>27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s="4" t="s">
        <v>27</v>
      </c>
      <c r="L41" s="4" t="s">
        <v>28</v>
      </c>
      <c r="M41" s="4" t="s">
        <v>29</v>
      </c>
      <c r="N41" s="4" t="s">
        <v>30</v>
      </c>
      <c r="O41" s="4" t="s">
        <v>51</v>
      </c>
      <c r="P41" s="4" t="s">
        <v>32</v>
      </c>
      <c r="Q41" s="4" t="s">
        <v>33</v>
      </c>
      <c r="R41" s="4" t="s">
        <v>70</v>
      </c>
      <c r="S41" s="4" t="s">
        <v>35</v>
      </c>
      <c r="T41" s="4" t="s">
        <v>46</v>
      </c>
      <c r="U41" s="4" t="s">
        <v>36</v>
      </c>
      <c r="V41" s="4" t="s">
        <v>37</v>
      </c>
      <c r="W41" s="4" t="s">
        <v>38</v>
      </c>
      <c r="X41" s="4" t="s">
        <v>48</v>
      </c>
      <c r="Y41" s="4" t="s">
        <v>57</v>
      </c>
      <c r="Z41">
        <v>28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0"/>
  <sheetViews>
    <sheetView topLeftCell="E1" workbookViewId="0">
      <selection activeCell="J13" sqref="J13"/>
    </sheetView>
  </sheetViews>
  <sheetFormatPr defaultColWidth="9" defaultRowHeight="17.25"/>
  <cols>
    <col min="1" max="1" width="12.75" customWidth="1"/>
    <col min="2" max="2" width="15.375" customWidth="1"/>
    <col min="3" max="3" width="18.875" customWidth="1"/>
    <col min="4" max="5" width="12.75" customWidth="1"/>
    <col min="6" max="6" width="5.625" customWidth="1"/>
    <col min="7" max="7" width="5" customWidth="1"/>
    <col min="8" max="8" width="14.25" customWidth="1"/>
    <col min="9" max="9" width="14" customWidth="1"/>
    <col min="10" max="10" width="11.625" customWidth="1"/>
    <col min="11" max="11" width="18.75" customWidth="1"/>
  </cols>
  <sheetData>
    <row r="1" spans="4:11"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4:11">
      <c r="D2" s="1" t="s">
        <v>26</v>
      </c>
      <c r="E2" s="2">
        <v>2.73333333333333</v>
      </c>
      <c r="F2" s="3">
        <v>5.86666666666667</v>
      </c>
      <c r="G2" s="2">
        <v>2.33333333333333</v>
      </c>
      <c r="H2" s="4">
        <v>4.2</v>
      </c>
      <c r="I2" s="3">
        <v>3.33333333333333</v>
      </c>
      <c r="J2" s="3">
        <v>5.2</v>
      </c>
      <c r="K2" s="3">
        <v>4.33333333333333</v>
      </c>
    </row>
    <row r="3" spans="4:11">
      <c r="D3" s="1" t="s">
        <v>50</v>
      </c>
      <c r="E3" s="2">
        <v>2.44</v>
      </c>
      <c r="F3" s="3">
        <v>6.04</v>
      </c>
      <c r="G3" s="2">
        <v>1.84</v>
      </c>
      <c r="H3" s="4">
        <v>3.2</v>
      </c>
      <c r="I3" s="3">
        <v>3.56</v>
      </c>
      <c r="J3" s="3">
        <v>6.08</v>
      </c>
      <c r="K3" s="3">
        <v>4.84</v>
      </c>
    </row>
    <row r="4" spans="4:11">
      <c r="D4" s="1" t="s">
        <v>81</v>
      </c>
      <c r="E4" s="2">
        <v>2.55</v>
      </c>
      <c r="F4" s="3">
        <v>5.975</v>
      </c>
      <c r="G4" s="2">
        <v>2.025</v>
      </c>
      <c r="H4" s="3">
        <v>3.575</v>
      </c>
      <c r="I4" s="3">
        <v>3.475</v>
      </c>
      <c r="J4" s="3">
        <v>5.75</v>
      </c>
      <c r="K4" s="3">
        <v>4.65</v>
      </c>
    </row>
    <row r="23" spans="4:9">
      <c r="D23" t="s">
        <v>82</v>
      </c>
      <c r="E23" t="s">
        <v>83</v>
      </c>
    </row>
    <row r="24" spans="4:9">
      <c r="D24" t="s">
        <v>73</v>
      </c>
      <c r="E24" t="s">
        <v>53</v>
      </c>
      <c r="F24" t="s">
        <v>70</v>
      </c>
      <c r="G24" t="s">
        <v>34</v>
      </c>
      <c r="H24" t="s">
        <v>72</v>
      </c>
      <c r="I24" t="s">
        <v>81</v>
      </c>
    </row>
    <row r="25" spans="4:9">
      <c r="D25" s="1" t="s">
        <v>49</v>
      </c>
      <c r="E25" s="4">
        <v>3</v>
      </c>
      <c r="F25" s="4">
        <v>1</v>
      </c>
      <c r="G25" s="4">
        <v>4</v>
      </c>
      <c r="H25" s="4">
        <v>2</v>
      </c>
      <c r="I25" s="4">
        <v>10</v>
      </c>
    </row>
    <row r="26" spans="4:9">
      <c r="D26" s="1" t="s">
        <v>57</v>
      </c>
      <c r="E26" s="4">
        <v>5</v>
      </c>
      <c r="F26" s="4">
        <v>5</v>
      </c>
      <c r="G26" s="4">
        <v>10</v>
      </c>
      <c r="H26" s="4">
        <v>1</v>
      </c>
      <c r="I26" s="4">
        <v>21</v>
      </c>
    </row>
    <row r="27" spans="4:9">
      <c r="D27" s="1" t="s">
        <v>40</v>
      </c>
      <c r="E27" s="4">
        <v>2</v>
      </c>
      <c r="F27" s="4">
        <v>3</v>
      </c>
      <c r="G27" s="4">
        <v>4</v>
      </c>
      <c r="H27" s="4"/>
      <c r="I27" s="4">
        <v>9</v>
      </c>
    </row>
    <row r="28" spans="4:9">
      <c r="D28" s="1" t="s">
        <v>81</v>
      </c>
      <c r="E28" s="4">
        <v>10</v>
      </c>
      <c r="F28" s="4">
        <v>9</v>
      </c>
      <c r="G28" s="4">
        <v>18</v>
      </c>
      <c r="H28" s="4">
        <v>3</v>
      </c>
      <c r="I28" s="4">
        <v>40</v>
      </c>
    </row>
    <row r="42" spans="1:8">
      <c r="A42" s="5"/>
      <c r="B42" s="6"/>
      <c r="C42" s="7"/>
    </row>
    <row r="43" spans="1:8">
      <c r="A43" s="8"/>
      <c r="B43" s="9"/>
      <c r="C43" s="10"/>
      <c r="D43" t="s">
        <v>84</v>
      </c>
      <c r="E43" t="s">
        <v>83</v>
      </c>
    </row>
    <row r="44" spans="1:8">
      <c r="A44" s="8"/>
      <c r="B44" s="9"/>
      <c r="C44" s="10"/>
      <c r="D44" t="s">
        <v>73</v>
      </c>
      <c r="E44" t="s">
        <v>42</v>
      </c>
      <c r="F44" t="s">
        <v>28</v>
      </c>
      <c r="G44" t="s">
        <v>65</v>
      </c>
      <c r="H44" t="s">
        <v>81</v>
      </c>
    </row>
    <row r="45" spans="1:8">
      <c r="A45" s="8"/>
      <c r="B45" s="9"/>
      <c r="C45" s="10"/>
      <c r="D45" s="1" t="s">
        <v>49</v>
      </c>
      <c r="E45" s="4">
        <v>1</v>
      </c>
      <c r="F45" s="4">
        <v>4</v>
      </c>
      <c r="G45" s="4">
        <v>5</v>
      </c>
      <c r="H45" s="4">
        <v>10</v>
      </c>
    </row>
    <row r="46" spans="1:8">
      <c r="A46" s="8"/>
      <c r="B46" s="9"/>
      <c r="C46" s="10"/>
      <c r="D46" s="1" t="s">
        <v>57</v>
      </c>
      <c r="E46" s="4"/>
      <c r="F46" s="4">
        <v>16</v>
      </c>
      <c r="G46" s="4">
        <v>5</v>
      </c>
      <c r="H46" s="4">
        <v>21</v>
      </c>
    </row>
    <row r="47" spans="1:8">
      <c r="A47" s="8"/>
      <c r="B47" s="9"/>
      <c r="C47" s="10"/>
      <c r="D47" s="1" t="s">
        <v>40</v>
      </c>
      <c r="E47" s="4"/>
      <c r="F47" s="4">
        <v>5</v>
      </c>
      <c r="G47" s="4">
        <v>4</v>
      </c>
      <c r="H47" s="4">
        <v>9</v>
      </c>
    </row>
    <row r="48" spans="1:8">
      <c r="A48" s="8"/>
      <c r="B48" s="9"/>
      <c r="C48" s="10"/>
      <c r="D48" s="1" t="s">
        <v>81</v>
      </c>
      <c r="E48" s="4">
        <v>1</v>
      </c>
      <c r="F48" s="4">
        <v>25</v>
      </c>
      <c r="G48" s="4">
        <v>14</v>
      </c>
      <c r="H48" s="4">
        <v>40</v>
      </c>
    </row>
    <row r="49" spans="1:3">
      <c r="A49" s="8"/>
      <c r="B49" s="9"/>
      <c r="C49" s="10"/>
    </row>
    <row r="50" spans="1:3">
      <c r="A50" s="8"/>
      <c r="B50" s="9"/>
      <c r="C50" s="10"/>
    </row>
    <row r="51" spans="1:3">
      <c r="A51" s="8"/>
      <c r="B51" s="9"/>
      <c r="C51" s="10"/>
    </row>
    <row r="52" spans="1:3">
      <c r="A52" s="8"/>
      <c r="B52" s="9"/>
      <c r="C52" s="10"/>
    </row>
    <row r="53" spans="1:3">
      <c r="A53" s="8"/>
      <c r="B53" s="9"/>
      <c r="C53" s="10"/>
    </row>
    <row r="54" spans="1:3">
      <c r="A54" s="8"/>
      <c r="B54" s="9"/>
      <c r="C54" s="10"/>
    </row>
    <row r="55" spans="1:3">
      <c r="A55" s="8"/>
      <c r="B55" s="9"/>
      <c r="C55" s="10"/>
    </row>
    <row r="56" spans="1:3">
      <c r="A56" s="8"/>
      <c r="B56" s="9"/>
      <c r="C56" s="10"/>
    </row>
    <row r="57" spans="1:3">
      <c r="A57" s="8"/>
      <c r="B57" s="9"/>
      <c r="C57" s="10"/>
    </row>
    <row r="58" spans="1:3">
      <c r="A58" s="8"/>
      <c r="B58" s="9"/>
      <c r="C58" s="10"/>
    </row>
    <row r="59" spans="1:3">
      <c r="A59" s="11"/>
      <c r="B59" s="12"/>
      <c r="C59" s="13"/>
    </row>
    <row r="64" spans="1:3">
      <c r="A64" t="s">
        <v>85</v>
      </c>
      <c r="B64" t="s">
        <v>83</v>
      </c>
    </row>
    <row r="65" spans="1:5">
      <c r="A65" t="s">
        <v>73</v>
      </c>
      <c r="B65" t="s">
        <v>71</v>
      </c>
      <c r="C65" t="s">
        <v>45</v>
      </c>
      <c r="D65" t="s">
        <v>35</v>
      </c>
      <c r="E65" t="s">
        <v>81</v>
      </c>
    </row>
    <row r="66" spans="1:5">
      <c r="A66" s="1" t="s">
        <v>43</v>
      </c>
      <c r="B66" s="4"/>
      <c r="C66" s="4">
        <v>1</v>
      </c>
      <c r="D66" s="4"/>
      <c r="E66" s="4">
        <v>1</v>
      </c>
    </row>
    <row r="67" spans="1:5">
      <c r="A67" s="1" t="s">
        <v>59</v>
      </c>
      <c r="B67" s="4"/>
      <c r="C67" s="4"/>
      <c r="D67" s="4">
        <v>2</v>
      </c>
      <c r="E67" s="4">
        <v>2</v>
      </c>
    </row>
    <row r="68" spans="1:5">
      <c r="A68" s="1" t="s">
        <v>31</v>
      </c>
      <c r="B68" s="4">
        <v>3</v>
      </c>
      <c r="C68" s="4">
        <v>6</v>
      </c>
      <c r="D68" s="4">
        <v>9</v>
      </c>
      <c r="E68" s="4">
        <v>18</v>
      </c>
    </row>
    <row r="69" spans="1:5">
      <c r="A69" s="1" t="s">
        <v>51</v>
      </c>
      <c r="B69" s="4"/>
      <c r="C69" s="4">
        <v>6</v>
      </c>
      <c r="D69" s="4">
        <v>13</v>
      </c>
      <c r="E69" s="4">
        <v>19</v>
      </c>
    </row>
    <row r="70" spans="1:5">
      <c r="A70" s="1" t="s">
        <v>81</v>
      </c>
      <c r="B70" s="4">
        <v>3</v>
      </c>
      <c r="C70" s="4">
        <v>13</v>
      </c>
      <c r="D70" s="4">
        <v>24</v>
      </c>
      <c r="E70" s="4">
        <v>40</v>
      </c>
    </row>
    <row r="82" spans="1:5">
      <c r="A82" t="s">
        <v>86</v>
      </c>
      <c r="B82" t="s">
        <v>83</v>
      </c>
    </row>
    <row r="83" spans="1:5">
      <c r="A83" t="s">
        <v>73</v>
      </c>
      <c r="B83" t="s">
        <v>36</v>
      </c>
      <c r="C83" t="s">
        <v>61</v>
      </c>
      <c r="D83" t="s">
        <v>54</v>
      </c>
      <c r="E83" t="s">
        <v>81</v>
      </c>
    </row>
    <row r="84" spans="1:5">
      <c r="A84" s="1" t="s">
        <v>60</v>
      </c>
      <c r="B84" s="4"/>
      <c r="C84" s="4">
        <v>1</v>
      </c>
      <c r="D84" s="4">
        <v>2</v>
      </c>
      <c r="E84" s="4">
        <v>3</v>
      </c>
    </row>
    <row r="85" spans="1:5">
      <c r="A85" s="1" t="s">
        <v>33</v>
      </c>
      <c r="B85" s="4">
        <v>22</v>
      </c>
      <c r="C85" s="4">
        <v>9</v>
      </c>
      <c r="D85" s="4">
        <v>1</v>
      </c>
      <c r="E85" s="4">
        <v>32</v>
      </c>
    </row>
    <row r="86" spans="1:5">
      <c r="A86" s="1" t="s">
        <v>66</v>
      </c>
      <c r="B86" s="4">
        <v>2</v>
      </c>
      <c r="C86" s="4">
        <v>3</v>
      </c>
      <c r="D86" s="4"/>
      <c r="E86" s="4">
        <v>5</v>
      </c>
    </row>
    <row r="87" spans="1:5">
      <c r="A87" s="1" t="s">
        <v>81</v>
      </c>
      <c r="B87" s="4">
        <v>24</v>
      </c>
      <c r="C87" s="4">
        <v>13</v>
      </c>
      <c r="D87" s="4">
        <v>3</v>
      </c>
      <c r="E87" s="4">
        <v>40</v>
      </c>
    </row>
    <row r="98" spans="1:10">
      <c r="B98" t="s">
        <v>87</v>
      </c>
      <c r="C98" t="s">
        <v>88</v>
      </c>
      <c r="E98" t="s">
        <v>89</v>
      </c>
      <c r="H98" t="s">
        <v>90</v>
      </c>
      <c r="J98" t="s">
        <v>91</v>
      </c>
    </row>
    <row r="99" spans="1:10">
      <c r="B99">
        <f>COUNTIF(Investment_preference_data[gender],"Male")</f>
        <v>25</v>
      </c>
      <c r="C99">
        <f>COUNTIF(Investment_preference_data[gender],"Female")</f>
        <v>15</v>
      </c>
      <c r="E99" t="str" cm="1">
        <f t="array" ref="E99">INDEX(Investment_preference_data[Avenue],MATCH(MAX(COUNTIF(Investment_preference_data[Avenue],Investment_preference_data[Avenue])),COUNTIF(Investment_preference_data[Avenue],Investment_preference_data[Avenue]),0))</f>
        <v>Mutual Fund</v>
      </c>
      <c r="H99">
        <f ca="1" t="array" ref="H99">AVERAGEIF(Investment_preference_data[Age Group],"21-25 Early Adulthood",Investment_preference_data[Total_Investment_score])</f>
        <v>28</v>
      </c>
      <c r="J99" t="str" cm="1">
        <f t="array" ref="J99">INDEX(Investment_preference_data[Source],MATCH(MAX(COUNTIF(Investment_preference_data[Source],Investment_preference_data[Source])),COUNTIF(Investment_preference_data[Source],Investment_preference_data[Source]),0))&amp;" "&amp;TEXT(COUNTIF(Investment_preference_data[Source],INDEX(Investment_preference_data[Source],MATCH(MAX(COUNTIF(Investment_preference_data[Source],Investment_preference_data[Source])),COUNTIF(Investment_preference_data[Source],Investment_preference_data[Source]),0)))/40,"0%")</f>
        <v>Financial Consultants 40%</v>
      </c>
    </row>
    <row r="102" spans="1:10">
      <c r="B102" t="s">
        <v>92</v>
      </c>
      <c r="E102" t="s">
        <v>93</v>
      </c>
    </row>
    <row r="103" spans="1:10">
      <c r="B103">
        <f>AVERAGEIF(Investment_preference_data[Age Group],"26-30 Established Adulthood",Investment_preference_data[Total_Investment_score])</f>
        <v>28</v>
      </c>
      <c r="E103">
        <f>AVERAGEIF(Investment_preference_data[Age Group],"31-35 Experienced Adulthood",Investment_preference_data[Total_Investment_score])</f>
        <v>28</v>
      </c>
    </row>
    <row r="106" spans="1:10">
      <c r="A106" t="s">
        <v>73</v>
      </c>
      <c r="B106" t="s">
        <v>94</v>
      </c>
    </row>
    <row r="107" spans="1:10">
      <c r="A107" s="1" t="s">
        <v>60</v>
      </c>
      <c r="B107" s="4">
        <v>3</v>
      </c>
    </row>
    <row r="108" spans="1:10">
      <c r="A108" s="1" t="s">
        <v>33</v>
      </c>
      <c r="B108" s="4">
        <v>32</v>
      </c>
    </row>
    <row r="109" spans="1:10">
      <c r="A109" s="1" t="s">
        <v>66</v>
      </c>
      <c r="B109" s="4">
        <v>5</v>
      </c>
    </row>
    <row r="110" spans="1:10">
      <c r="A110" s="1" t="s">
        <v>81</v>
      </c>
      <c r="B110" s="4">
        <v>40</v>
      </c>
    </row>
  </sheetData>
  <pageMargins left="0.7" right="0.7" top="0.75" bottom="0.75" header="0.3" footer="0.3"/>
  <headerFooter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B7"/>
  <sheetViews>
    <sheetView showGridLines="0" tabSelected="1" zoomScale="37" zoomScaleNormal="37" topLeftCell="F3" workbookViewId="0">
      <selection activeCell="AM22" sqref="AM22"/>
    </sheetView>
  </sheetViews>
  <sheetFormatPr defaultColWidth="9" defaultRowHeight="17.25" outlineLevelRow="6"/>
  <cols>
    <col min="2" max="15" width="8"/>
  </cols>
  <sheetData>
    <row r="7" spans="28:28">
      <c r="AB7" t="s">
        <v>95</v>
      </c>
    </row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C8G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CxliN50QIAAP8GAAATAAAARm9ybXVsYXMvU2VjdGlvbjEubY1U227aQBB9R+IfVpsXojqokMtDU7dyMaSoIqWBqg+ArI09AbfLLt0LDYry7x1fqG0MUnnBe3Zn5syZi4bQxFKQSfbfuW02mg29YgoickaHYgvarEEYMlbwBApECMRnhlHiEg6m2SD4m0irEHdJT2/bvgxtYtEaxBzaPSkMHnSL9t7Nv2tQen7vD/2hN/K+eHNf/hFcskjPT0dqh3pLz52ZDzxexwaUSx3qkJ7kdi20271ySF+EMorF0u10r7sO+WalgYnZcXCLz/a9FLA4dzLGZ3Ss5BqfReQzsAhpJQlN2SNSzm9yvJUl55BZjnucT0LGmdKuUbbssrdiYokep7sNFO6mign9JNU6Y5xc6taR+M7LC12CQC6YncFXxMCzeXXIC2VLQGwozM1VO7FPwUKxwNuCsKBrdiNrLOPBwIoouTxw0P9tY7MLRkz9AlO/9uERC2dV6vfA9E5uQYmkysEnedT5IH6GKPBhI3VsjgQfjwf1kHeSR3V0YmT4K6VpUp5VbQYsNLIu2dfHn0lHbxPhqgZjq5BUHfetYsko1AwyoYORFPGxSP3nDUaqWWU1qcE/VswQnC6yw5khmm2xbTWRe7b6Y83iAZiWIsiqdeo2q/Sp232NqkLkjgd+zSxr+Qr8WkzOAwi2xjbPJ7Do9Owih7HFK/OQtPf/JE8nmSbBvwpqmvb7YRvQAsC2eC0R9KIooWe1keuCHaIZNWR2mIJDqLcEcqek3WDawMIViZ/IDAdvQT64pNshTET5+T2er4lZgSC027nA7z5TfEe8yHKzkjKiDeAaqg5uqg4u3+4d3Fzgd18bXD2xXiHvQzf0snNxiTGwzVSc7N/yk6IqZbE7RdYntk9FoqQ05fSLNjkhasl/WdUqBdR0Kg2un9Ki0qFUyeSlAs/K62lB3pBZZSOlSLGE0uPh3knB6qpJIdwu+XseLc6bjVjs13458Q69/Qt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B0EAABbQ29udGVudF9UeXBlc10ueG1sUEsBAhQACgAAAAAAh07iQAAAAAAAAAAAAAAAAAcAAAAAAAAAAAAQAAAAAAAAAENvbmZpZy9QSwECFAAUAAAACACHTuJAEjj+mJ8AAADzAAAAEgAAAAAAAAABACAAAAAlAAAAQ29uZmlnL1BhY2thZ2UueG1sUEsBAhQACgAAAAAAh07iQAAAAAAAAAAAAAAAAAkAAAAAAAAAAAAQAAAA9AAAAEZvcm11bGFzL1BLAQIUABQAAAAIAIdO4kCxliN50QIAAP8GAAATAAAAAAAAAAEAIAAAABsBAABGb3JtdWxhcy9TZWN0aW9uMS5tUEsFBgAAAAAFAAUALgEAAOsE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5BBgAAAAAAAB8G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0ludmVzdG1lbnQlMjBQcmVmZXJlbmNlJTIwRGF0YTwvSXRlbVBhdGg+PC9JdGVtTG9jYXRpb24+PFN0YWJsZUVudHJpZXM+PEVudHJ5IFR5cGU9IklzUHJpdmF0ZSIgVmFsdWU9ImwwIiAvPjxFbnRyeSBUeXBlPSJGaWxsRW5hYmxlZCIgVmFsdWU9ImwxIiAvPjxFbnRyeSBUeXBlPSJGaWxsT2JqZWN0VHlwZSIgVmFsdWU9InNUYWJsZSIgLz48RW50cnkgVHlwZT0iUXVlcnlJRCIgVmFsdWU9InMxYzVhMjUxZS05ZGIzLTQ1MGEtYWY2ZC1kN2M4MzNkNmQyYTQiIC8+PEVudHJ5IFR5cGU9IlJlc3VsdFR5cGUiIFZhbHVlPSJzVGFibGUiIC8+PEVudHJ5IFR5cGU9IkZpbGxUYXJnZXQiIFZhbHVlPSJzSW52ZXN0bWVudF9QcmVmZXJlbmNlX0RhdGEiIC8+PEVudHJ5IFR5cGU9IkZpbGxDb3VudCIgVmFsdWU9Imw0MCIgLz48RW50cnkgVHlwZT0iRmlsbEVycm9yQ291bnQiIFZhbHVlPSJsMCIgLz48RW50cnkgVHlwZT0iRmlsbExhc3RVcGRhdGVkIiBWYWx1ZT0iZDIwMjYtMDctMDdUMDc6MjA6MDQuNDkzMDAwMFoiIC8+PEVudHJ5IFR5cGU9IkZpbGxDb2x1bW5OYW1lcyIgVmFsdWU9J3NbJnF1b3Q7Z2VuZGVyJnF1b3Q7LCZxdW90O2FnZSZxdW90OywmcXVvdDtJbnZlc3RtZW50X0F2ZW51ZXMmcXVvdDssJnF1b3Q7TXV0dWFsX0Z1bmRzJnF1b3Q7LCZxdW90O0VxdWl0eV9NYXJrZXQmcXVvdDssJnF1b3Q7RGViZW50dXJlcyZxdW90OywmcXVvdDtHb3Zlcm5tZW50X0JvbmRzJnF1b3Q7LCZxdW90O0ZpeGVkX0RlcG9zaXRzJnF1b3Q7LCZxdW90O1BQRiZxdW90OywmcXVvdDtHb2xkJnF1b3Q7LCZxdW90O1N0b2NrX01hcmtldCZxdW90OywmcXVvdDtGYWN0b3ImcXVvdDssJnF1b3Q7T2JqZWN0aXZlJnF1b3Q7LCZxdW90O1B1cnBvc2UmcXVvdDssJnF1b3Q7RHVyYXRpb24mcXVvdDssJnF1b3Q7SW52ZXN0X01vbml0b3ImcXVvdDssJnF1b3Q7RXhwZWN0JnF1b3Q7LCZxdW90O0F2ZW51ZSZxdW90OywmcXVvdDtTYXZpbmdzX09iamVjdGl2ZXMmcXVvdDssJnF1b3Q7UmVhc29uX0VxdWl0eSZxdW90OywmcXVvdDtSZWFzb25fTXV0dWFsJnF1b3Q7LCZxdW90O1JlYXNvbl9Cb25kcyZxdW90OywmcXVvdDtSZWFzb25fRkQmcXVvdDssJnF1b3Q7U291cmNlJnF1b3Q7LCZxdW90O0FnZSBHcm91cCZxdW90OywmcXVvdDtUb3RhbF9JbnZlc3RtZW50X3Njb3JlJnF1b3Q7XScgLz48L1N0YWJsZUVudHJpZXM+PC9JdGVtPjwvSXRlbXM+PC9Mb2NhbFBhY2thZ2VNZXRhZGF0YUZpbGU+FgAAAFBLBQYAAAAAAAAAAAAAAAAAAAAAAAAmAQAAAQAAANCMnd8BFdERjHoAwE/Cl+sBAAAAD5YAfD68xkSjFaLFw7y/5AAAAAACAAAAAAAQZgAAAAEAACAAAAC+tr6ZBawGDs7jQyjWW6THTQhcZFDLIB4Zi3xWziDreQAAAAAOgAAAAAIAACAAAACkDtheoWczz0IIX5sOtSH0VDWd3+nHIGXj3owMW7VfalAAAADc5N7+xBwjjjlb3cdYlXMn/AsbARQNFRYlN8NCnYdlJNJk/8C9e5MqPCl8jzClQe+xbMWrKj+MR8kLCHomZlSJfFebujdRoSzOkSsRxJIwb0AAAABXC4cwcbffEyteZOSIaLH8bzE1CO9FSINz7RSCcC6O0wP2sZCyLOqQ1IMTX9II66GbhsxRs8fRFNGmM31YbUjJ</DataMashup>
</file>

<file path=customXml/itemProps1.xml><?xml version="1.0" encoding="utf-8"?>
<ds:datastoreItem xmlns:ds="http://schemas.openxmlformats.org/officeDocument/2006/customXml" ds:itemID="{7D4CB945-5827-4777-9F68-CEF2B2938D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Investment Preference Data</vt:lpstr>
      <vt:lpstr>Pivot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Umahi ndidiamaka</dc:creator>
  <cp:lastModifiedBy>NDIDIAMAKA</cp:lastModifiedBy>
  <dcterms:created xsi:type="dcterms:W3CDTF">2026-07-07T06:49:00Z</dcterms:created>
  <dcterms:modified xsi:type="dcterms:W3CDTF">2026-07-16T22:19:30Z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3AD6B7A4C7234F1C974C9C6559ECC102_12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