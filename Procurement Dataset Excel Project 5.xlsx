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2"/>
  </bookViews>
  <sheets>
    <sheet name="Procurement Data" sheetId="1" r:id="rId1"/>
    <sheet name="Pivot table" sheetId="20" r:id="rId2"/>
    <sheet name="Dashboard" sheetId="23" r:id="rId3"/>
  </sheets>
  <definedNames>
    <definedName name="Slicer__Location___">#N/A</definedName>
    <definedName name="_xlnm._FilterDatabase" localSheetId="0" hidden="1">'Procurement Data'!$B$1:$S$1</definedName>
  </definedNames>
  <calcPr calcId="191029" concurrentCalc="0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<sst xmlns="http://schemas.openxmlformats.org/spreadsheetml/2006/main" count="3198" uniqueCount="488">
  <si>
    <t>Serial No</t>
  </si>
  <si>
    <t>Hospital</t>
  </si>
  <si>
    <t>State</t>
  </si>
  <si>
    <t>Location</t>
  </si>
  <si>
    <t>Department</t>
  </si>
  <si>
    <t>Equipment</t>
  </si>
  <si>
    <t xml:space="preserve"> Quantity </t>
  </si>
  <si>
    <t xml:space="preserve"> Unit Price (USD) </t>
  </si>
  <si>
    <t>Supplier</t>
  </si>
  <si>
    <t>Supplier Contact</t>
  </si>
  <si>
    <t xml:space="preserve"> Supplier Phone </t>
  </si>
  <si>
    <t>Supplier Email</t>
  </si>
  <si>
    <t>Supplier Country</t>
  </si>
  <si>
    <t>Date Ordered</t>
  </si>
  <si>
    <t>Date Delivered</t>
  </si>
  <si>
    <t xml:space="preserve"> Warranty Period (Months) </t>
  </si>
  <si>
    <t xml:space="preserve"> Maintenance Cost (USD/year) </t>
  </si>
  <si>
    <t xml:space="preserve"> Installation Cost (USD) </t>
  </si>
  <si>
    <t>Equipment Condition</t>
  </si>
  <si>
    <t>Procurement</t>
  </si>
  <si>
    <t>Delivery Date</t>
  </si>
  <si>
    <t>Lagos General</t>
  </si>
  <si>
    <t>Lagos</t>
  </si>
  <si>
    <t>Lagos City</t>
  </si>
  <si>
    <t>Cardiology</t>
  </si>
  <si>
    <t>ECG Machine</t>
  </si>
  <si>
    <t>MedTech Inc.</t>
  </si>
  <si>
    <t>John Doe</t>
  </si>
  <si>
    <t>john@medtech.com</t>
  </si>
  <si>
    <t>USA</t>
  </si>
  <si>
    <t>2024-03-15</t>
  </si>
  <si>
    <t>2024-04-10</t>
  </si>
  <si>
    <t>New</t>
  </si>
  <si>
    <t>Abuja Hospital</t>
  </si>
  <si>
    <t>Abuja</t>
  </si>
  <si>
    <t>Abuja City</t>
  </si>
  <si>
    <t>Radiology</t>
  </si>
  <si>
    <t>MRI Machine</t>
  </si>
  <si>
    <t>Imagix</t>
  </si>
  <si>
    <t>Jane Smith</t>
  </si>
  <si>
    <t>jane@imagix.co.uk</t>
  </si>
  <si>
    <t>UK</t>
  </si>
  <si>
    <t>2024-02-20</t>
  </si>
  <si>
    <t>2024-03-18</t>
  </si>
  <si>
    <t>Kano Medical</t>
  </si>
  <si>
    <t>Kano</t>
  </si>
  <si>
    <t>Kano City</t>
  </si>
  <si>
    <t>Surgery</t>
  </si>
  <si>
    <t>Surgical Tools</t>
  </si>
  <si>
    <t>SurgiSupplies</t>
  </si>
  <si>
    <t>Ahmed Hassan</t>
  </si>
  <si>
    <t>ahmed@surgisup.com</t>
  </si>
  <si>
    <t>UAE</t>
  </si>
  <si>
    <t>2024-01-10</t>
  </si>
  <si>
    <t>2024-02-05</t>
  </si>
  <si>
    <t>Used - Good</t>
  </si>
  <si>
    <t>Port Harcourt</t>
  </si>
  <si>
    <t>Rivers</t>
  </si>
  <si>
    <t>Pediatrics</t>
  </si>
  <si>
    <t>Ventilator</t>
  </si>
  <si>
    <t>RespCare</t>
  </si>
  <si>
    <t>Emily Johnson</t>
  </si>
  <si>
    <t>emily@respcare.cn</t>
  </si>
  <si>
    <t>China</t>
  </si>
  <si>
    <t>2024-04-02</t>
  </si>
  <si>
    <t>2024-04-25</t>
  </si>
  <si>
    <t>Refurbished</t>
  </si>
  <si>
    <t>Ibadan Clinic</t>
  </si>
  <si>
    <t>Oyo</t>
  </si>
  <si>
    <t>Ibadan City</t>
  </si>
  <si>
    <t>Obstetrics</t>
  </si>
  <si>
    <t>Ultrasound</t>
  </si>
  <si>
    <t>Sonoscan</t>
  </si>
  <si>
    <t>Michael Chang</t>
  </si>
  <si>
    <t>michael@sonoscan.jp</t>
  </si>
  <si>
    <t>Japan</t>
  </si>
  <si>
    <t>2024-03-05</t>
  </si>
  <si>
    <t>2024-03-28</t>
  </si>
  <si>
    <t>Kaduna Clinic</t>
  </si>
  <si>
    <t>Kaduna</t>
  </si>
  <si>
    <t>Kaduna City</t>
  </si>
  <si>
    <t>Oncology</t>
  </si>
  <si>
    <t>Radiation Machine</t>
  </si>
  <si>
    <t>RadSource</t>
  </si>
  <si>
    <t>Maria Garcia</t>
  </si>
  <si>
    <t>maria@radsource.de</t>
  </si>
  <si>
    <t>Germany</t>
  </si>
  <si>
    <t>2024-05-05</t>
  </si>
  <si>
    <t>Enugu General</t>
  </si>
  <si>
    <t>Enugu</t>
  </si>
  <si>
    <t>Enugu City</t>
  </si>
  <si>
    <t>Neurology</t>
  </si>
  <si>
    <t>EEG Machine</t>
  </si>
  <si>
    <t>NeuroTech</t>
  </si>
  <si>
    <t>Pedro Martinez</t>
  </si>
  <si>
    <t>pedro@neurotech.es</t>
  </si>
  <si>
    <t>Spain</t>
  </si>
  <si>
    <t>2024-02-28</t>
  </si>
  <si>
    <t>2024-03-25</t>
  </si>
  <si>
    <t>Benin City Hosp</t>
  </si>
  <si>
    <t>Edo</t>
  </si>
  <si>
    <t>Benin City</t>
  </si>
  <si>
    <t>Orthopedics</t>
  </si>
  <si>
    <t>X-ray Machine</t>
  </si>
  <si>
    <t>MedImaging</t>
  </si>
  <si>
    <t>Anna Lee</t>
  </si>
  <si>
    <t>anna@medimaging.fr</t>
  </si>
  <si>
    <t>France</t>
  </si>
  <si>
    <t>2024-03-20</t>
  </si>
  <si>
    <t>2024-04-15</t>
  </si>
  <si>
    <t>Owerri Medical</t>
  </si>
  <si>
    <t>Imo</t>
  </si>
  <si>
    <t>Owerri City</t>
  </si>
  <si>
    <t>Urology</t>
  </si>
  <si>
    <t>Lithotripter</t>
  </si>
  <si>
    <t>UltraMed</t>
  </si>
  <si>
    <t>Fatima Khan</t>
  </si>
  <si>
    <t>fatima@ultramed.in</t>
  </si>
  <si>
    <t>India</t>
  </si>
  <si>
    <t>2024-01-25</t>
  </si>
  <si>
    <t>Jos Teaching</t>
  </si>
  <si>
    <t>Plateau</t>
  </si>
  <si>
    <t>Jos City</t>
  </si>
  <si>
    <t>Hematology</t>
  </si>
  <si>
    <t>Hematology Analyzer</t>
  </si>
  <si>
    <t>HemoTech</t>
  </si>
  <si>
    <t>David Wilson</t>
  </si>
  <si>
    <t>david@hemotech.us</t>
  </si>
  <si>
    <t>2024-04-05</t>
  </si>
  <si>
    <t>2024-04-30</t>
  </si>
  <si>
    <t>Warri General</t>
  </si>
  <si>
    <t>Delta</t>
  </si>
  <si>
    <t>Warri City</t>
  </si>
  <si>
    <t>Emergency Care</t>
  </si>
  <si>
    <t>Defibrillator</t>
  </si>
  <si>
    <t>LifeSaver</t>
  </si>
  <si>
    <t>Emma Watson</t>
  </si>
  <si>
    <t>emma@lifesaver.com</t>
  </si>
  <si>
    <t>Calabar Medical</t>
  </si>
  <si>
    <t>Cross River</t>
  </si>
  <si>
    <t>Calabar City</t>
  </si>
  <si>
    <t>Gynecology</t>
  </si>
  <si>
    <t>Colposcope</t>
  </si>
  <si>
    <t>GynoTech</t>
  </si>
  <si>
    <t>Maria Sanchez</t>
  </si>
  <si>
    <t>maria@gynotech.mx</t>
  </si>
  <si>
    <t>Mexico</t>
  </si>
  <si>
    <t>Sokoto Teaching</t>
  </si>
  <si>
    <t>Sokoto</t>
  </si>
  <si>
    <t>Sokoto City</t>
  </si>
  <si>
    <t>Nephrology</t>
  </si>
  <si>
    <t>Dialysis Machine</t>
  </si>
  <si>
    <t>NephroCare</t>
  </si>
  <si>
    <t>Hassan Ali</t>
  </si>
  <si>
    <t>hassan@nephrocare.sa</t>
  </si>
  <si>
    <t>Saudi Arabia</t>
  </si>
  <si>
    <t>Uyo Specialist</t>
  </si>
  <si>
    <t>Akwa Ibom</t>
  </si>
  <si>
    <t>Uyo City</t>
  </si>
  <si>
    <t>Ophthalmology</t>
  </si>
  <si>
    <t>Fundus Camera</t>
  </si>
  <si>
    <t>EyeTech</t>
  </si>
  <si>
    <t>Sophia Chen</t>
  </si>
  <si>
    <t>sophia@eyetech.tw</t>
  </si>
  <si>
    <t>Taiwan</t>
  </si>
  <si>
    <t>Abeokuta General</t>
  </si>
  <si>
    <t>Ogun</t>
  </si>
  <si>
    <t>Abeokuta City</t>
  </si>
  <si>
    <t>Dermatology</t>
  </si>
  <si>
    <t>Laser Machine</t>
  </si>
  <si>
    <t>DermiCare</t>
  </si>
  <si>
    <t>Ahmed Saleh</t>
  </si>
  <si>
    <t>ahmed@dermicare.eg</t>
  </si>
  <si>
    <t>Egypt</t>
  </si>
  <si>
    <t>Osogbo Regional</t>
  </si>
  <si>
    <t>Osun</t>
  </si>
  <si>
    <t>Osogbo City</t>
  </si>
  <si>
    <t>Psychiatry</t>
  </si>
  <si>
    <t>Yola Medical</t>
  </si>
  <si>
    <t>Adamawa</t>
  </si>
  <si>
    <t>Yola City</t>
  </si>
  <si>
    <t>Gastroenterology</t>
  </si>
  <si>
    <t>Endoscopy Machine</t>
  </si>
  <si>
    <t>GastroTech</t>
  </si>
  <si>
    <t>Hassan Mohamed</t>
  </si>
  <si>
    <t>hassan@gastrotech.sa</t>
  </si>
  <si>
    <t>Maiduguri General</t>
  </si>
  <si>
    <t>Borno</t>
  </si>
  <si>
    <t>Maiduguri City</t>
  </si>
  <si>
    <t>Chemotherapy Pump</t>
  </si>
  <si>
    <t>OncoCare</t>
  </si>
  <si>
    <t>emily@oncocare.cn</t>
  </si>
  <si>
    <t>Makurdi Hospital</t>
  </si>
  <si>
    <t>Benue</t>
  </si>
  <si>
    <t>Makurdi City</t>
  </si>
  <si>
    <t>ENT</t>
  </si>
  <si>
    <t>Audiometer</t>
  </si>
  <si>
    <t>HearTech</t>
  </si>
  <si>
    <t>david@heartech.us</t>
  </si>
  <si>
    <t>Lokoja Medical</t>
  </si>
  <si>
    <t>Kogi</t>
  </si>
  <si>
    <t>Lokoja City</t>
  </si>
  <si>
    <t>Pulmonology</t>
  </si>
  <si>
    <t>Spirometer</t>
  </si>
  <si>
    <t>PulmoTech</t>
  </si>
  <si>
    <t>fatima@pulmotech.in</t>
  </si>
  <si>
    <t>2024-03-10</t>
  </si>
  <si>
    <t>Ile-Ife General</t>
  </si>
  <si>
    <t>Ile-Ife City</t>
  </si>
  <si>
    <t>Rheumatology</t>
  </si>
  <si>
    <t>2024-02-15</t>
  </si>
  <si>
    <t>Ado-Ekiti Medical</t>
  </si>
  <si>
    <t>Ekiti</t>
  </si>
  <si>
    <t>Ado-Ekiti City</t>
  </si>
  <si>
    <t>Holter Monitor</t>
  </si>
  <si>
    <t>CardioCare</t>
  </si>
  <si>
    <t>emma@cardiocare.com</t>
  </si>
  <si>
    <t>2024-01-20</t>
  </si>
  <si>
    <t>Used - Fair</t>
  </si>
  <si>
    <t>Awka General</t>
  </si>
  <si>
    <t>Anambra</t>
  </si>
  <si>
    <t>Awka City</t>
  </si>
  <si>
    <t>Coagulation Analyzer</t>
  </si>
  <si>
    <t>Epe Medical</t>
  </si>
  <si>
    <t>Epe City</t>
  </si>
  <si>
    <t>Infant Incubator</t>
  </si>
  <si>
    <t>NeoCare</t>
  </si>
  <si>
    <t>Jessica Brown</t>
  </si>
  <si>
    <t>jessica@neocare.au</t>
  </si>
  <si>
    <t>Australia</t>
  </si>
  <si>
    <t>2024-04-22</t>
  </si>
  <si>
    <t>Ikeja General</t>
  </si>
  <si>
    <t>Ikeja City</t>
  </si>
  <si>
    <t>Bone Densitometer</t>
  </si>
  <si>
    <t>OrthoTech</t>
  </si>
  <si>
    <t>anna@orthotech.fr</t>
  </si>
  <si>
    <t>2024-03-01</t>
  </si>
  <si>
    <t>Ife Central</t>
  </si>
  <si>
    <t>Ife City</t>
  </si>
  <si>
    <t>Surgical Microscope</t>
  </si>
  <si>
    <t>SurgiEquip</t>
  </si>
  <si>
    <t>ahmed@surgiequip.com</t>
  </si>
  <si>
    <t>Umuahia Medical</t>
  </si>
  <si>
    <t>Abia</t>
  </si>
  <si>
    <t>Umuahia City</t>
  </si>
  <si>
    <t>CT Scanner</t>
  </si>
  <si>
    <t>RadiantTech</t>
  </si>
  <si>
    <t>maria@radiantech.de</t>
  </si>
  <si>
    <t>Gombe Specialist</t>
  </si>
  <si>
    <t>Gombe</t>
  </si>
  <si>
    <t>Gombe City</t>
  </si>
  <si>
    <t>Neurosurgery</t>
  </si>
  <si>
    <t>C-Arm Machine</t>
  </si>
  <si>
    <t>NeuroSurg</t>
  </si>
  <si>
    <t>pedro@neurosurg.es</t>
  </si>
  <si>
    <t>Damaturu Hospital</t>
  </si>
  <si>
    <t>Yobe</t>
  </si>
  <si>
    <t>Damaturu City</t>
  </si>
  <si>
    <t>Fetal Monitor</t>
  </si>
  <si>
    <t>Bauchi General</t>
  </si>
  <si>
    <t>Bauchi</t>
  </si>
  <si>
    <t>Bauchi City</t>
  </si>
  <si>
    <t>Ijebu-Ode General</t>
  </si>
  <si>
    <t>Ijebu-Ode City</t>
  </si>
  <si>
    <t>Cryotherapy Machine</t>
  </si>
  <si>
    <t>DermaTech</t>
  </si>
  <si>
    <t>Sarah Lee</t>
  </si>
  <si>
    <t>sarah@dermatech.kr</t>
  </si>
  <si>
    <t>South Korea</t>
  </si>
  <si>
    <t>Okene Medical</t>
  </si>
  <si>
    <t>Okene City</t>
  </si>
  <si>
    <t>Oxygen Concentrator</t>
  </si>
  <si>
    <t>RespTech</t>
  </si>
  <si>
    <t>emily@resptech.cn</t>
  </si>
  <si>
    <t>Abakaliki Hospital</t>
  </si>
  <si>
    <t>Ebonyi</t>
  </si>
  <si>
    <t>Abakaliki City</t>
  </si>
  <si>
    <t>Cystoscope</t>
  </si>
  <si>
    <t>UroMed</t>
  </si>
  <si>
    <t>fatima@uromed.in</t>
  </si>
  <si>
    <t>Sapele General</t>
  </si>
  <si>
    <t>Sapele City</t>
  </si>
  <si>
    <t>Hysteroscope</t>
  </si>
  <si>
    <t>Iseyin Medical</t>
  </si>
  <si>
    <t>Iseyin City</t>
  </si>
  <si>
    <t>Hemoglobin Analyzer</t>
  </si>
  <si>
    <t>Otukpo Hospital</t>
  </si>
  <si>
    <t>Otukpo City</t>
  </si>
  <si>
    <t>Rhinolaryngoscope</t>
  </si>
  <si>
    <t>ENT Solutions</t>
  </si>
  <si>
    <t>anna@ent-solutions.fr</t>
  </si>
  <si>
    <t>Ogaminana General</t>
  </si>
  <si>
    <t>Ogaminana City</t>
  </si>
  <si>
    <t>EMG Machine</t>
  </si>
  <si>
    <t>Ode-Ekiti Medical</t>
  </si>
  <si>
    <t>Ode-Ekiti City</t>
  </si>
  <si>
    <t>Stress Test System</t>
  </si>
  <si>
    <t>Egbe Specialist</t>
  </si>
  <si>
    <t>Egbe City</t>
  </si>
  <si>
    <t>Linear Accelerator</t>
  </si>
  <si>
    <t>OncoTech</t>
  </si>
  <si>
    <t>emily@oncotech.cn</t>
  </si>
  <si>
    <t>Ifo Medical</t>
  </si>
  <si>
    <t>Ifo City</t>
  </si>
  <si>
    <t>Phototherapy Unit</t>
  </si>
  <si>
    <t>Idanre General</t>
  </si>
  <si>
    <t>Ondo</t>
  </si>
  <si>
    <t>Idanre City</t>
  </si>
  <si>
    <t>Traction Table</t>
  </si>
  <si>
    <t>Ikom Medical</t>
  </si>
  <si>
    <t>Ikom City</t>
  </si>
  <si>
    <t>Electrosurgical Unit</t>
  </si>
  <si>
    <t>Ijero-Ekiti Hosp</t>
  </si>
  <si>
    <t>Ijero-Ekiti City</t>
  </si>
  <si>
    <t>Mammography Machine</t>
  </si>
  <si>
    <t>MammoTech</t>
  </si>
  <si>
    <t>emily@mammotech.cn</t>
  </si>
  <si>
    <t>Ikirun General</t>
  </si>
  <si>
    <t>Ikirun City</t>
  </si>
  <si>
    <t>Psychiatric Bed</t>
  </si>
  <si>
    <t>PsychiCare</t>
  </si>
  <si>
    <t>sarah@psychicare.kr</t>
  </si>
  <si>
    <t>Ilorin Central</t>
  </si>
  <si>
    <t>Kwara</t>
  </si>
  <si>
    <t>Ilorin City</t>
  </si>
  <si>
    <t>Colonoscope</t>
  </si>
  <si>
    <t>Ikare Specialist</t>
  </si>
  <si>
    <t>Ikare City</t>
  </si>
  <si>
    <t>Blood Analyzer</t>
  </si>
  <si>
    <t>Ilaro Medical</t>
  </si>
  <si>
    <t>Ilaro City</t>
  </si>
  <si>
    <t>Otoscope</t>
  </si>
  <si>
    <t>Iragbiji Hospital</t>
  </si>
  <si>
    <t>Iragbiji City</t>
  </si>
  <si>
    <t>Neuroendoscope</t>
  </si>
  <si>
    <t>Ijebu-Igbo General</t>
  </si>
  <si>
    <t>Ijebu-Igbo City</t>
  </si>
  <si>
    <t>Echocardiogram</t>
  </si>
  <si>
    <t>CardioTech</t>
  </si>
  <si>
    <t>emma@cardiotech.com</t>
  </si>
  <si>
    <t>Ilobu Medical</t>
  </si>
  <si>
    <t>Ilobu City</t>
  </si>
  <si>
    <t>CPAP Machine</t>
  </si>
  <si>
    <t>Anesthesia Machine</t>
  </si>
  <si>
    <t>AnesthTech</t>
  </si>
  <si>
    <t>ahmed@anesthtech.com</t>
  </si>
  <si>
    <t>Lithotripsy Machine</t>
  </si>
  <si>
    <t>sophia@heartech.tw</t>
  </si>
  <si>
    <t>Operating Table</t>
  </si>
  <si>
    <t>Endoscope</t>
  </si>
  <si>
    <t>Psychiatric Ward</t>
  </si>
  <si>
    <t>Gastroscope</t>
  </si>
  <si>
    <t>Ipoti General</t>
  </si>
  <si>
    <t>Ipoti City</t>
  </si>
  <si>
    <t>Blood Bank Refrigerator</t>
  </si>
  <si>
    <t>BioTech</t>
  </si>
  <si>
    <t>maria@biotech.de</t>
  </si>
  <si>
    <t>Cautery Machine</t>
  </si>
  <si>
    <t>Surgical Lights</t>
  </si>
  <si>
    <t>TCD Machine</t>
  </si>
  <si>
    <t>Microscope</t>
  </si>
  <si>
    <t>Sterilization Equipment</t>
  </si>
  <si>
    <t>SteriTech</t>
  </si>
  <si>
    <t>hassan@steritech.sa</t>
  </si>
  <si>
    <t>Infant Warmers</t>
  </si>
  <si>
    <t>Cast Cutter</t>
  </si>
  <si>
    <t>Ikot-Ekpene Hosp</t>
  </si>
  <si>
    <t>Ikot-Ekpene City</t>
  </si>
  <si>
    <t>Surgical Suction Machine</t>
  </si>
  <si>
    <t>Abuja Central Hospital</t>
  </si>
  <si>
    <t>Enugu State Hospital</t>
  </si>
  <si>
    <t>Owerri General Hospital</t>
  </si>
  <si>
    <t>Ultrasound Machine</t>
  </si>
  <si>
    <t>Kaduna National Hospital</t>
  </si>
  <si>
    <t>Ibadan Teaching Hospital</t>
  </si>
  <si>
    <t>Lokoja General Hospital</t>
  </si>
  <si>
    <t>Abeokuta Specialist Hosp</t>
  </si>
  <si>
    <t>Ilorin University Hospital</t>
  </si>
  <si>
    <t>C-arm Fluoroscopy</t>
  </si>
  <si>
    <t>FluoroTech</t>
  </si>
  <si>
    <t>sophia@fluorotech.tw</t>
  </si>
  <si>
    <t>Minna Federal Medical Center</t>
  </si>
  <si>
    <t>Niger</t>
  </si>
  <si>
    <t>Minna City</t>
  </si>
  <si>
    <t>Oshogbo General Hospital</t>
  </si>
  <si>
    <t>Oshogbo City</t>
  </si>
  <si>
    <t>Yenagoa Medical Center</t>
  </si>
  <si>
    <t>Bayelsa</t>
  </si>
  <si>
    <t>Yenagoa City</t>
  </si>
  <si>
    <t>Sokoto General Hospital</t>
  </si>
  <si>
    <t>Port Harcourt General</t>
  </si>
  <si>
    <t>Uyo General Hospital</t>
  </si>
  <si>
    <t>ScanTech</t>
  </si>
  <si>
    <t>emily@scantech.de</t>
  </si>
  <si>
    <t>2024-04-20</t>
  </si>
  <si>
    <t>2024-05-15</t>
  </si>
  <si>
    <t>CardiaTech</t>
  </si>
  <si>
    <t>Mark Smith</t>
  </si>
  <si>
    <t>mark@cardiatech.us</t>
  </si>
  <si>
    <t>MRI Solutions</t>
  </si>
  <si>
    <t>john@mrisolutions.us</t>
  </si>
  <si>
    <t>2024-03-30</t>
  </si>
  <si>
    <t>Warri General Hospital</t>
  </si>
  <si>
    <t>Aba Medical Center</t>
  </si>
  <si>
    <t>Aba City</t>
  </si>
  <si>
    <t>Calabar General Hospital</t>
  </si>
  <si>
    <t>Lokoja Medical Center</t>
  </si>
  <si>
    <t>Gombe General Hospital</t>
  </si>
  <si>
    <t>Jalingo Federal Medical Center</t>
  </si>
  <si>
    <t>Taraba</t>
  </si>
  <si>
    <t>Jalingo City</t>
  </si>
  <si>
    <t>Bauchi National Hospital</t>
  </si>
  <si>
    <t>Umuahia General Hospital</t>
  </si>
  <si>
    <t>Akure Medical Center</t>
  </si>
  <si>
    <t>Akure City</t>
  </si>
  <si>
    <t>Ibadan National Hospital</t>
  </si>
  <si>
    <t>Incubator</t>
  </si>
  <si>
    <t>Maiduguri General Hospital</t>
  </si>
  <si>
    <t>2024-02-10</t>
  </si>
  <si>
    <t>Kano National Hospital</t>
  </si>
  <si>
    <t>Makurdi General Hospital</t>
  </si>
  <si>
    <t>Asaba Medical Center</t>
  </si>
  <si>
    <t>Asaba City</t>
  </si>
  <si>
    <t>Gusau General Hospital</t>
  </si>
  <si>
    <t>Zamfara</t>
  </si>
  <si>
    <t>Gusau City</t>
  </si>
  <si>
    <t>Yola Federal Medical Center</t>
  </si>
  <si>
    <t>Jos University Teaching Hospital</t>
  </si>
  <si>
    <t>Ogbomoso General Hospital</t>
  </si>
  <si>
    <t>Ogbomoso City</t>
  </si>
  <si>
    <t>Ado-Ekiti Medical Center</t>
  </si>
  <si>
    <t>Abakaliki General Hospital</t>
  </si>
  <si>
    <t>Benin City General Hospital</t>
  </si>
  <si>
    <t>Lafia Federal Medical Center</t>
  </si>
  <si>
    <t>Nasarawa</t>
  </si>
  <si>
    <t>Lafia City</t>
  </si>
  <si>
    <t>Abeokuta General Hospital</t>
  </si>
  <si>
    <t>Awka Medical Center</t>
  </si>
  <si>
    <t>Dutse General Hospital</t>
  </si>
  <si>
    <t>Jigawa</t>
  </si>
  <si>
    <t>Dutse City</t>
  </si>
  <si>
    <t>Keffi Federal Medical Center</t>
  </si>
  <si>
    <t>Keffi City</t>
  </si>
  <si>
    <t>2024-03-02</t>
  </si>
  <si>
    <t>2024-04-12</t>
  </si>
  <si>
    <t>2024-04-01</t>
  </si>
  <si>
    <t>2024-02-22</t>
  </si>
  <si>
    <t>Total Procurement cost</t>
  </si>
  <si>
    <t xml:space="preserve">Total Installation Cost </t>
  </si>
  <si>
    <t xml:space="preserve">Total  Maintenance Cost </t>
  </si>
  <si>
    <t xml:space="preserve">Number of  Supplier       </t>
  </si>
  <si>
    <t>Row Labels</t>
  </si>
  <si>
    <t>Sum of Procurement</t>
  </si>
  <si>
    <t xml:space="preserve"> Gusau General Hospital     </t>
  </si>
  <si>
    <t xml:space="preserve"> Benin City General Hospital </t>
  </si>
  <si>
    <t xml:space="preserve"> Dutse General Hospital     </t>
  </si>
  <si>
    <t xml:space="preserve"> Yenagoa Medical Center    </t>
  </si>
  <si>
    <t xml:space="preserve"> Minna Federal Medical Center </t>
  </si>
  <si>
    <t>Grand Total</t>
  </si>
  <si>
    <t>Total Equipment Purchased</t>
  </si>
  <si>
    <t xml:space="preserve">Count of  Equipment     </t>
  </si>
  <si>
    <t xml:space="preserve"> Pediatrics       </t>
  </si>
  <si>
    <t xml:space="preserve"> Radiology        </t>
  </si>
  <si>
    <t xml:space="preserve"> Surgery          </t>
  </si>
  <si>
    <t xml:space="preserve"> Emergency Care   </t>
  </si>
  <si>
    <t xml:space="preserve">Sum of  Maintenance Cost (USD/year) </t>
  </si>
  <si>
    <t xml:space="preserve"> MRI Machine          </t>
  </si>
  <si>
    <t xml:space="preserve"> CT Scanner           </t>
  </si>
  <si>
    <t xml:space="preserve"> Anesthesia Machine  </t>
  </si>
  <si>
    <t xml:space="preserve"> Operating Table      </t>
  </si>
  <si>
    <t xml:space="preserve"> Ventilator           </t>
  </si>
  <si>
    <t xml:space="preserve"> State   </t>
  </si>
  <si>
    <t xml:space="preserve">Sum of  Installation Cost (USD) </t>
  </si>
  <si>
    <t xml:space="preserve"> Imo         </t>
  </si>
  <si>
    <t xml:space="preserve"> Kaduna      </t>
  </si>
  <si>
    <t xml:space="preserve"> Nasarawa </t>
  </si>
  <si>
    <t xml:space="preserve"> Ogun        </t>
  </si>
  <si>
    <t xml:space="preserve"> Osun        </t>
  </si>
  <si>
    <t xml:space="preserve"> China           </t>
  </si>
  <si>
    <t xml:space="preserve"> France          </t>
  </si>
  <si>
    <t xml:space="preserve"> UAE             </t>
  </si>
  <si>
    <t xml:space="preserve"> USA             </t>
  </si>
  <si>
    <t xml:space="preserve"> Australia       </t>
  </si>
  <si>
    <t>Average of Delievry days</t>
  </si>
  <si>
    <t>Total Procurement Cost</t>
  </si>
  <si>
    <t>Total Installation Cost</t>
  </si>
  <si>
    <t>Total Maintenance Cost</t>
  </si>
  <si>
    <t>Number of Suppliers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</si>
</sst>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[$$-409]* #,##0_);_([$$-409]* \(#,##0\);_([$$-409]* &quot;-&quot;??_);_(@_)"/>
    <numFmt numFmtId="179" formatCode="_(&quot;$&quot;* #,##0_);_(&quot;$&quot;* \(#,##0\);_(&quot;$&quot;* &quot;-&quot;??_);_(@_)"/>
    <numFmt numFmtId="180" formatCode="0.0_ "/>
    <numFmt numFmtId="181" formatCode="[$-409]dddd\,mmmm\ d\,yyyy;@"/>
    <numFmt numFmtId="182" formatCode="0.00_);[Red]\(0.00\)"/>
    <numFmt numFmtId="183" formatCode="_([$$-409]* #,##0.00_);_([$$-409]* \(#,##0.00\);_([$$-409]* &quot;-&quot;??_);_(@_)"/>
    <numFmt numFmtId="184" formatCode="_([$$-409]* #,##0.00_);_([$$-409]* \(#,##0.00\);_([$$-409]* &quot;-&quot;??_);_(@_)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3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78" fontId="2" fillId="0" borderId="0" xfId="0" applyNumberFormat="1" applyFont="1" applyAlignment="1">
      <alignment horizontal="center"/>
    </xf>
    <xf numFmtId="178" fontId="2" fillId="0" borderId="0" xfId="0" applyNumberFormat="1" applyFont="1" applyAlignment="1">
      <alignment horizontal="left"/>
    </xf>
    <xf numFmtId="178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178" fontId="0" fillId="0" borderId="0" xfId="0" applyNumberFormat="1" applyAlignment="1">
      <alignment horizontal="left"/>
    </xf>
    <xf numFmtId="178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left"/>
    </xf>
    <xf numFmtId="179" fontId="0" fillId="0" borderId="0" xfId="0" applyNumberFormat="1"/>
    <xf numFmtId="44" fontId="0" fillId="0" borderId="0" xfId="0" applyNumberFormat="1"/>
    <xf numFmtId="18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9" fontId="0" fillId="0" borderId="0" xfId="0" applyNumberFormat="1"/>
    <xf numFmtId="2" fontId="0" fillId="0" borderId="0" xfId="0" applyNumberFormat="1"/>
    <xf numFmtId="181" fontId="0" fillId="0" borderId="0" xfId="0" applyNumberFormat="1"/>
    <xf numFmtId="182" fontId="0" fillId="0" borderId="0" xfId="0" applyNumberFormat="1"/>
    <xf numFmtId="2" fontId="0" fillId="0" borderId="0" xfId="0" applyNumberFormat="1" applyFont="1"/>
    <xf numFmtId="0" fontId="0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4">
    <dxf>
      <numFmt numFmtId="183" formatCode="_([$$-409]* #,##0.00_);_([$$-409]* \(#,##0.00\);_([$$-409]* &quot;-&quot;??_);_(@_)"/>
    </dxf>
    <dxf>
      <alignment horizontal="left"/>
    </dxf>
    <dxf/>
    <dxf/>
    <dxf/>
    <dxf/>
    <dxf/>
    <dxf/>
    <dxf/>
    <dxf/>
    <dxf/>
    <dxf/>
    <dxf/>
    <dxf/>
    <dxf/>
    <dxf/>
    <dxf/>
    <dxf>
      <numFmt numFmtId="185" formatCode="_([$$-409]* #,##0.0_);_([$$-409]* \(#,##0.0\);_([$$-409]* &quot;-&quot;??_);_(@_)"/>
    </dxf>
    <dxf>
      <numFmt numFmtId="178" formatCode="_([$$-409]* #,##0_);_([$$-409]* \(#,##0\);_([$$-409]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183" formatCode="_([$$-409]* #,##0.00_);_([$$-409]* \(#,##0.00\);_([$$-409]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86" formatCode="0.0000000_ "/>
    </dxf>
    <dxf>
      <numFmt numFmtId="187" formatCode="0.000000_ "/>
    </dxf>
    <dxf>
      <numFmt numFmtId="188" formatCode="0.00000_ "/>
    </dxf>
    <dxf>
      <numFmt numFmtId="189" formatCode="0.0000_ "/>
    </dxf>
    <dxf>
      <numFmt numFmtId="190" formatCode="0.000_ "/>
    </dxf>
    <dxf>
      <numFmt numFmtId="191" formatCode="0.00_ "/>
    </dxf>
    <dxf>
      <numFmt numFmtId="180" formatCode="0.0_ "/>
    </dxf>
    <dxf>
      <numFmt numFmtId="192" formatCode="0_ "/>
    </dxf>
    <dxf>
      <numFmt numFmtId="180" formatCode="0.0_ "/>
    </dxf>
    <dxf>
      <numFmt numFmtId="183" formatCode="_([$$-409]* #,##0.00_);_([$$-409]* \(#,##0.00\);_([$$-409]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83" formatCode="_([$$-409]* #,##0.00_);_([$$-409]* \(#,##0.00\);_([$$-409]* &quot;-&quot;??_);_(@_)"/>
    </dxf>
    <dxf>
      <numFmt numFmtId="193" formatCode="_([$$-409]* #,##0.0_);_([$$-409]* \(#,##0.0\);_([$$-409]* &quot;-&quot;??_);_(@_)"/>
    </dxf>
    <dxf>
      <numFmt numFmtId="178" formatCode="_([$$-409]* #,##0_);_([$$-409]* \(#,##0\);_([$$-409]* &quot;-&quot;??_);_(@_)"/>
    </dxf>
    <dxf>
      <numFmt numFmtId="183" formatCode="_([$$-409]* #,##0.00_);_([$$-409]* \(#,##0.00\);_([$$-409]* &quot;-&quot;??_);_(@_)"/>
    </dxf>
    <dxf>
      <numFmt numFmtId="194" formatCode="_([$$-409]* #,##0.0_);_([$$-409]* \(#,##0.0\);_([$$-409]* &quot;-&quot;??_);_(@_)"/>
    </dxf>
    <dxf>
      <numFmt numFmtId="178" formatCode="_([$$-409]* #,##0_);_([$$-409]* \(#,##0\);_([$$-409]* &quot;-&quot;??_);_(@_)"/>
    </dxf>
    <dxf>
      <numFmt numFmtId="183" formatCode="_([$$-409]* #,##0.00_);_([$$-409]* \(#,##0.00\);_([$$-409]* &quot;-&quot;??_);_(@_)"/>
    </dxf>
    <dxf>
      <alignment horizontal="left"/>
    </dxf>
    <dxf/>
    <dxf/>
    <dxf/>
    <dxf/>
    <dxf/>
    <dxf/>
    <dxf/>
    <dxf/>
    <dxf/>
    <dxf/>
    <dxf/>
    <dxf/>
    <dxf/>
    <dxf/>
    <dxf/>
    <dxf>
      <numFmt numFmtId="195" formatCode="_([$$-409]* #,##0.0_);_([$$-409]* \(#,##0.0\);_([$$-409]* &quot;-&quot;??_);_(@_)"/>
    </dxf>
    <dxf>
      <numFmt numFmtId="178" formatCode="_([$$-409]* #,##0_);_([$$-409]* \(#,##0\);_([$$-409]* &quot;-&quot;??_);_(@_)"/>
    </dxf>
    <dxf>
      <numFmt numFmtId="183" formatCode="_([$$-409]* #,##0.00_);_([$$-409]* \(#,##0.00\);_([$$-409]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83" formatCode="_([$$-409]* #,##0.00_);_([$$-409]* \(#,##0.00\);_([$$-409]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83" formatCode="_([$$-409]* #,##0.00_);_([$$-409]* \(#,##0.00\);_([$$-409]* &quot;-&quot;??_);_(@_)"/>
    </dxf>
    <dxf>
      <numFmt numFmtId="196" formatCode="_([$$-409]* #,##0.0_);_([$$-409]* \(#,##0.0\);_([$$-409]* &quot;-&quot;??_);_(@_)"/>
    </dxf>
    <dxf>
      <numFmt numFmtId="178" formatCode="_([$$-409]* #,##0_);_([$$-409]* \(#,##0\);_([$$-409]* &quot;-&quot;??_);_(@_)"/>
    </dxf>
    <dxf>
      <numFmt numFmtId="0" formatCode="General"/>
    </dxf>
    <dxf>
      <numFmt numFmtId="197" formatCode="0.00000_ "/>
    </dxf>
    <dxf>
      <numFmt numFmtId="198" formatCode="0.0000_ "/>
    </dxf>
    <dxf>
      <numFmt numFmtId="199" formatCode="0.000_ "/>
    </dxf>
    <dxf>
      <numFmt numFmtId="200" formatCode="0.00_ "/>
    </dxf>
    <dxf>
      <numFmt numFmtId="180" formatCode="0.0_ "/>
    </dxf>
    <dxf>
      <numFmt numFmtId="201" formatCode="0_ "/>
    </dxf>
    <dxf>
      <numFmt numFmtId="44" formatCode="_(&quot;$&quot;* #,##0.00_);_(&quot;$&quot;* \(#,##0.00\);_(&quot;$&quot;* &quot;-&quot;??_);_(@_)"/>
    </dxf>
    <dxf>
      <numFmt numFmtId="202" formatCode="_(&quot;$&quot;* #,##0.0_);_(&quot;$&quot;* \(#,##0.0\);_(&quot;$&quot;* &quot;-&quot;??_);_(@_)"/>
    </dxf>
    <dxf>
      <numFmt numFmtId="179" formatCode="_(&quot;$&quot;* #,##0_);_(&quot;$&quot;* \(#,##0\);_(&quot;$&quot;* &quot;-&quot;??_);_(@_)"/>
    </dxf>
    <dxf>
      <numFmt numFmtId="183" formatCode="_([$$-409]* #,##0.00_);_([$$-409]* \(#,##0.00\);_([$$-409]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49" formatCode="@"/>
    </dxf>
    <dxf>
      <numFmt numFmtId="49" formatCode="@"/>
    </dxf>
    <dxf>
      <numFmt numFmtId="49" formatCode="@"/>
    </dxf>
    <dxf>
      <numFmt numFmtId="49" formatCode="@"/>
    </dxf>
    <dxf>
      <numFmt numFmtId="49" formatCode="@"/>
    </dxf>
    <dxf>
      <numFmt numFmtId="49" formatCode="@"/>
    </dxf>
    <dxf>
      <numFmt numFmtId="181" formatCode="[$-409]dddd\,mmmm\ d\,yyyy;@"/>
    </dxf>
    <dxf>
      <numFmt numFmtId="181" formatCode="[$-409]dddd\,mmmm\ d\,yyyy;@"/>
    </dxf>
    <dxf>
      <numFmt numFmtId="49" formatCode="@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[Procurement Dataset Excel Project 5.xlsx]Pivot table!PivotTable18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Procument by Hospital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table'!$A$17:$A$22</c:f>
              <c:strCache>
                <c:ptCount val="5"/>
                <c:pt idx="0">
                  <c:v> Gusau General Hospital     </c:v>
                </c:pt>
                <c:pt idx="1">
                  <c:v> Benin City General Hospital </c:v>
                </c:pt>
                <c:pt idx="2">
                  <c:v> Dutse General Hospital     </c:v>
                </c:pt>
                <c:pt idx="3">
                  <c:v> Yenagoa Medical Center    </c:v>
                </c:pt>
                <c:pt idx="4">
                  <c:v> Minna Federal Medical Center </c:v>
                </c:pt>
              </c:strCache>
            </c:strRef>
          </c:cat>
          <c:val>
            <c:numRef>
              <c:f>'Pivot table'!$B$17:$B$22</c:f>
              <c:numCache>
                <c:formatCode>_([$$-409]* #,##0_);_([$$-409]* \(#,##0\);_([$$-409]* "-"??_);_(@_)</c:formatCode>
                <c:ptCount val="5"/>
                <c:pt idx="0">
                  <c:v>1230000</c:v>
                </c:pt>
                <c:pt idx="1">
                  <c:v>1274000</c:v>
                </c:pt>
                <c:pt idx="2">
                  <c:v>1335000</c:v>
                </c:pt>
                <c:pt idx="3">
                  <c:v>1379000</c:v>
                </c:pt>
                <c:pt idx="4">
                  <c:v>1815000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287154233"/>
        <c:axId val="540016430"/>
      </c:barChart>
      <c:catAx>
        <c:axId val="28715423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0016430"/>
        <c:crosses val="autoZero"/>
        <c:auto val="1"/>
        <c:lblAlgn val="ctr"/>
        <c:lblOffset val="100"/>
        <c:noMultiLvlLbl val="0"/>
      </c:catAx>
      <c:valAx>
        <c:axId val="540016430"/>
        <c:scaling>
          <c:orientation val="minMax"/>
        </c:scaling>
        <c:delete val="1"/>
        <c:axPos val="b"/>
        <c:numFmt formatCode="_([$$-409]* #,##0_);_([$$-409]* \(#,##0\);_([$$-409]* &quot;-&quot;??_);_(@_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715423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f87c282-6e5c-455f-8a3e-efc7aa297fb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[Procurement Dataset Excel Project 5.xlsx]Pivot table!PivotTable5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Installation Cost by State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table'!$A$74:$A$79</c:f>
              <c:strCache>
                <c:ptCount val="5"/>
                <c:pt idx="0">
                  <c:v> Imo         </c:v>
                </c:pt>
                <c:pt idx="1">
                  <c:v> Kaduna      </c:v>
                </c:pt>
                <c:pt idx="2">
                  <c:v> Nasarawa </c:v>
                </c:pt>
                <c:pt idx="3">
                  <c:v> Ogun        </c:v>
                </c:pt>
                <c:pt idx="4">
                  <c:v> Osun        </c:v>
                </c:pt>
              </c:strCache>
            </c:strRef>
          </c:cat>
          <c:val>
            <c:numRef>
              <c:f>'Pivot table'!$B$74:$B$79</c:f>
              <c:numCache>
                <c:formatCode>_("$"* #,##0.00_);_("$"* \(#,##0.00\);_("$"* "-"??_);_(@_)</c:formatCode>
                <c:ptCount val="5"/>
                <c:pt idx="0">
                  <c:v>10200</c:v>
                </c:pt>
                <c:pt idx="1">
                  <c:v>14000</c:v>
                </c:pt>
                <c:pt idx="2">
                  <c:v>11800</c:v>
                </c:pt>
                <c:pt idx="3">
                  <c:v>17500</c:v>
                </c:pt>
                <c:pt idx="4">
                  <c:v>20100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554970293"/>
        <c:axId val="307557865"/>
      </c:barChart>
      <c:catAx>
        <c:axId val="55497029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7557865"/>
        <c:crosses val="autoZero"/>
        <c:auto val="1"/>
        <c:lblAlgn val="ctr"/>
        <c:lblOffset val="100"/>
        <c:noMultiLvlLbl val="0"/>
      </c:catAx>
      <c:valAx>
        <c:axId val="307557865"/>
        <c:scaling>
          <c:orientation val="minMax"/>
        </c:scaling>
        <c:delete val="1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497029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1fafed8-3153-41e6-9e30-6952c4c5e4a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[Procurement Dataset Excel Project 5.xlsx]Pivot table!PivotTable10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Delivery by Supplier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table'!$B$108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table'!$A$109:$A$114</c:f>
              <c:strCache>
                <c:ptCount val="5"/>
                <c:pt idx="0">
                  <c:v>GynoTech</c:v>
                </c:pt>
                <c:pt idx="1">
                  <c:v>Imagix</c:v>
                </c:pt>
                <c:pt idx="2">
                  <c:v>CardioTech</c:v>
                </c:pt>
                <c:pt idx="3">
                  <c:v>UroMed</c:v>
                </c:pt>
                <c:pt idx="4">
                  <c:v>MRI Solutions</c:v>
                </c:pt>
              </c:strCache>
            </c:strRef>
          </c:cat>
          <c:val>
            <c:numRef>
              <c:f>'Pivot table'!$B$109:$B$114</c:f>
              <c:numCache>
                <c:formatCode>0.0_ </c:formatCode>
                <c:ptCount val="5"/>
                <c:pt idx="0">
                  <c:v>26.3333333333333</c:v>
                </c:pt>
                <c:pt idx="1">
                  <c:v>26.3333333333333</c:v>
                </c:pt>
                <c:pt idx="2">
                  <c:v>27</c:v>
                </c:pt>
                <c:pt idx="3">
                  <c:v>27</c:v>
                </c:pt>
                <c:pt idx="4">
                  <c:v>29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03669834"/>
        <c:axId val="540558985"/>
      </c:barChart>
      <c:catAx>
        <c:axId val="40366983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0558985"/>
        <c:crosses val="autoZero"/>
        <c:auto val="1"/>
        <c:lblAlgn val="ctr"/>
        <c:lblOffset val="100"/>
        <c:noMultiLvlLbl val="0"/>
      </c:catAx>
      <c:valAx>
        <c:axId val="540558985"/>
        <c:scaling>
          <c:orientation val="minMax"/>
        </c:scaling>
        <c:delete val="1"/>
        <c:axPos val="b"/>
        <c:numFmt formatCode="0.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366983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15465c2-7009-445f-8d4d-a95d0c7ccd3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[Procurement Dataset Excel Project 5.xlsx]Pivot 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96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 b="1"/>
              <a:t>Maintenance by Equipment</a:t>
            </a:r>
            <a:endParaRPr sz="12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table'!$A$54:$A$59</c:f>
              <c:strCache>
                <c:ptCount val="5"/>
                <c:pt idx="0">
                  <c:v> MRI Machine          </c:v>
                </c:pt>
                <c:pt idx="1">
                  <c:v> CT Scanner           </c:v>
                </c:pt>
                <c:pt idx="2">
                  <c:v> Anesthesia Machine  </c:v>
                </c:pt>
                <c:pt idx="3">
                  <c:v> Operating Table      </c:v>
                </c:pt>
                <c:pt idx="4">
                  <c:v> Ventilator           </c:v>
                </c:pt>
              </c:strCache>
            </c:strRef>
          </c:cat>
          <c:val>
            <c:numRef>
              <c:f>'Pivot table'!$B$54:$B$59</c:f>
              <c:numCache>
                <c:formatCode>_("$"* #,##0_);_("$"* \(#,##0\);_("$"* "-"??_);_(@_)</c:formatCode>
                <c:ptCount val="5"/>
                <c:pt idx="0">
                  <c:v>45000</c:v>
                </c:pt>
                <c:pt idx="1">
                  <c:v>36000</c:v>
                </c:pt>
                <c:pt idx="2">
                  <c:v>35000</c:v>
                </c:pt>
                <c:pt idx="3">
                  <c:v>30600</c:v>
                </c:pt>
                <c:pt idx="4">
                  <c:v>30000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10237421"/>
        <c:axId val="913018324"/>
      </c:barChart>
      <c:catAx>
        <c:axId val="61023742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3018324"/>
        <c:crosses val="autoZero"/>
        <c:auto val="1"/>
        <c:lblAlgn val="ctr"/>
        <c:lblOffset val="100"/>
        <c:noMultiLvlLbl val="0"/>
      </c:catAx>
      <c:valAx>
        <c:axId val="913018324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023742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e53f447-4734-4eee-915c-dcc88d38e51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800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[Procurement Dataset Excel Project 5.xlsx]Pivot table!PivotTable2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Equipment Distribution by Department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table'!$A$37:$A$41</c:f>
              <c:strCache>
                <c:ptCount val="4"/>
                <c:pt idx="0">
                  <c:v> Pediatrics       </c:v>
                </c:pt>
                <c:pt idx="1">
                  <c:v> Radiology        </c:v>
                </c:pt>
                <c:pt idx="2">
                  <c:v> Surgery          </c:v>
                </c:pt>
                <c:pt idx="3">
                  <c:v> Emergency Care   </c:v>
                </c:pt>
              </c:strCache>
            </c:strRef>
          </c:cat>
          <c:val>
            <c:numRef>
              <c:f>'Pivot table'!$B$37:$B$41</c:f>
              <c:numCache>
                <c:formatCode>General</c:formatCode>
                <c:ptCount val="4"/>
                <c:pt idx="0">
                  <c:v>57</c:v>
                </c:pt>
                <c:pt idx="1">
                  <c:v>45</c:v>
                </c:pt>
                <c:pt idx="2">
                  <c:v>39</c:v>
                </c:pt>
                <c:pt idx="3">
                  <c:v>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97940646"/>
        <c:axId val="555256590"/>
      </c:barChart>
      <c:catAx>
        <c:axId val="89794064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256590"/>
        <c:crosses val="autoZero"/>
        <c:auto val="1"/>
        <c:lblAlgn val="ctr"/>
        <c:lblOffset val="100"/>
        <c:noMultiLvlLbl val="0"/>
      </c:catAx>
      <c:valAx>
        <c:axId val="55525659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794064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1ad204e-49c4-4dc2-a304-535074a52e9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[Procurement Dataset Excel Project 5.xlsx]Pivot table!PivotTable9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Supplier by country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table'!$B$90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table'!$A$91:$A$96</c:f>
              <c:strCache>
                <c:ptCount val="5"/>
                <c:pt idx="0">
                  <c:v> China           </c:v>
                </c:pt>
                <c:pt idx="1">
                  <c:v> France          </c:v>
                </c:pt>
                <c:pt idx="2">
                  <c:v> UAE             </c:v>
                </c:pt>
                <c:pt idx="3">
                  <c:v> USA             </c:v>
                </c:pt>
                <c:pt idx="4">
                  <c:v> Australia       </c:v>
                </c:pt>
              </c:strCache>
            </c:strRef>
          </c:cat>
          <c:val>
            <c:numRef>
              <c:f>'Pivot table'!$B$91:$B$96</c:f>
              <c:numCache>
                <c:formatCode>General</c:formatCode>
                <c:ptCount val="5"/>
                <c:pt idx="0">
                  <c:v>24</c:v>
                </c:pt>
                <c:pt idx="1">
                  <c:v>27</c:v>
                </c:pt>
                <c:pt idx="2">
                  <c:v>42</c:v>
                </c:pt>
                <c:pt idx="3">
                  <c:v>44</c:v>
                </c:pt>
                <c:pt idx="4">
                  <c:v>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301307813"/>
        <c:axId val="767331802"/>
      </c:barChart>
      <c:catAx>
        <c:axId val="30130781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7331802"/>
        <c:crosses val="autoZero"/>
        <c:auto val="1"/>
        <c:lblAlgn val="ctr"/>
        <c:lblOffset val="100"/>
        <c:noMultiLvlLbl val="0"/>
      </c:catAx>
      <c:valAx>
        <c:axId val="76733180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130781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90c3201-f1a5-432b-bad1-6b375545858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[Procurement Dataset Excel Project 5.xlsx]Pivot table!PivotTable18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1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100" b="1"/>
              <a:t>Procurement Cost by Hospital</a:t>
            </a:r>
            <a:endParaRPr sz="11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table'!$A$17:$A$22</c:f>
              <c:strCache>
                <c:ptCount val="5"/>
                <c:pt idx="0">
                  <c:v> Gusau General Hospital     </c:v>
                </c:pt>
                <c:pt idx="1">
                  <c:v> Benin City General Hospital </c:v>
                </c:pt>
                <c:pt idx="2">
                  <c:v> Dutse General Hospital     </c:v>
                </c:pt>
                <c:pt idx="3">
                  <c:v> Yenagoa Medical Center    </c:v>
                </c:pt>
                <c:pt idx="4">
                  <c:v> Minna Federal Medical Center </c:v>
                </c:pt>
              </c:strCache>
            </c:strRef>
          </c:cat>
          <c:val>
            <c:numRef>
              <c:f>'Pivot table'!$B$17:$B$22</c:f>
              <c:numCache>
                <c:formatCode>_([$$-409]* #,##0_);_([$$-409]* \(#,##0\);_([$$-409]* "-"??_);_(@_)</c:formatCode>
                <c:ptCount val="5"/>
                <c:pt idx="0">
                  <c:v>1230000</c:v>
                </c:pt>
                <c:pt idx="1">
                  <c:v>1274000</c:v>
                </c:pt>
                <c:pt idx="2">
                  <c:v>1335000</c:v>
                </c:pt>
                <c:pt idx="3">
                  <c:v>1379000</c:v>
                </c:pt>
                <c:pt idx="4">
                  <c:v>1815000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287154233"/>
        <c:axId val="540016430"/>
      </c:barChart>
      <c:catAx>
        <c:axId val="28715423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0016430"/>
        <c:crosses val="autoZero"/>
        <c:auto val="1"/>
        <c:lblAlgn val="ctr"/>
        <c:lblOffset val="100"/>
        <c:noMultiLvlLbl val="0"/>
      </c:catAx>
      <c:valAx>
        <c:axId val="540016430"/>
        <c:scaling>
          <c:orientation val="minMax"/>
        </c:scaling>
        <c:delete val="1"/>
        <c:axPos val="b"/>
        <c:numFmt formatCode="_([$$-409]* #,##0_);_([$$-409]* \(#,##0\);_([$$-409]* &quot;-&quot;??_);_(@_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715423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e696ad7-5eae-495a-842a-aef59eb82c7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900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[Procurement Dataset Excel Project 5.xlsx]Pivot table!PivotTable2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1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100" b="1"/>
              <a:t>Equipment Distribution by Department</a:t>
            </a:r>
            <a:endParaRPr sz="11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table'!$A$37:$A$41</c:f>
              <c:strCache>
                <c:ptCount val="4"/>
                <c:pt idx="0">
                  <c:v> Pediatrics       </c:v>
                </c:pt>
                <c:pt idx="1">
                  <c:v> Radiology        </c:v>
                </c:pt>
                <c:pt idx="2">
                  <c:v> Surgery          </c:v>
                </c:pt>
                <c:pt idx="3">
                  <c:v> Emergency Care   </c:v>
                </c:pt>
              </c:strCache>
            </c:strRef>
          </c:cat>
          <c:val>
            <c:numRef>
              <c:f>'Pivot table'!$B$37:$B$41</c:f>
              <c:numCache>
                <c:formatCode>General</c:formatCode>
                <c:ptCount val="4"/>
                <c:pt idx="0">
                  <c:v>57</c:v>
                </c:pt>
                <c:pt idx="1">
                  <c:v>45</c:v>
                </c:pt>
                <c:pt idx="2">
                  <c:v>39</c:v>
                </c:pt>
                <c:pt idx="3">
                  <c:v>36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3488093"/>
        <c:axId val="789945262"/>
      </c:barChart>
      <c:catAx>
        <c:axId val="634880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9945262"/>
        <c:crosses val="autoZero"/>
        <c:auto val="1"/>
        <c:lblAlgn val="ctr"/>
        <c:lblOffset val="100"/>
        <c:noMultiLvlLbl val="0"/>
      </c:catAx>
      <c:valAx>
        <c:axId val="78994526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48809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5019a5b-ebf6-4e80-9f56-2f76a2acd46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800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[Procurement Dataset Excel Project 5.xlsx]Pivot table!PivotTable10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1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100"/>
              <a:t>Delivery Time by Supplier</a:t>
            </a:r>
            <a:endParaRPr sz="11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table'!$B$108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table'!$A$109:$A$114</c:f>
              <c:strCache>
                <c:ptCount val="5"/>
                <c:pt idx="0">
                  <c:v>GynoTech</c:v>
                </c:pt>
                <c:pt idx="1">
                  <c:v>Imagix</c:v>
                </c:pt>
                <c:pt idx="2">
                  <c:v>CardioTech</c:v>
                </c:pt>
                <c:pt idx="3">
                  <c:v>UroMed</c:v>
                </c:pt>
                <c:pt idx="4">
                  <c:v>MRI Solutions</c:v>
                </c:pt>
              </c:strCache>
            </c:strRef>
          </c:cat>
          <c:val>
            <c:numRef>
              <c:f>'Pivot table'!$B$109:$B$114</c:f>
              <c:numCache>
                <c:formatCode>0.0_ </c:formatCode>
                <c:ptCount val="5"/>
                <c:pt idx="0">
                  <c:v>26.3333333333333</c:v>
                </c:pt>
                <c:pt idx="1">
                  <c:v>26.3333333333333</c:v>
                </c:pt>
                <c:pt idx="2">
                  <c:v>27</c:v>
                </c:pt>
                <c:pt idx="3">
                  <c:v>27</c:v>
                </c:pt>
                <c:pt idx="4">
                  <c:v>29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03669834"/>
        <c:axId val="540558985"/>
      </c:barChart>
      <c:catAx>
        <c:axId val="40366983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0558985"/>
        <c:crosses val="autoZero"/>
        <c:auto val="1"/>
        <c:lblAlgn val="ctr"/>
        <c:lblOffset val="100"/>
        <c:noMultiLvlLbl val="0"/>
      </c:catAx>
      <c:valAx>
        <c:axId val="540558985"/>
        <c:scaling>
          <c:orientation val="minMax"/>
        </c:scaling>
        <c:delete val="1"/>
        <c:axPos val="b"/>
        <c:numFmt formatCode="0.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366983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9208221-2e04-4953-b054-d934e06977f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[Procurement Dataset Excel Project 5.xlsx]Pivot table!PivotTable3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1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100" b="1"/>
              <a:t>Maintenance Cost by Equipment</a:t>
            </a:r>
            <a:endParaRPr sz="11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table'!$A$54:$A$59</c:f>
              <c:strCache>
                <c:ptCount val="5"/>
                <c:pt idx="0">
                  <c:v> MRI Machine          </c:v>
                </c:pt>
                <c:pt idx="1">
                  <c:v> CT Scanner           </c:v>
                </c:pt>
                <c:pt idx="2">
                  <c:v> Anesthesia Machine  </c:v>
                </c:pt>
                <c:pt idx="3">
                  <c:v> Operating Table      </c:v>
                </c:pt>
                <c:pt idx="4">
                  <c:v> Ventilator           </c:v>
                </c:pt>
              </c:strCache>
            </c:strRef>
          </c:cat>
          <c:val>
            <c:numRef>
              <c:f>'Pivot table'!$B$54:$B$59</c:f>
              <c:numCache>
                <c:formatCode>_("$"* #,##0_);_("$"* \(#,##0\);_("$"* "-"??_);_(@_)</c:formatCode>
                <c:ptCount val="5"/>
                <c:pt idx="0">
                  <c:v>45000</c:v>
                </c:pt>
                <c:pt idx="1">
                  <c:v>36000</c:v>
                </c:pt>
                <c:pt idx="2">
                  <c:v>35000</c:v>
                </c:pt>
                <c:pt idx="3">
                  <c:v>30600</c:v>
                </c:pt>
                <c:pt idx="4">
                  <c:v>30000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10237421"/>
        <c:axId val="913018324"/>
      </c:barChart>
      <c:catAx>
        <c:axId val="61023742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3018324"/>
        <c:crosses val="autoZero"/>
        <c:auto val="1"/>
        <c:lblAlgn val="ctr"/>
        <c:lblOffset val="100"/>
        <c:noMultiLvlLbl val="0"/>
      </c:catAx>
      <c:valAx>
        <c:axId val="913018324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023742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2ce128a-31a3-4483-b5cd-83e1de57c3e6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700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[Procurement Dataset Excel Project 5.xlsx]Pivot table!PivotTable9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1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100" b="1"/>
              <a:t>Supplier Distribution by Country</a:t>
            </a:r>
            <a:endParaRPr sz="11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table'!$B$90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table'!$A$91:$A$96</c:f>
              <c:strCache>
                <c:ptCount val="5"/>
                <c:pt idx="0">
                  <c:v> China           </c:v>
                </c:pt>
                <c:pt idx="1">
                  <c:v> France          </c:v>
                </c:pt>
                <c:pt idx="2">
                  <c:v> UAE             </c:v>
                </c:pt>
                <c:pt idx="3">
                  <c:v> USA             </c:v>
                </c:pt>
                <c:pt idx="4">
                  <c:v> Australia       </c:v>
                </c:pt>
              </c:strCache>
            </c:strRef>
          </c:cat>
          <c:val>
            <c:numRef>
              <c:f>'Pivot table'!$B$91:$B$96</c:f>
              <c:numCache>
                <c:formatCode>General</c:formatCode>
                <c:ptCount val="5"/>
                <c:pt idx="0">
                  <c:v>24</c:v>
                </c:pt>
                <c:pt idx="1">
                  <c:v>27</c:v>
                </c:pt>
                <c:pt idx="2">
                  <c:v>42</c:v>
                </c:pt>
                <c:pt idx="3">
                  <c:v>44</c:v>
                </c:pt>
                <c:pt idx="4">
                  <c:v>62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973122400"/>
        <c:axId val="89171126"/>
      </c:barChart>
      <c:catAx>
        <c:axId val="973122400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171126"/>
        <c:crosses val="autoZero"/>
        <c:auto val="1"/>
        <c:lblAlgn val="ctr"/>
        <c:lblOffset val="100"/>
        <c:noMultiLvlLbl val="0"/>
      </c:catAx>
      <c:valAx>
        <c:axId val="8917112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312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29e2e200-4aec-40ad-9741-5f337c90401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100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[Procurement Dataset Excel Project 5.xlsx]Pivot table!PivotTable5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1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100" b="1"/>
              <a:t>Installation Cost by State</a:t>
            </a:r>
            <a:endParaRPr sz="11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table'!$A$74:$A$79</c:f>
              <c:strCache>
                <c:ptCount val="5"/>
                <c:pt idx="0">
                  <c:v> Imo         </c:v>
                </c:pt>
                <c:pt idx="1">
                  <c:v> Kaduna      </c:v>
                </c:pt>
                <c:pt idx="2">
                  <c:v> Nasarawa </c:v>
                </c:pt>
                <c:pt idx="3">
                  <c:v> Ogun        </c:v>
                </c:pt>
                <c:pt idx="4">
                  <c:v> Osun        </c:v>
                </c:pt>
              </c:strCache>
            </c:strRef>
          </c:cat>
          <c:val>
            <c:numRef>
              <c:f>'Pivot table'!$B$74:$B$79</c:f>
              <c:numCache>
                <c:formatCode>_("$"* #,##0.00_);_("$"* \(#,##0.00\);_("$"* "-"??_);_(@_)</c:formatCode>
                <c:ptCount val="5"/>
                <c:pt idx="0">
                  <c:v>10200</c:v>
                </c:pt>
                <c:pt idx="1">
                  <c:v>14000</c:v>
                </c:pt>
                <c:pt idx="2">
                  <c:v>11800</c:v>
                </c:pt>
                <c:pt idx="3">
                  <c:v>17500</c:v>
                </c:pt>
                <c:pt idx="4">
                  <c:v>20100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554970293"/>
        <c:axId val="307557865"/>
      </c:barChart>
      <c:catAx>
        <c:axId val="55497029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7557865"/>
        <c:crosses val="autoZero"/>
        <c:auto val="1"/>
        <c:lblAlgn val="ctr"/>
        <c:lblOffset val="100"/>
        <c:noMultiLvlLbl val="0"/>
      </c:catAx>
      <c:valAx>
        <c:axId val="307557865"/>
        <c:scaling>
          <c:orientation val="minMax"/>
        </c:scaling>
        <c:delete val="1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497029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dc8d3fc-a7e3-4e6f-ab5d-577e9939b7c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222250</xdr:colOff>
      <xdr:row>15</xdr:row>
      <xdr:rowOff>44450</xdr:rowOff>
    </xdr:from>
    <xdr:to>
      <xdr:col>8</xdr:col>
      <xdr:colOff>647700</xdr:colOff>
      <xdr:row>29</xdr:row>
      <xdr:rowOff>120650</xdr:rowOff>
    </xdr:to>
    <xdr:graphicFrame>
      <xdr:nvGraphicFramePr>
        <xdr:cNvPr id="7" name="Chart 6"/>
        <xdr:cNvGraphicFramePr/>
      </xdr:nvGraphicFramePr>
      <xdr:xfrm>
        <a:off x="2727325" y="29019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355600</xdr:colOff>
      <xdr:row>72</xdr:row>
      <xdr:rowOff>3175</xdr:rowOff>
    </xdr:from>
    <xdr:to>
      <xdr:col>9</xdr:col>
      <xdr:colOff>47625</xdr:colOff>
      <xdr:row>86</xdr:row>
      <xdr:rowOff>79375</xdr:rowOff>
    </xdr:to>
    <xdr:graphicFrame>
      <xdr:nvGraphicFramePr>
        <xdr:cNvPr id="8" name="Chart 7"/>
        <xdr:cNvGraphicFramePr/>
      </xdr:nvGraphicFramePr>
      <xdr:xfrm>
        <a:off x="2860675" y="137191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222250</xdr:colOff>
      <xdr:row>106</xdr:row>
      <xdr:rowOff>171450</xdr:rowOff>
    </xdr:from>
    <xdr:to>
      <xdr:col>8</xdr:col>
      <xdr:colOff>647700</xdr:colOff>
      <xdr:row>121</xdr:row>
      <xdr:rowOff>57150</xdr:rowOff>
    </xdr:to>
    <xdr:graphicFrame>
      <xdr:nvGraphicFramePr>
        <xdr:cNvPr id="11" name="Chart 10"/>
        <xdr:cNvGraphicFramePr/>
      </xdr:nvGraphicFramePr>
      <xdr:xfrm>
        <a:off x="2727325" y="203644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1660525</xdr:colOff>
      <xdr:row>51</xdr:row>
      <xdr:rowOff>22225</xdr:rowOff>
    </xdr:from>
    <xdr:to>
      <xdr:col>7</xdr:col>
      <xdr:colOff>257175</xdr:colOff>
      <xdr:row>65</xdr:row>
      <xdr:rowOff>98425</xdr:rowOff>
    </xdr:to>
    <xdr:graphicFrame>
      <xdr:nvGraphicFramePr>
        <xdr:cNvPr id="12" name="Chart 11"/>
        <xdr:cNvGraphicFramePr/>
      </xdr:nvGraphicFramePr>
      <xdr:xfrm>
        <a:off x="2505075" y="9737725"/>
        <a:ext cx="39243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3175</xdr:colOff>
      <xdr:row>33</xdr:row>
      <xdr:rowOff>187325</xdr:rowOff>
    </xdr:from>
    <xdr:to>
      <xdr:col>8</xdr:col>
      <xdr:colOff>152400</xdr:colOff>
      <xdr:row>48</xdr:row>
      <xdr:rowOff>73025</xdr:rowOff>
    </xdr:to>
    <xdr:graphicFrame>
      <xdr:nvGraphicFramePr>
        <xdr:cNvPr id="14" name="Chart 13"/>
        <xdr:cNvGraphicFramePr/>
      </xdr:nvGraphicFramePr>
      <xdr:xfrm>
        <a:off x="3241675" y="6473825"/>
        <a:ext cx="38163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269875</xdr:colOff>
      <xdr:row>89</xdr:row>
      <xdr:rowOff>146050</xdr:rowOff>
    </xdr:from>
    <xdr:to>
      <xdr:col>8</xdr:col>
      <xdr:colOff>695325</xdr:colOff>
      <xdr:row>104</xdr:row>
      <xdr:rowOff>31750</xdr:rowOff>
    </xdr:to>
    <xdr:graphicFrame>
      <xdr:nvGraphicFramePr>
        <xdr:cNvPr id="15" name="Chart 14"/>
        <xdr:cNvGraphicFramePr/>
      </xdr:nvGraphicFramePr>
      <xdr:xfrm>
        <a:off x="2774950" y="171005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57150</xdr:colOff>
      <xdr:row>0</xdr:row>
      <xdr:rowOff>57150</xdr:rowOff>
    </xdr:from>
    <xdr:to>
      <xdr:col>10</xdr:col>
      <xdr:colOff>180975</xdr:colOff>
      <xdr:row>2</xdr:row>
      <xdr:rowOff>86360</xdr:rowOff>
    </xdr:to>
    <xdr:sp>
      <xdr:nvSpPr>
        <xdr:cNvPr id="2" name="Rounded Rectangle 1"/>
        <xdr:cNvSpPr/>
      </xdr:nvSpPr>
      <xdr:spPr>
        <a:xfrm>
          <a:off x="57150" y="57150"/>
          <a:ext cx="6638925" cy="410210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124460</xdr:colOff>
      <xdr:row>0</xdr:row>
      <xdr:rowOff>86360</xdr:rowOff>
    </xdr:from>
    <xdr:to>
      <xdr:col>9</xdr:col>
      <xdr:colOff>17780</xdr:colOff>
      <xdr:row>2</xdr:row>
      <xdr:rowOff>27305</xdr:rowOff>
    </xdr:to>
    <xdr:sp>
      <xdr:nvSpPr>
        <xdr:cNvPr id="3" name="Text Box 2"/>
        <xdr:cNvSpPr txBox="1"/>
      </xdr:nvSpPr>
      <xdr:spPr>
        <a:xfrm>
          <a:off x="124460" y="86360"/>
          <a:ext cx="5798820" cy="32194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US" sz="1600" b="1">
              <a:latin typeface="Georgia" panose="02040502050405020303" charset="0"/>
              <a:cs typeface="Georgia" panose="02040502050405020303" charset="0"/>
            </a:rPr>
            <a:t>Medical Equipment Procurement Dashboard</a:t>
          </a:r>
          <a:endParaRPr lang="en-US" sz="1600" b="1">
            <a:latin typeface="Georgia" panose="02040502050405020303" charset="0"/>
            <a:cs typeface="Georgia" panose="02040502050405020303" charset="0"/>
          </a:endParaRPr>
        </a:p>
      </xdr:txBody>
    </xdr:sp>
    <xdr:clientData/>
  </xdr:twoCellAnchor>
  <xdr:twoCellAnchor>
    <xdr:from>
      <xdr:col>8</xdr:col>
      <xdr:colOff>272415</xdr:colOff>
      <xdr:row>1</xdr:row>
      <xdr:rowOff>75565</xdr:rowOff>
    </xdr:from>
    <xdr:to>
      <xdr:col>10</xdr:col>
      <xdr:colOff>75565</xdr:colOff>
      <xdr:row>2</xdr:row>
      <xdr:rowOff>66675</xdr:rowOff>
    </xdr:to>
    <xdr:sp>
      <xdr:nvSpPr>
        <xdr:cNvPr id="4" name="Text Box 3"/>
        <xdr:cNvSpPr txBox="1"/>
      </xdr:nvSpPr>
      <xdr:spPr>
        <a:xfrm>
          <a:off x="5568315" y="266065"/>
          <a:ext cx="1022350" cy="18161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100" b="1"/>
            <a:t>NDIDIAMAKA</a:t>
          </a:r>
          <a:endParaRPr lang="en-US" sz="1100" b="1"/>
        </a:p>
      </xdr:txBody>
    </xdr:sp>
    <xdr:clientData/>
  </xdr:twoCellAnchor>
  <xdr:twoCellAnchor>
    <xdr:from>
      <xdr:col>0</xdr:col>
      <xdr:colOff>76200</xdr:colOff>
      <xdr:row>2</xdr:row>
      <xdr:rowOff>161925</xdr:rowOff>
    </xdr:from>
    <xdr:to>
      <xdr:col>2</xdr:col>
      <xdr:colOff>361950</xdr:colOff>
      <xdr:row>5</xdr:row>
      <xdr:rowOff>104775</xdr:rowOff>
    </xdr:to>
    <xdr:sp>
      <xdr:nvSpPr>
        <xdr:cNvPr id="5" name="Rounded Rectangle 4"/>
        <xdr:cNvSpPr/>
      </xdr:nvSpPr>
      <xdr:spPr>
        <a:xfrm>
          <a:off x="76200" y="542925"/>
          <a:ext cx="1752600" cy="523875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2</xdr:col>
      <xdr:colOff>422275</xdr:colOff>
      <xdr:row>2</xdr:row>
      <xdr:rowOff>165100</xdr:rowOff>
    </xdr:from>
    <xdr:to>
      <xdr:col>5</xdr:col>
      <xdr:colOff>98425</xdr:colOff>
      <xdr:row>5</xdr:row>
      <xdr:rowOff>107950</xdr:rowOff>
    </xdr:to>
    <xdr:sp>
      <xdr:nvSpPr>
        <xdr:cNvPr id="8" name="Rounded Rectangle 7"/>
        <xdr:cNvSpPr/>
      </xdr:nvSpPr>
      <xdr:spPr>
        <a:xfrm>
          <a:off x="1889125" y="546100"/>
          <a:ext cx="1619250" cy="523875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158750</xdr:colOff>
      <xdr:row>2</xdr:row>
      <xdr:rowOff>168275</xdr:rowOff>
    </xdr:from>
    <xdr:to>
      <xdr:col>7</xdr:col>
      <xdr:colOff>444500</xdr:colOff>
      <xdr:row>5</xdr:row>
      <xdr:rowOff>111125</xdr:rowOff>
    </xdr:to>
    <xdr:sp>
      <xdr:nvSpPr>
        <xdr:cNvPr id="9" name="Rounded Rectangle 8"/>
        <xdr:cNvSpPr/>
      </xdr:nvSpPr>
      <xdr:spPr>
        <a:xfrm>
          <a:off x="3568700" y="549275"/>
          <a:ext cx="1562100" cy="523875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7</xdr:col>
      <xdr:colOff>523875</xdr:colOff>
      <xdr:row>2</xdr:row>
      <xdr:rowOff>180975</xdr:rowOff>
    </xdr:from>
    <xdr:to>
      <xdr:col>10</xdr:col>
      <xdr:colOff>200025</xdr:colOff>
      <xdr:row>5</xdr:row>
      <xdr:rowOff>104775</xdr:rowOff>
    </xdr:to>
    <xdr:sp>
      <xdr:nvSpPr>
        <xdr:cNvPr id="10" name="Rounded Rectangle 9"/>
        <xdr:cNvSpPr/>
      </xdr:nvSpPr>
      <xdr:spPr>
        <a:xfrm>
          <a:off x="5210175" y="561975"/>
          <a:ext cx="1504950" cy="504825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57150</xdr:colOff>
      <xdr:row>5</xdr:row>
      <xdr:rowOff>170815</xdr:rowOff>
    </xdr:from>
    <xdr:to>
      <xdr:col>5</xdr:col>
      <xdr:colOff>22860</xdr:colOff>
      <xdr:row>14</xdr:row>
      <xdr:rowOff>74930</xdr:rowOff>
    </xdr:to>
    <xdr:sp>
      <xdr:nvSpPr>
        <xdr:cNvPr id="11" name="Rounded Rectangle 10"/>
        <xdr:cNvSpPr/>
      </xdr:nvSpPr>
      <xdr:spPr>
        <a:xfrm>
          <a:off x="57150" y="1132840"/>
          <a:ext cx="3375660" cy="1618615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73660</xdr:colOff>
      <xdr:row>14</xdr:row>
      <xdr:rowOff>180340</xdr:rowOff>
    </xdr:from>
    <xdr:to>
      <xdr:col>5</xdr:col>
      <xdr:colOff>80645</xdr:colOff>
      <xdr:row>23</xdr:row>
      <xdr:rowOff>84455</xdr:rowOff>
    </xdr:to>
    <xdr:sp>
      <xdr:nvSpPr>
        <xdr:cNvPr id="12" name="Rounded Rectangle 11"/>
        <xdr:cNvSpPr/>
      </xdr:nvSpPr>
      <xdr:spPr>
        <a:xfrm>
          <a:off x="73660" y="2856865"/>
          <a:ext cx="3416935" cy="1618615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151765</xdr:colOff>
      <xdr:row>6</xdr:row>
      <xdr:rowOff>8255</xdr:rowOff>
    </xdr:from>
    <xdr:to>
      <xdr:col>10</xdr:col>
      <xdr:colOff>299720</xdr:colOff>
      <xdr:row>14</xdr:row>
      <xdr:rowOff>102870</xdr:rowOff>
    </xdr:to>
    <xdr:sp>
      <xdr:nvSpPr>
        <xdr:cNvPr id="13" name="Rounded Rectangle 12"/>
        <xdr:cNvSpPr/>
      </xdr:nvSpPr>
      <xdr:spPr>
        <a:xfrm>
          <a:off x="3561715" y="1160780"/>
          <a:ext cx="3253105" cy="1618615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215900</xdr:colOff>
      <xdr:row>15</xdr:row>
      <xdr:rowOff>12700</xdr:rowOff>
    </xdr:from>
    <xdr:to>
      <xdr:col>10</xdr:col>
      <xdr:colOff>313055</xdr:colOff>
      <xdr:row>23</xdr:row>
      <xdr:rowOff>106680</xdr:rowOff>
    </xdr:to>
    <xdr:sp>
      <xdr:nvSpPr>
        <xdr:cNvPr id="14" name="Rounded Rectangle 13"/>
        <xdr:cNvSpPr/>
      </xdr:nvSpPr>
      <xdr:spPr>
        <a:xfrm>
          <a:off x="3625850" y="2879725"/>
          <a:ext cx="3202305" cy="1617980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77470</xdr:colOff>
      <xdr:row>5</xdr:row>
      <xdr:rowOff>166370</xdr:rowOff>
    </xdr:from>
    <xdr:to>
      <xdr:col>5</xdr:col>
      <xdr:colOff>13970</xdr:colOff>
      <xdr:row>14</xdr:row>
      <xdr:rowOff>51435</xdr:rowOff>
    </xdr:to>
    <xdr:graphicFrame>
      <xdr:nvGraphicFramePr>
        <xdr:cNvPr id="15" name="Chart 14"/>
        <xdr:cNvGraphicFramePr/>
      </xdr:nvGraphicFramePr>
      <xdr:xfrm>
        <a:off x="77470" y="1128395"/>
        <a:ext cx="3346450" cy="1599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194945</xdr:colOff>
      <xdr:row>6</xdr:row>
      <xdr:rowOff>17145</xdr:rowOff>
    </xdr:from>
    <xdr:to>
      <xdr:col>10</xdr:col>
      <xdr:colOff>250825</xdr:colOff>
      <xdr:row>14</xdr:row>
      <xdr:rowOff>40640</xdr:rowOff>
    </xdr:to>
    <xdr:graphicFrame>
      <xdr:nvGraphicFramePr>
        <xdr:cNvPr id="16" name="Chart 15"/>
        <xdr:cNvGraphicFramePr/>
      </xdr:nvGraphicFramePr>
      <xdr:xfrm>
        <a:off x="3604895" y="1169670"/>
        <a:ext cx="3161030" cy="1547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70485</xdr:colOff>
      <xdr:row>14</xdr:row>
      <xdr:rowOff>147955</xdr:rowOff>
    </xdr:from>
    <xdr:to>
      <xdr:col>5</xdr:col>
      <xdr:colOff>66040</xdr:colOff>
      <xdr:row>23</xdr:row>
      <xdr:rowOff>72390</xdr:rowOff>
    </xdr:to>
    <xdr:graphicFrame>
      <xdr:nvGraphicFramePr>
        <xdr:cNvPr id="17" name="Chart 16"/>
        <xdr:cNvGraphicFramePr/>
      </xdr:nvGraphicFramePr>
      <xdr:xfrm>
        <a:off x="70485" y="2824480"/>
        <a:ext cx="3405505" cy="16389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192405</xdr:colOff>
      <xdr:row>15</xdr:row>
      <xdr:rowOff>62865</xdr:rowOff>
    </xdr:from>
    <xdr:to>
      <xdr:col>10</xdr:col>
      <xdr:colOff>268605</xdr:colOff>
      <xdr:row>23</xdr:row>
      <xdr:rowOff>109855</xdr:rowOff>
    </xdr:to>
    <xdr:graphicFrame>
      <xdr:nvGraphicFramePr>
        <xdr:cNvPr id="18" name="Chart 17"/>
        <xdr:cNvGraphicFramePr/>
      </xdr:nvGraphicFramePr>
      <xdr:xfrm>
        <a:off x="3602355" y="2929890"/>
        <a:ext cx="3181350" cy="1570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401320</xdr:colOff>
      <xdr:row>6</xdr:row>
      <xdr:rowOff>22225</xdr:rowOff>
    </xdr:from>
    <xdr:to>
      <xdr:col>15</xdr:col>
      <xdr:colOff>606425</xdr:colOff>
      <xdr:row>14</xdr:row>
      <xdr:rowOff>116840</xdr:rowOff>
    </xdr:to>
    <xdr:sp>
      <xdr:nvSpPr>
        <xdr:cNvPr id="19" name="Rounded Rectangle 18"/>
        <xdr:cNvSpPr/>
      </xdr:nvSpPr>
      <xdr:spPr>
        <a:xfrm>
          <a:off x="6916420" y="1174750"/>
          <a:ext cx="3253105" cy="1618615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10</xdr:col>
      <xdr:colOff>424815</xdr:colOff>
      <xdr:row>15</xdr:row>
      <xdr:rowOff>36830</xdr:rowOff>
    </xdr:from>
    <xdr:to>
      <xdr:col>16</xdr:col>
      <xdr:colOff>20955</xdr:colOff>
      <xdr:row>23</xdr:row>
      <xdr:rowOff>100330</xdr:rowOff>
    </xdr:to>
    <xdr:sp>
      <xdr:nvSpPr>
        <xdr:cNvPr id="20" name="Rounded Rectangle 19"/>
        <xdr:cNvSpPr/>
      </xdr:nvSpPr>
      <xdr:spPr>
        <a:xfrm>
          <a:off x="6939915" y="2903855"/>
          <a:ext cx="3253740" cy="1587500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10</xdr:col>
      <xdr:colOff>421005</xdr:colOff>
      <xdr:row>6</xdr:row>
      <xdr:rowOff>32385</xdr:rowOff>
    </xdr:from>
    <xdr:to>
      <xdr:col>15</xdr:col>
      <xdr:colOff>586105</xdr:colOff>
      <xdr:row>14</xdr:row>
      <xdr:rowOff>118110</xdr:rowOff>
    </xdr:to>
    <xdr:graphicFrame>
      <xdr:nvGraphicFramePr>
        <xdr:cNvPr id="21" name="Chart 20"/>
        <xdr:cNvGraphicFramePr/>
      </xdr:nvGraphicFramePr>
      <xdr:xfrm>
        <a:off x="6936105" y="1184910"/>
        <a:ext cx="3213100" cy="160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450850</xdr:colOff>
      <xdr:row>15</xdr:row>
      <xdr:rowOff>64770</xdr:rowOff>
    </xdr:from>
    <xdr:to>
      <xdr:col>15</xdr:col>
      <xdr:colOff>608330</xdr:colOff>
      <xdr:row>23</xdr:row>
      <xdr:rowOff>106045</xdr:rowOff>
    </xdr:to>
    <xdr:graphicFrame>
      <xdr:nvGraphicFramePr>
        <xdr:cNvPr id="22" name="Chart 21"/>
        <xdr:cNvGraphicFramePr/>
      </xdr:nvGraphicFramePr>
      <xdr:xfrm>
        <a:off x="6965950" y="2931795"/>
        <a:ext cx="3205480" cy="1565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10</xdr:col>
      <xdr:colOff>401955</xdr:colOff>
      <xdr:row>0</xdr:row>
      <xdr:rowOff>116840</xdr:rowOff>
    </xdr:from>
    <xdr:to>
      <xdr:col>15</xdr:col>
      <xdr:colOff>508000</xdr:colOff>
      <xdr:row>5</xdr:row>
      <xdr:rowOff>165735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4" name=" Location    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Location   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17055" y="116840"/>
              <a:ext cx="3154045" cy="1010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16</xdr:col>
      <xdr:colOff>132080</xdr:colOff>
      <xdr:row>0</xdr:row>
      <xdr:rowOff>48895</xdr:rowOff>
    </xdr:from>
    <xdr:to>
      <xdr:col>21</xdr:col>
      <xdr:colOff>136525</xdr:colOff>
      <xdr:row>23</xdr:row>
      <xdr:rowOff>1905</xdr:rowOff>
    </xdr:to>
    <xdr:sp>
      <xdr:nvSpPr>
        <xdr:cNvPr id="25" name="Rectangles 24"/>
        <xdr:cNvSpPr/>
      </xdr:nvSpPr>
      <xdr:spPr>
        <a:xfrm>
          <a:off x="10304780" y="48895"/>
          <a:ext cx="3052445" cy="4344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2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16</xdr:col>
      <xdr:colOff>127000</xdr:colOff>
      <xdr:row>0</xdr:row>
      <xdr:rowOff>104775</xdr:rowOff>
    </xdr:from>
    <xdr:to>
      <xdr:col>21</xdr:col>
      <xdr:colOff>81280</xdr:colOff>
      <xdr:row>23</xdr:row>
      <xdr:rowOff>82550</xdr:rowOff>
    </xdr:to>
    <xdr:sp>
      <xdr:nvSpPr>
        <xdr:cNvPr id="27" name="Rectangles 26"/>
        <xdr:cNvSpPr/>
      </xdr:nvSpPr>
      <xdr:spPr>
        <a:xfrm>
          <a:off x="10299700" y="104775"/>
          <a:ext cx="3002280" cy="436880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16</xdr:col>
      <xdr:colOff>147320</xdr:colOff>
      <xdr:row>0</xdr:row>
      <xdr:rowOff>115570</xdr:rowOff>
    </xdr:from>
    <xdr:to>
      <xdr:col>21</xdr:col>
      <xdr:colOff>49530</xdr:colOff>
      <xdr:row>23</xdr:row>
      <xdr:rowOff>51435</xdr:rowOff>
    </xdr:to>
    <xdr:sp>
      <xdr:nvSpPr>
        <xdr:cNvPr id="28" name="Text Box 27"/>
        <xdr:cNvSpPr txBox="1"/>
      </xdr:nvSpPr>
      <xdr:spPr>
        <a:xfrm>
          <a:off x="10320020" y="115570"/>
          <a:ext cx="2950210" cy="43268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US" sz="1100" b="1">
              <a:ln>
                <a:noFill/>
              </a:ln>
              <a:solidFill>
                <a:schemeClr val="tx1"/>
              </a:solidFill>
            </a:rPr>
            <a:t>INSIGHTS</a:t>
          </a:r>
          <a:endParaRPr lang="en-US" sz="11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  <a:p>
          <a:pPr algn="l"/>
          <a:r>
            <a:rPr lang="en-US" sz="1100">
              <a:ln>
                <a:noFill/>
              </a:ln>
              <a:solidFill>
                <a:sysClr val="windowText" lastClr="000000"/>
              </a:solidFill>
            </a:rPr>
            <a:t>1.Minna FMC has the highest spending; others are relatively close.</a:t>
          </a:r>
          <a:endParaRPr lang="en-US" sz="1100">
            <a:ln>
              <a:noFill/>
            </a:ln>
            <a:solidFill>
              <a:sysClr val="windowText" lastClr="000000"/>
            </a:solidFill>
          </a:endParaRPr>
        </a:p>
        <a:p>
          <a:pPr algn="l"/>
          <a:r>
            <a:rPr lang="en-US" sz="1100">
              <a:ln>
                <a:noFill/>
              </a:ln>
              <a:solidFill>
                <a:sysClr val="windowText" lastClr="000000"/>
              </a:solidFill>
            </a:rPr>
            <a:t>2. Pediatrics is most equipped; Emergency Care has the least.</a:t>
          </a:r>
          <a:endParaRPr lang="en-US" sz="1100">
            <a:ln>
              <a:noFill/>
            </a:ln>
            <a:solidFill>
              <a:sysClr val="windowText" lastClr="000000"/>
            </a:solidFill>
          </a:endParaRPr>
        </a:p>
        <a:p>
          <a:pPr algn="l"/>
          <a:r>
            <a:rPr lang="en-US" sz="1100">
              <a:ln>
                <a:noFill/>
              </a:ln>
              <a:solidFill>
                <a:sysClr val="windowText" lastClr="000000"/>
              </a:solidFill>
            </a:rPr>
            <a:t>3. Australia contributes the highest supplier share compared to other countries.</a:t>
          </a:r>
          <a:endParaRPr lang="en-US" sz="1100">
            <a:ln>
              <a:noFill/>
            </a:ln>
            <a:solidFill>
              <a:sysClr val="windowText" lastClr="000000"/>
            </a:solidFill>
          </a:endParaRPr>
        </a:p>
        <a:p>
          <a:pPr algn="l"/>
          <a:r>
            <a:rPr lang="en-US" sz="1100">
              <a:ln>
                <a:noFill/>
              </a:ln>
              <a:solidFill>
                <a:sysClr val="windowText" lastClr="000000"/>
              </a:solidFill>
            </a:rPr>
            <a:t>4. MRI Solutions has the longest delivery time.</a:t>
          </a:r>
          <a:endParaRPr lang="en-US" sz="1100">
            <a:ln>
              <a:noFill/>
            </a:ln>
            <a:solidFill>
              <a:sysClr val="windowText" lastClr="000000"/>
            </a:solidFill>
          </a:endParaRPr>
        </a:p>
        <a:p>
          <a:pPr algn="l"/>
          <a:r>
            <a:rPr lang="en-US" sz="1100">
              <a:ln>
                <a:noFill/>
              </a:ln>
              <a:solidFill>
                <a:sysClr val="windowText" lastClr="000000"/>
              </a:solidFill>
            </a:rPr>
            <a:t>5. MRI Machines have the highest maintenance cost.</a:t>
          </a:r>
          <a:endParaRPr lang="en-US" sz="1100">
            <a:ln>
              <a:noFill/>
            </a:ln>
            <a:solidFill>
              <a:sysClr val="windowText" lastClr="000000"/>
            </a:solidFill>
          </a:endParaRPr>
        </a:p>
        <a:p>
          <a:pPr algn="l"/>
          <a:endParaRPr lang="en-US" sz="1100">
            <a:ln>
              <a:noFill/>
            </a:ln>
            <a:solidFill>
              <a:sysClr val="windowText" lastClr="000000"/>
            </a:solidFill>
          </a:endParaRPr>
        </a:p>
        <a:p>
          <a:pPr algn="l"/>
          <a:endParaRPr lang="en-US" sz="1100">
            <a:ln>
              <a:noFill/>
            </a:ln>
            <a:solidFill>
              <a:sysClr val="windowText" lastClr="000000"/>
            </a:solidFill>
          </a:endParaRPr>
        </a:p>
        <a:p>
          <a:pPr algn="ctr"/>
          <a:r>
            <a:rPr lang="en-US" sz="1100" b="1">
              <a:ln>
                <a:noFill/>
              </a:ln>
              <a:solidFill>
                <a:sysClr val="windowText" lastClr="000000"/>
              </a:solidFill>
            </a:rPr>
            <a:t>RECOMMENDATIONS</a:t>
          </a:r>
          <a:endParaRPr lang="en-US" sz="1100">
            <a:ln>
              <a:solidFill>
                <a:sysClr val="windowText" lastClr="000000"/>
              </a:solidFill>
            </a:ln>
            <a:noFill/>
          </a:endParaRPr>
        </a:p>
        <a:p>
          <a:pPr algn="l"/>
          <a:r>
            <a:rPr lang="en-US" sz="1100">
              <a:ln>
                <a:noFill/>
              </a:ln>
              <a:solidFill>
                <a:sysClr val="windowText" lastClr="000000"/>
              </a:solidFill>
            </a:rPr>
            <a:t>1. Review spending patterns and standardize procurement across hospitals.</a:t>
          </a:r>
          <a:endParaRPr lang="en-US" sz="1100">
            <a:ln>
              <a:noFill/>
            </a:ln>
            <a:solidFill>
              <a:sysClr val="windowText" lastClr="000000"/>
            </a:solidFill>
          </a:endParaRPr>
        </a:p>
        <a:p>
          <a:pPr algn="l"/>
          <a:r>
            <a:rPr lang="en-US" sz="1100">
              <a:ln>
                <a:noFill/>
              </a:ln>
              <a:solidFill>
                <a:sysClr val="windowText" lastClr="000000"/>
              </a:solidFill>
            </a:rPr>
            <a:t>2. Reassess allocation to ensure critical departments are adequately equipped.</a:t>
          </a:r>
          <a:endParaRPr lang="en-US" sz="1100">
            <a:ln>
              <a:noFill/>
            </a:ln>
            <a:solidFill>
              <a:sysClr val="windowText" lastClr="000000"/>
            </a:solidFill>
          </a:endParaRPr>
        </a:p>
        <a:p>
          <a:pPr algn="l"/>
          <a:r>
            <a:rPr lang="en-US" sz="1100">
              <a:ln>
                <a:noFill/>
              </a:ln>
              <a:solidFill>
                <a:sysClr val="windowText" lastClr="000000"/>
              </a:solidFill>
            </a:rPr>
            <a:t>3. Diversify suppliers to reduce dependency risk.</a:t>
          </a:r>
          <a:endParaRPr lang="en-US" sz="1100">
            <a:ln>
              <a:noFill/>
            </a:ln>
            <a:solidFill>
              <a:sysClr val="windowText" lastClr="000000"/>
            </a:solidFill>
          </a:endParaRPr>
        </a:p>
        <a:p>
          <a:pPr algn="l"/>
          <a:r>
            <a:rPr lang="en-US" sz="1100">
              <a:ln>
                <a:noFill/>
              </a:ln>
              <a:solidFill>
                <a:sysClr val="windowText" lastClr="000000"/>
              </a:solidFill>
            </a:rPr>
            <a:t>4. Prioritize faster suppliers and review slow vendor performance.</a:t>
          </a:r>
          <a:endParaRPr lang="en-US" sz="1100">
            <a:ln>
              <a:noFill/>
            </a:ln>
            <a:solidFill>
              <a:sysClr val="windowText" lastClr="000000"/>
            </a:solidFill>
          </a:endParaRPr>
        </a:p>
        <a:p>
          <a:pPr algn="l"/>
          <a:r>
            <a:rPr lang="en-US" sz="1100">
              <a:ln>
                <a:noFill/>
              </a:ln>
              <a:solidFill>
                <a:sysClr val="windowText" lastClr="000000"/>
              </a:solidFill>
            </a:rPr>
            <a:t>5. Consider replacing maintenance contracts for costly equipment.</a:t>
          </a:r>
          <a:endParaRPr lang="en-US" sz="1100">
            <a:ln>
              <a:noFill/>
            </a:ln>
            <a:solidFill>
              <a:sysClr val="windowText" lastClr="000000"/>
            </a:solidFill>
          </a:endParaRPr>
        </a:p>
        <a:p>
          <a:pPr algn="l"/>
          <a:endParaRPr lang="en-US" sz="1100">
            <a:ln>
              <a:noFill/>
            </a:ln>
            <a:solidFill>
              <a:sysClr val="windowText" lastClr="000000"/>
            </a:solidFill>
          </a:endParaRPr>
        </a:p>
        <a:p>
          <a:pPr algn="ctr"/>
          <a:endParaRPr lang="en-US" sz="1100">
            <a:ln>
              <a:noFill/>
            </a:ln>
            <a:solidFill>
              <a:sysClr val="windowText" lastClr="000000"/>
            </a:solidFill>
          </a:endParaRPr>
        </a:p>
        <a:p>
          <a:pPr algn="ctr"/>
          <a:endParaRPr lang="en-US" sz="1100">
            <a:ln>
              <a:noFill/>
            </a:ln>
            <a:solidFill>
              <a:sysClr val="windowText" lastClr="000000"/>
            </a:solidFill>
          </a:endParaRPr>
        </a:p>
        <a:p>
          <a:pPr algn="ctr"/>
          <a:endParaRPr lang="en-US" sz="1100">
            <a:ln>
              <a:noFill/>
            </a:ln>
            <a:solidFill>
              <a:sysClr val="windowText" lastClr="000000"/>
            </a:solidFill>
          </a:endParaRPr>
        </a:p>
        <a:p>
          <a:pPr algn="ctr"/>
          <a:endParaRPr lang="en-US" sz="1100">
            <a:ln>
              <a:noFill/>
            </a:ln>
            <a:solidFill>
              <a:sysClr val="windowText" lastClr="000000"/>
            </a:solidFill>
          </a:endParaRPr>
        </a:p>
        <a:p>
          <a:pPr algn="ctr"/>
          <a:endParaRPr lang="en-US" sz="1100">
            <a:ln>
              <a:noFill/>
            </a:ln>
            <a:solidFill>
              <a:sysClr val="windowText" lastClr="000000"/>
            </a:solidFill>
          </a:endParaRPr>
        </a:p>
        <a:p>
          <a:pPr algn="ctr"/>
          <a:endParaRPr lang="en-US" sz="1100">
            <a:ln>
              <a:noFill/>
            </a:ln>
            <a:solidFill>
              <a:sysClr val="windowText" lastClr="000000"/>
            </a:solidFill>
          </a:endParaRPr>
        </a:p>
        <a:p>
          <a:pPr algn="ctr"/>
          <a:endParaRPr lang="en-US" sz="1100">
            <a:ln>
              <a:noFill/>
            </a:ln>
            <a:solidFill>
              <a:sysClr val="windowText" lastClr="000000"/>
            </a:solidFill>
          </a:endParaRPr>
        </a:p>
        <a:p>
          <a:pPr algn="ctr"/>
          <a:endParaRPr lang="en-US" sz="1100">
            <a:ln>
              <a:noFill/>
            </a:ln>
            <a:solidFill>
              <a:sysClr val="windowText" lastClr="00000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5" minRefreshableVersion="3" refreshedDate="46143.8252662037" refreshedBy="NDIDIAMAKA" recordCount="260">
  <cacheSource type="worksheet">
    <worksheetSource ref="A1:A1" sheet="Procurement Data"/>
  </cacheSource>
  <cacheFields count="21">
    <cacheField name=" Serial No " numFmtId="0">
      <sharedItems containsSemiMixedTypes="0" containsString="0" containsNumber="1" containsInteger="1" minValue="0" maxValue="260" count="26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</sharedItems>
    </cacheField>
    <cacheField name="Hospital" numFmtId="182">
      <sharedItems count="109">
        <s v=" Lagos General  "/>
        <s v=" Abuja Hospital "/>
        <s v=" Kano Medical   "/>
        <s v=" Port Harcourt  "/>
        <s v=" Ibadan Clinic  "/>
        <s v=" Kaduna Clinic   "/>
        <s v=" Enugu General   "/>
        <s v=" Benin City Hosp "/>
        <s v=" Owerri Medical  "/>
        <s v=" Jos Teaching    "/>
        <s v=" Warri General      "/>
        <s v=" Calabar Medical    "/>
        <s v=" Sokoto Teaching    "/>
        <s v=" Uyo Specialist     "/>
        <s v=" Abeokuta General   "/>
        <s v=" Osogbo Regional    "/>
        <s v=" Yola Medical       "/>
        <s v=" Maiduguri General "/>
        <s v=" Makurdi Hospital  "/>
        <s v=" Lokoja Medical    "/>
        <s v=" Ile-Ife General   "/>
        <s v=" Ado-Ekiti Medical "/>
        <s v=" Awka General      "/>
        <s v=" Epe Medical       "/>
        <s v=" Ikeja General     "/>
        <s v=" Ife Central       "/>
        <s v=" Umuahia Medical   "/>
        <s v=" Gombe Specialist  "/>
        <s v=" Damaturu Hospital "/>
        <s v=" Bauchi General    "/>
        <s v=" Ijebu-Ode General"/>
        <s v=" Okene Medical     "/>
        <s v=" Abakaliki Hospital"/>
        <s v=" Sapele General    "/>
        <s v=" Iseyin Medical    "/>
        <s v=" Otukpo Hospital   "/>
        <s v=" Ogaminana General"/>
        <s v=" Ode-Ekiti Medical "/>
        <s v=" Egbe Specialist   "/>
        <s v=" Ifo Medical       "/>
        <s v=" Idanre General    "/>
        <s v=" Ikom Medical      "/>
        <s v=" Ijero-Ekiti Hosp  "/>
        <s v=" Ikirun General    "/>
        <s v=" Ilorin Central    "/>
        <s v=" Ikare Specialist "/>
        <s v=" Ilaro Medical     "/>
        <s v=" Iragbiji Hospital "/>
        <s v=" Ijebu-Igbo General"/>
        <s v=" Ilobu Medical     "/>
        <s v=" Ipoti General     "/>
        <s v=" Ikot-Ekpene Hosp  "/>
        <s v=" Abuja Central Hospital  "/>
        <s v=" Enugu State Hospital    "/>
        <s v=" Owerri General Hospital "/>
        <s v=" Kaduna National Hospital"/>
        <s v=" Ibadan Teaching Hospital"/>
        <s v=" Lokoja General Hospital "/>
        <s v=" Abeokuta Specialist Hosp"/>
        <s v=" Ilorin University Hospital "/>
        <s v=" Minna Federal Medical Center "/>
        <s v=" Oshogbo General Hospital "/>
        <s v=" Yenagoa Medical Center "/>
        <s v=" Sokoto General Hospital "/>
        <s v=" Port Harcourt General      "/>
        <s v=" Abuja Central Hospital     "/>
        <s v=" Enugu State Hospital       "/>
        <s v=" Owerri General Hospital    "/>
        <s v=" Kaduna National Hospital   "/>
        <s v=" Oshogbo General Hospital   "/>
        <s v=" Yenagoa Medical Center     "/>
        <s v=" Sokoto General Hospital   "/>
        <s v=" Uyo General Hospital      "/>
        <s v=" Port Harcourt General     "/>
        <s v=" Abuja Central Hospital    "/>
        <s v=" Enugu State Hospital      "/>
        <s v=" Owerri General Hospital   "/>
        <s v=" Kaduna National Hospital  "/>
        <s v=" Oshogbo General Hospital  "/>
        <s v=" Yenagoa Medical Center    "/>
        <s v=" Sokoto General Hospital  "/>
        <s v=" Uyo General Hospital     "/>
        <s v=" Warri General Hospital     "/>
        <s v=" Aba Medical Center         "/>
        <s v=" Calabar General Hospital   "/>
        <s v=" Lokoja Medical Center     "/>
        <s v=" Gombe General Hospital     "/>
        <s v=" Jalingo Federal Medical Center "/>
        <s v=" Bauchi National Hospital   "/>
        <s v=" Umuahia General Hospital   "/>
        <s v=" Akure Medical Center       "/>
        <s v=" Ibadan National Hospital   "/>
        <s v=" Maiduguri General Hospital "/>
        <s v=" Kano National Hospital     "/>
        <s v=" Makurdi General Hospital   "/>
        <s v=" Asaba Medical Center       "/>
        <s v=" Gusau General Hospital     "/>
        <s v=" Yola Federal Medical Center "/>
        <s v=" Jos University Teaching Hospital "/>
        <s v=" Ogbomoso General Hospital  "/>
        <s v=" Ado-Ekiti Medical Center   "/>
        <s v=" Abakaliki General Hospital "/>
        <s v=" Benin City General Hospital "/>
        <s v=" Lafia Federal Medical Center "/>
        <s v=" Abeokuta General Hospital "/>
        <s v=" Awka Medical Center        "/>
        <s v=" Dutse General Hospital     "/>
        <s v=" Umuahia General Hospital  "/>
        <s v=" Keffi Federal Medical Center "/>
      </sharedItems>
    </cacheField>
    <cacheField name=" State   " numFmtId="182">
      <sharedItems count="69">
        <s v=" Lagos   "/>
        <s v=" Abuja   "/>
        <s v=" Kano    "/>
        <s v=" Rivers  "/>
        <s v=" Oyo     "/>
        <s v=" Kaduna  "/>
        <s v=" Enugu   "/>
        <s v=" Edo     "/>
        <s v=" Imo     "/>
        <s v=" Plateau "/>
        <s v=" Delta      "/>
        <s v=" Cross River"/>
        <s v=" Sokoto     "/>
        <s v=" Akwa Ibom  "/>
        <s v=" Ogun       "/>
        <s v=" Osun       "/>
        <s v=" Adamawa    "/>
        <s v=" Borno      "/>
        <s v=" Benue      "/>
        <s v=" Kogi       "/>
        <s v=" Ekiti     "/>
        <s v=" Anambra    "/>
        <s v=" Lagos     "/>
        <s v=" Osun      "/>
        <s v=" Abia      "/>
        <s v=" Gombe     "/>
        <s v=" Yobe      "/>
        <s v=" Bauchi    "/>
        <s v=" Ebonyi     "/>
        <s v=" Oyo        "/>
        <s v=" Ondo       "/>
        <s v=" Ekiti      "/>
        <s v=" Kwara      "/>
        <s v=" Cross River "/>
        <s v=" Ebonyi      "/>
        <s v=" Oyo         "/>
        <s v=" Benue       "/>
        <s v=" Kogi        "/>
        <s v=" Ogun        "/>
        <s v=" Ondo        "/>
        <s v=" Osun        "/>
        <s v=" Kwara       "/>
        <s v=" Ekiti       "/>
        <s v=" Akwa Ibom   "/>
        <s v=" Abuja       "/>
        <s v=" Enugu       "/>
        <s v=" Imo         "/>
        <s v=" Kaduna      "/>
        <s v=" Kwara     "/>
        <s v=" Niger    "/>
        <s v=" Bayelsa     "/>
        <s v=" Sokoto      "/>
        <s v=" Rivers      "/>
        <s v=" Delta       "/>
        <s v=" Abia        "/>
        <s v=" Gombe       "/>
        <s v=" Taraba  "/>
        <s v=" Bauchi      "/>
        <s v=" Borno       "/>
        <s v=" Kano        "/>
        <s v=" Zamfara     "/>
        <s v=" Adamawa   "/>
        <s v=" Edo       "/>
        <s v=" Nasarawa "/>
        <s v=" Jigawa     "/>
        <s v=" Abia       "/>
        <s v=" Zamfara    "/>
        <s v=" Bauchi     "/>
        <s v=" Bayelsa    "/>
      </sharedItems>
    </cacheField>
    <cacheField name=" Location    " numFmtId="182">
      <sharedItems count="89">
        <s v=" Lagos City  "/>
        <s v=" Abuja City  "/>
        <s v=" Kano City   "/>
        <s v=" Port Harcourt"/>
        <s v=" Ibadan City "/>
        <s v=" Kaduna City  "/>
        <s v=" Enugu City   "/>
        <s v=" Benin City   "/>
        <s v=" Owerri City  "/>
        <s v=" Jos City     "/>
        <s v=" Warri City      "/>
        <s v=" Calabar City    "/>
        <s v=" Sokoto City     "/>
        <s v=" Uyo City        "/>
        <s v=" Abeokuta City   "/>
        <s v=" Osogbo City     "/>
        <s v=" Yola City       "/>
        <s v=" Maiduguri City "/>
        <s v=" Makurdi City    "/>
        <s v=" Lokoja City     "/>
        <s v=" Ile-Ife City    "/>
        <s v=" Ado-Ekiti City "/>
        <s v=" Awka City       "/>
        <s v=" Epe City        "/>
        <s v=" Ikeja City      "/>
        <s v=" Ife City        "/>
        <s v=" Umuahia City    "/>
        <s v=" Gombe City      "/>
        <s v=" Damaturu City   "/>
        <s v=" Bauchi City     "/>
        <s v=" Ijebu-Ode City  "/>
        <s v=" Okene City      "/>
        <s v=" Abakaliki City  "/>
        <s v=" Sapele City     "/>
        <s v=" Iseyin City     "/>
        <s v=" Otukpo City     "/>
        <s v=" Ogaminana City  "/>
        <s v=" Ode-Ekiti City  "/>
        <s v=" Egbe City       "/>
        <s v=" Ifo City        "/>
        <s v=" Idanre City     "/>
        <s v=" Ikom City       "/>
        <s v=" Ijero-Ekiti City"/>
        <s v=" Ikirun City     "/>
        <s v=" Ilorin City     "/>
        <s v=" Ikare City      "/>
        <s v=" Ilaro City      "/>
        <s v=" Iragbiji City   "/>
        <s v=" Ijebu-Igbo City"/>
        <s v=" Ilobu City      "/>
        <s v=" Ipoti City      "/>
        <s v=" Ikot-Ekpene City"/>
        <s v=" Abuja City        "/>
        <s v=" Enugu City        "/>
        <s v=" Owerri City       "/>
        <s v=" Kaduna City       "/>
        <s v=" Ibadan City       "/>
        <s v=" Lokoja City       "/>
        <s v=" Abeokuta City     "/>
        <s v=" Ilorin City       "/>
        <s v=" Minna City        "/>
        <s v=" Oshogbo City      "/>
        <s v=" Yenagoa City      "/>
        <s v=" Sokoto City       "/>
        <s v=" Port Harcourt     "/>
        <s v=" Uyo City          "/>
        <s v=" Warri City        "/>
        <s v=" Aba City          "/>
        <s v=" Calabar City      "/>
        <s v=" Gombe City        "/>
        <s v=" Jalingo City      "/>
        <s v=" Bauchi City       "/>
        <s v=" Umuahia City      "/>
        <s v=" Akure City        "/>
        <s v=" Maiduguri City    "/>
        <s v=" Kano City         "/>
        <s v=" Makurdi City      "/>
        <s v=" Asaba City        "/>
        <s v=" Gusau City        "/>
        <s v=" Yola City         "/>
        <s v=" Jos City   "/>
        <s v=" Ogbomoso City     "/>
        <s v=" Ado-Ekiti City    "/>
        <s v=" Abakaliki City    "/>
        <s v=" Benin City        "/>
        <s v=" Lafia City        "/>
        <s v=" Awka City         "/>
        <s v=" Dutse City        "/>
        <s v=" Keffi City      "/>
      </sharedItems>
    </cacheField>
    <cacheField name=" Department     " numFmtId="182">
      <sharedItems count="44">
        <s v=" Cardiology     "/>
        <s v=" Radiology      "/>
        <s v=" Surgery        "/>
        <s v=" Pediatrics     "/>
        <s v=" Obstetrics     "/>
        <s v=" Oncology       "/>
        <s v=" Neurology      "/>
        <s v=" Orthopedics    "/>
        <s v=" Urology        "/>
        <s v=" Hematology     "/>
        <s v=" Emergency Care   "/>
        <s v=" Gynecology       "/>
        <s v=" Nephrology       "/>
        <s v=" Ophthalmology    "/>
        <s v=" Dermatology      "/>
        <s v=" Psychiatry       "/>
        <s v=" Gastroenterology"/>
        <s v=" Oncology         "/>
        <s v=" ENT              "/>
        <s v=" Pulmonology      "/>
        <s v=" Rheumatology     "/>
        <s v=" Cardiology       "/>
        <s v=" Hematology       "/>
        <s v=" Pediatrics       "/>
        <s v=" Orthopedics      "/>
        <s v=" Surgery          "/>
        <s v=" Radiology        "/>
        <s v=" Neurosurgery     "/>
        <s v=" Obstetrics       "/>
        <s v=" Dermatology     "/>
        <s v=" Pulmonology     "/>
        <s v=" Urology         "/>
        <s v=" Gynecology      "/>
        <s v=" Hematology      "/>
        <s v=" ENT             "/>
        <s v=" Neurology       "/>
        <s v=" Cardiology      "/>
        <s v=" Oncology        "/>
        <s v=" Pediatrics      "/>
        <s v=" Orthopedics     "/>
        <s v=" Surgery         "/>
        <s v=" Radiology       "/>
        <s v=" Psychiatry      "/>
        <s v=" Neurosurgery    "/>
      </sharedItems>
    </cacheField>
    <cacheField name=" Equipment     " numFmtId="49">
      <sharedItems count="99">
        <s v=" ECG Machine   "/>
        <s v=" MRI Machine   "/>
        <s v=" Surgical Tools"/>
        <s v=" Ventilator    "/>
        <s v=" Ultrasound    "/>
        <s v=" Radiation Machine"/>
        <s v=" EEG Machine     "/>
        <s v=" X-ray Machine   "/>
        <s v=" Lithotripter    "/>
        <s v=" Hematology Analyzer"/>
        <s v=" Defibrillator       "/>
        <s v=" Colposcope          "/>
        <s v=" Dialysis Machine    "/>
        <s v=" Fundus Camera       "/>
        <s v=" Laser Machine       "/>
        <s v=" EEG Machine         "/>
        <s v=" Endoscopy Machine  "/>
        <s v=" Chemotherapy Pump "/>
        <s v=" Audiometer         "/>
        <s v=" Spirometer         "/>
        <s v=" Ultrasound         "/>
        <s v=" Holter Monitor    "/>
        <s v=" Coagulation Analyzer"/>
        <s v=" Infant Incubator  "/>
        <s v=" Bone Densitometer"/>
        <s v=" Surgical Microscope"/>
        <s v=" CT Scanner        "/>
        <s v=" C-Arm Machine    "/>
        <s v=" Fetal Monitor    "/>
        <s v=" Ventilator       "/>
        <s v=" Cryotherapy Machine"/>
        <s v=" Oxygen Concentrator"/>
        <s v=" Cystoscope         "/>
        <s v=" Hysteroscope       "/>
        <s v=" Hemoglobin Analyzer"/>
        <s v=" Rhinolaryngoscope  "/>
        <s v=" EMG Machine        "/>
        <s v=" Stress Test System"/>
        <s v=" Linear Accelerator"/>
        <s v=" Phototherapy Unit "/>
        <s v=" Traction Table    "/>
        <s v=" Electrosurgical Unit"/>
        <s v=" Mammography Machine"/>
        <s v=" Psychiatric Bed   "/>
        <s v=" Colonoscope       "/>
        <s v=" Blood Analyzer   "/>
        <s v=" Otoscope         "/>
        <s v=" Neuroendoscope   "/>
        <s v=" Echocardiogram  "/>
        <s v=" CPAP Machine     "/>
        <s v=" Anesthesia Machine  "/>
        <s v=" Lithotripsy Machine "/>
        <s v=" Hematology Analyzer "/>
        <s v=" Audiometer          "/>
        <s v=" ECG Machine         "/>
        <s v=" Radiation Machine   "/>
        <s v=" Infant Incubator    "/>
        <s v=" X-ray Machine       "/>
        <s v=" Operating Table     "/>
        <s v=" Ultrasound          "/>
        <s v=" MRI Machine         "/>
        <s v=" Endoscope           "/>
        <s v=" Psychiatric Ward    "/>
        <s v=" Gastroscope         "/>
        <s v=" Otoscope            "/>
        <s v=" Neuroendoscope      "/>
        <s v=" Echocardiogram     "/>
        <s v=" CPAP Machine        "/>
        <s v=" Blood Bank Refrigerator"/>
        <s v=" Cautery Machine     "/>
        <s v=" Phototherapy Unit  "/>
        <s v=" Traction Table     "/>
        <s v=" Chemotherapy Pump  "/>
        <s v=" Surgical Lights    "/>
        <s v=" Colposcope         "/>
        <s v=" TCD Machine        "/>
        <s v=" Holter Monitor     "/>
        <s v=" Microscope         "/>
        <s v=" Sterilization Equipment"/>
        <s v=" Infant Warmers     "/>
        <s v=" X-ray Machine      "/>
        <s v=" Cast Cutter        "/>
        <s v=" Surgical Suction Machine"/>
        <s v=" Infant Warmers        "/>
        <s v=" Phototherapy Unit    "/>
        <s v=" Ultrasound Machine   "/>
        <s v=" Anesthesia Machine   "/>
        <s v=" Surgical Lights      "/>
        <s v=" X-ray Machine        "/>
        <s v=" Ventilator           "/>
        <s v=" C-arm Fluoroscopy    "/>
        <s v=" Operating Table      "/>
        <s v=" Phototherapy Unit   "/>
        <s v=" Ultrasound Machine  "/>
        <s v=" Infant Warmers      "/>
        <s v=" CT Scanner           "/>
        <s v=" Defibrillator        "/>
        <s v=" MRI Machine          "/>
        <s v=" Incubator            "/>
      </sharedItems>
    </cacheField>
    <cacheField name=" Quantity " numFmtId="0">
      <sharedItems containsSemiMixedTypes="0" containsString="0" containsNumber="1" containsInteger="1" minValue="0" maxValue="10" count="10">
        <n v="2"/>
        <n v="1"/>
        <n v="5"/>
        <n v="3"/>
        <n v="7"/>
        <n v="8"/>
        <n v="4"/>
        <n v="10"/>
        <n v="6"/>
        <n v="9"/>
      </sharedItems>
    </cacheField>
    <cacheField name=" Unit Price (USD) " numFmtId="0">
      <sharedItems containsSemiMixedTypes="0" containsString="0" containsNumber="1" containsInteger="1" minValue="0" maxValue="500000" count="24">
        <n v="5000"/>
        <n v="15000"/>
        <n v="300"/>
        <n v="10000"/>
        <n v="8000"/>
        <n v="200000"/>
        <n v="25000"/>
        <n v="75000"/>
        <n v="30000"/>
        <n v="20000"/>
        <n v="12000"/>
        <n v="35000"/>
        <n v="7000"/>
        <n v="3000"/>
        <n v="40000"/>
        <n v="70000"/>
        <n v="6000"/>
        <n v="500000"/>
        <n v="2000"/>
        <n v="1000"/>
        <n v="250000"/>
        <n v="60000"/>
        <n v="50000"/>
        <n v="80000"/>
      </sharedItems>
    </cacheField>
    <cacheField name=" Supplier       " numFmtId="182">
      <sharedItems count="62">
        <s v=" MedTech Inc.   "/>
        <s v=" Imagix         "/>
        <s v=" SurgiSupplies  "/>
        <s v=" RespCare       "/>
        <s v=" Sonoscan       "/>
        <s v=" RadSource     "/>
        <s v=" NeuroTech     "/>
        <s v=" MedImaging    "/>
        <s v=" UltraMed      "/>
        <s v=" HemoTech      "/>
        <s v=" LifeSaver        "/>
        <s v=" GynoTech         "/>
        <s v=" NephroCare       "/>
        <s v=" EyeTech          "/>
        <s v=" DermiCare        "/>
        <s v=" NeuroTech        "/>
        <s v=" GastroTech       "/>
        <s v=" OncoCare         "/>
        <s v=" HearTech         "/>
        <s v=" PulmoTech        "/>
        <s v=" Sonoscan         "/>
        <s v=" CardioCare       "/>
        <s v=" HemoTech         "/>
        <s v=" NeoCare          "/>
        <s v=" OrthoTech        "/>
        <s v=" SurgiEquip       "/>
        <s v=" RadiantTech      "/>
        <s v=" NeuroSurg        "/>
        <s v=" RespCare         "/>
        <s v=" DermaTech         "/>
        <s v=" RespTech          "/>
        <s v=" UroMed            "/>
        <s v=" GynoTech          "/>
        <s v=" HemoTech          "/>
        <s v=" ENT Solutions     "/>
        <s v=" NeuroTech         "/>
        <s v=" CardioCare        "/>
        <s v=" OncoTech          "/>
        <s v=" NeoCare           "/>
        <s v=" OrthoTech         "/>
        <s v=" SurgiEquip        "/>
        <s v=" MammoTech         "/>
        <s v=" PsychiCare        "/>
        <s v=" GastroTech        "/>
        <s v=" NeuroSurg         "/>
        <s v=" CardioTech        "/>
        <s v=" RespCare          "/>
        <s v=" AnesthTech        "/>
        <s v=" UltraMed          "/>
        <s v=" HearTech          "/>
        <s v=" RadSource         "/>
        <s v=" MedImaging        "/>
        <s v=" Sonoscan          "/>
        <s v=" Imagix            "/>
        <s v=" SurgiSupplies     "/>
        <s v=" BioTech           "/>
        <s v=" OncoCare          "/>
        <s v=" SteriTech         "/>
        <s v=" FluoroTech        "/>
        <s v=" ScanTech          "/>
        <s v=" CardiaTech        "/>
        <s v=" MRI Solutions     "/>
      </sharedItems>
    </cacheField>
    <cacheField name=" Supplier Contact " numFmtId="182">
      <sharedItems count="20">
        <s v=" John Doe         "/>
        <s v=" Jane Smith       "/>
        <s v=" Ahmed Hassan     "/>
        <s v=" Emily Johnson    "/>
        <s v=" Michael Chang    "/>
        <s v=" Maria Garcia     "/>
        <s v=" Pedro Martinez  "/>
        <s v=" Anna Lee         "/>
        <s v=" Fatima Khan      "/>
        <s v=" David Wilson     "/>
        <s v=" Emma Watson      "/>
        <s v=" Maria Sanchez    "/>
        <s v=" Hassan Ali       "/>
        <s v=" Sophia Chen      "/>
        <s v=" Ahmed Saleh      "/>
        <s v=" Pedro Martinez   "/>
        <s v=" Hassan Mohamed   "/>
        <s v=" Jessica Brown    "/>
        <s v=" Sarah Lee        "/>
        <s v=" Mark Smith       "/>
      </sharedItems>
    </cacheField>
    <cacheField name=" Supplier Phone " numFmtId="0">
      <sharedItems containsSemiMixedTypes="0" containsString="0" containsNumber="1" containsInteger="1" minValue="0" maxValue="9988776655" count="10">
        <n v="1234567890"/>
        <n v="9876543210"/>
        <n v="2345678901"/>
        <n v="3456789012"/>
        <n v="4567890123"/>
        <n v="1122334455"/>
        <n v="9988776655"/>
        <n v="3322114455"/>
        <n v="7755332211"/>
        <n v="6677889900"/>
      </sharedItems>
    </cacheField>
    <cacheField name=" Supplier Email       " numFmtId="182">
      <sharedItems count="68">
        <s v=" john@medtech.com    "/>
        <s v=" jane@imagix.co.uk   "/>
        <s v=" ahmed@surgisup.com  "/>
        <s v=" emily@respcare.cn    "/>
        <s v=" michael@sonoscan.jp "/>
        <s v=" maria@radsource.de  "/>
        <s v=" pedro@neurotech.es  "/>
        <s v=" anna@medimaging.fr  "/>
        <s v=" fatima@ultramed.in  "/>
        <s v=" david@hemotech.us   "/>
        <s v=" emma@lifesaver.com      "/>
        <s v=" maria@gynotech.mx       "/>
        <s v=" hassan@nephrocare.sa    "/>
        <s v=" sophia@eyetech.tw       "/>
        <s v=" ahmed@dermicare.eg      "/>
        <s v=" pedro@neurotech.es      "/>
        <s v=" hassan@gastrotech.sa    "/>
        <s v=" emily@oncocare.cn       "/>
        <s v=" david@heartech.us       "/>
        <s v=" fatima@pulmotech.in     "/>
        <s v=" michael@sonoscan.jp     "/>
        <s v=" emma@cardiocare.com     "/>
        <s v=" david@hemotech.us       "/>
        <s v=" jessica@neocare.au      "/>
        <s v=" anna@orthotech.fr       "/>
        <s v=" ahmed@surgiequip.com    "/>
        <s v=" maria@radiantech.de     "/>
        <s v=" pedro@neurosurg.es      "/>
        <s v=" emily@respcare.cn       "/>
        <s v=" sarah@dermatech.kr     "/>
        <s v=" emily@resptech.cn      "/>
        <s v=" fatima@uromed.in       "/>
        <s v=" maria@gynotech.mx      "/>
        <s v=" david@hemotech.us      "/>
        <s v=" anna@ent-solutions.fr  "/>
        <s v=" pedro@neurotech.es     "/>
        <s v=" emma@cardiocare.com    "/>
        <s v=" emily@oncotech.cn      "/>
        <s v=" jessica@neocare.au     "/>
        <s v=" anna@orthotech.fr      "/>
        <s v=" ahmed@surgiequip.com   "/>
        <s v=" emily@mammotech.cn     "/>
        <s v=" sarah@psychicare.kr    "/>
        <s v=" hassan@gastrotech.sa   "/>
        <s v=" pedro@neurosurg.es     "/>
        <s v=" emma@cardiotech.com    "/>
        <s v=" emily@respcare.cn      "/>
        <s v=" ahmed@anesthtech.com   "/>
        <s v=" fatima@ultramed.in     "/>
        <s v=" sophia@heartech.tw     "/>
        <s v=" maria@radsource.de     "/>
        <s v=" anna@medimaging.fr     "/>
        <s v=" michael@sonoscan.jp    "/>
        <s v=" jane@imagix.co.uk      "/>
        <s v=" ahmed@surgisup.com     "/>
        <s v=" maria@biotech.de       "/>
        <s v=" emily@oncocare.cn      "/>
        <s v=" hassan@steritech.sa    "/>
        <s v=" jessica@neocare.au    "/>
        <s v=" michael@sonoscan.jp   "/>
        <s v=" ahmed@anesthtech.com  "/>
        <s v=" ahmed@surgiequip.com  "/>
        <s v=" anna@medimaging.fr    "/>
        <s v=" emily@resptech.cn     "/>
        <s v=" sophia@fluorotech.tw  "/>
        <s v=" emily@scantech.de      "/>
        <s v=" mark@cardiatech.us     "/>
        <s v=" john@mrisolutions.us   "/>
      </sharedItems>
    </cacheField>
    <cacheField name=" Supplier Country " numFmtId="182">
      <sharedItems count="15">
        <s v=" USA             "/>
        <s v=" UK              "/>
        <s v=" UAE             "/>
        <s v=" China           "/>
        <s v=" Japan           "/>
        <s v=" Germany         "/>
        <s v=" Spain           "/>
        <s v=" France          "/>
        <s v=" India           "/>
        <s v=" Mexico          "/>
        <s v=" Saudi Arabia    "/>
        <s v=" Taiwan          "/>
        <s v=" Egypt           "/>
        <s v=" Australia       "/>
        <s v=" South Korea     "/>
      </sharedItems>
    </cacheField>
    <cacheField name=" Date Ordered " numFmtId="182">
      <sharedItems count="22">
        <s v=" 2024-03-15   "/>
        <s v=" 2024-02-20   "/>
        <s v=" 2024-01-10   "/>
        <s v=" 2024-04-02   "/>
        <s v=" 2024-03-05   "/>
        <s v=" 2024-04-10   "/>
        <s v=" 2024-02-28   "/>
        <s v=" 2024-03-20   "/>
        <s v=" 2024-01-25   "/>
        <s v=" 2024-04-05   "/>
        <s v=" 2024-03-10   "/>
        <s v=" 2024-02-15   "/>
        <s v=" 2024-01-20   "/>
        <s v=" 2024-03-28   "/>
        <s v=" 2024-02-05   "/>
        <s v=" 2024-04-20   "/>
        <s v=" 2024-03-01   "/>
        <s v=" 2024-02-10   "/>
        <s v=" 2024-03-02   "/>
        <s v=" 2024-03-18   "/>
        <s v=" 2024-04-01   "/>
        <s v=" 2024-02-22   "/>
      </sharedItems>
    </cacheField>
    <cacheField name=" Date Delivered " numFmtId="182">
      <sharedItems count="19">
        <s v=" 2024-04-10     "/>
        <s v=" 2024-03-18     "/>
        <s v=" 2024-02-05     "/>
        <s v=" 2024-04-25     "/>
        <s v=" 2024-03-28     "/>
        <s v=" 2024-05-05     "/>
        <s v=" 2024-03-25     "/>
        <s v=" 2024-04-15     "/>
        <s v=" 2024-02-20     "/>
        <s v=" 2024-04-30     "/>
        <s v=" 2024-04-05     "/>
        <s v=" 2024-03-10     "/>
        <s v=" 2024-02-15     "/>
        <s v=" 2024-04-22     "/>
        <s v=" 2024-03-01     "/>
        <s v=" 2024-05-15     "/>
        <s v=" 2024-03-30     "/>
        <s v=" 2024-03-05     "/>
        <s v=" 2024-04-12     "/>
      </sharedItems>
    </cacheField>
    <cacheField name=" Warranty Period (Months) " numFmtId="0">
      <sharedItems containsSemiMixedTypes="0" containsString="0" containsNumber="1" containsInteger="1" minValue="0" maxValue="60" count="5">
        <n v="24"/>
        <n v="36"/>
        <n v="12"/>
        <n v="48"/>
        <n v="60"/>
      </sharedItems>
    </cacheField>
    <cacheField name=" Maintenance Cost (USD/year) " numFmtId="0">
      <sharedItems containsSemiMixedTypes="0" containsString="0" containsNumber="1" containsInteger="1" minValue="0" maxValue="5000" count="10">
        <n v="1000"/>
        <n v="2000"/>
        <n v="500"/>
        <n v="1500"/>
        <n v="1200"/>
        <n v="5000"/>
        <n v="3000"/>
        <n v="2500"/>
        <n v="1800"/>
        <n v="800"/>
      </sharedItems>
    </cacheField>
    <cacheField name=" Installation Cost (USD) " numFmtId="0">
      <sharedItems containsSemiMixedTypes="0" containsString="0" containsNumber="1" containsInteger="1" minValue="0" maxValue="3000" count="13">
        <n v="500"/>
        <n v="1000"/>
        <n v="200"/>
        <n v="800"/>
        <n v="600"/>
        <n v="2000"/>
        <n v="1200"/>
        <n v="1500"/>
        <n v="700"/>
        <n v="900"/>
        <n v="1800"/>
        <n v="3000"/>
        <n v="300"/>
      </sharedItems>
    </cacheField>
    <cacheField name=" Equipment Condition " numFmtId="49">
      <sharedItems count="4">
        <s v=" New                 "/>
        <s v=" Used - Good         "/>
        <s v=" Refurbished         "/>
        <s v=" Used - Fair         "/>
      </sharedItems>
    </cacheField>
    <cacheField name="Procurement" numFmtId="0">
      <sharedItems containsSemiMixedTypes="0" containsString="0" containsNumber="1" containsInteger="1" minValue="0" maxValue="1600000" count="44">
        <n v="10000"/>
        <n v="15000"/>
        <n v="1500"/>
        <n v="30000"/>
        <n v="8000"/>
        <n v="200000"/>
        <n v="20000"/>
        <n v="25000"/>
        <n v="75000"/>
        <n v="60000"/>
        <n v="40000"/>
        <n v="12000"/>
        <n v="35000"/>
        <n v="50000"/>
        <n v="45000"/>
        <n v="5000"/>
        <n v="14000"/>
        <n v="6000"/>
        <n v="16000"/>
        <n v="70000"/>
        <n v="9000"/>
        <n v="500000"/>
        <n v="3000"/>
        <n v="250000"/>
        <n v="24000"/>
        <n v="80000"/>
        <n v="210000"/>
        <n v="180000"/>
        <n v="1600000"/>
        <n v="800000"/>
        <n v="72000"/>
        <n v="120000"/>
        <n v="140000"/>
        <n v="150000"/>
        <n v="240000"/>
        <n v="100000"/>
        <n v="56000"/>
        <n v="400000"/>
        <n v="48000"/>
        <n v="640000"/>
        <n v="560000"/>
        <n v="600000"/>
        <n v="160000"/>
        <n v="90000"/>
      </sharedItems>
    </cacheField>
    <cacheField name="Total procurement" numFmtId="0">
      <sharedItems containsSemiMixedTypes="0" containsString="0" containsNumber="1" containsInteger="1" minValue="0" maxValue="1600000" count="44">
        <n v="10000"/>
        <n v="15000"/>
        <n v="1500"/>
        <n v="30000"/>
        <n v="8000"/>
        <n v="200000"/>
        <n v="20000"/>
        <n v="25000"/>
        <n v="75000"/>
        <n v="60000"/>
        <n v="40000"/>
        <n v="12000"/>
        <n v="35000"/>
        <n v="50000"/>
        <n v="45000"/>
        <n v="5000"/>
        <n v="14000"/>
        <n v="6000"/>
        <n v="16000"/>
        <n v="70000"/>
        <n v="9000"/>
        <n v="500000"/>
        <n v="3000"/>
        <n v="250000"/>
        <n v="24000"/>
        <n v="80000"/>
        <n v="210000"/>
        <n v="180000"/>
        <n v="1600000"/>
        <n v="800000"/>
        <n v="72000"/>
        <n v="120000"/>
        <n v="140000"/>
        <n v="150000"/>
        <n v="240000"/>
        <n v="100000"/>
        <n v="56000"/>
        <n v="400000"/>
        <n v="48000"/>
        <n v="640000"/>
        <n v="560000"/>
        <n v="600000"/>
        <n v="160000"/>
        <n v="9000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43.8451736111" refreshedBy="NDIDIAMAKA" recordCount="260">
  <cacheSource type="worksheet">
    <worksheetSource ref="A1:A1" sheet="Procurement Data"/>
  </cacheSource>
  <cacheFields count="21">
    <cacheField name="Serial No" numFmtId="0">
      <sharedItems containsSemiMixedTypes="0" containsString="0" containsNumber="1" containsInteger="1" minValue="0" maxValue="260" count="26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</sharedItems>
    </cacheField>
    <cacheField name="Hospital" numFmtId="49">
      <sharedItems count="92">
        <s v="Lagos General"/>
        <s v="Abuja Hospital"/>
        <s v="Kano Medical"/>
        <s v="Port Harcourt"/>
        <s v="Ibadan Clinic"/>
        <s v="Kaduna Clinic"/>
        <s v="Enugu General"/>
        <s v="Benin City Hosp"/>
        <s v="Owerri Medical"/>
        <s v="Jos Teaching"/>
        <s v="Warri General"/>
        <s v="Calabar Medical"/>
        <s v="Sokoto Teaching"/>
        <s v="Uyo Specialist"/>
        <s v="Abeokuta General"/>
        <s v="Osogbo Regional"/>
        <s v="Yola Medical"/>
        <s v="Maiduguri General"/>
        <s v="Makurdi Hospital"/>
        <s v="Lokoja Medical"/>
        <s v="Ile-Ife General"/>
        <s v="Ado-Ekiti Medical"/>
        <s v="Awka General"/>
        <s v="Epe Medical"/>
        <s v="Ikeja General"/>
        <s v="Ife Central"/>
        <s v="Umuahia Medical"/>
        <s v="Gombe Specialist"/>
        <s v="Damaturu Hospital"/>
        <s v="Bauchi General"/>
        <s v="Ijebu-Ode General"/>
        <s v="Okene Medical"/>
        <s v="Abakaliki Hospital"/>
        <s v="Sapele General"/>
        <s v="Iseyin Medical"/>
        <s v="Otukpo Hospital"/>
        <s v="Ogaminana General"/>
        <s v="Ode-Ekiti Medical"/>
        <s v="Egbe Specialist"/>
        <s v="Ifo Medical"/>
        <s v="Idanre General"/>
        <s v="Ikom Medical"/>
        <s v="Ijero-Ekiti Hosp"/>
        <s v="Ikirun General"/>
        <s v="Ilorin Central"/>
        <s v="Ikare Specialist"/>
        <s v="Ilaro Medical"/>
        <s v="Iragbiji Hospital"/>
        <s v="Ijebu-Igbo General"/>
        <s v="Ilobu Medical"/>
        <s v="Ipoti General"/>
        <s v="Ikot-Ekpene Hosp"/>
        <s v="Abuja Central Hospital"/>
        <s v="Enugu State Hospital"/>
        <s v="Owerri General Hospital"/>
        <s v="Kaduna National Hospital"/>
        <s v="Ibadan Teaching Hospital"/>
        <s v="Lokoja General Hospital"/>
        <s v="Abeokuta Specialist Hosp"/>
        <s v="Ilorin University Hospital"/>
        <s v="Minna Federal Medical Center"/>
        <s v="Oshogbo General Hospital"/>
        <s v="Yenagoa Medical Center"/>
        <s v="Sokoto General Hospital"/>
        <s v="Port Harcourt General"/>
        <s v="Uyo General Hospital"/>
        <s v="Warri General Hospital"/>
        <s v="Aba Medical Center"/>
        <s v="Calabar General Hospital"/>
        <s v="Lokoja Medical Center"/>
        <s v="Gombe General Hospital"/>
        <s v="Jalingo Federal Medical Center"/>
        <s v="Bauchi National Hospital"/>
        <s v="Umuahia General Hospital"/>
        <s v="Akure Medical Center"/>
        <s v="Ibadan National Hospital"/>
        <s v="Maiduguri General Hospital"/>
        <s v="Kano National Hospital"/>
        <s v="Makurdi General Hospital"/>
        <s v="Asaba Medical Center"/>
        <s v="Gusau General Hospital"/>
        <s v="Yola Federal Medical Center"/>
        <s v="Jos University Teaching Hospital"/>
        <s v="Ogbomoso General Hospital"/>
        <s v="Ado-Ekiti Medical Center"/>
        <s v="Abakaliki General Hospital"/>
        <s v="Benin City General Hospital"/>
        <s v="Lafia Federal Medical Center"/>
        <s v="Abeokuta General Hospital"/>
        <s v="Awka Medical Center"/>
        <s v="Dutse General Hospital"/>
        <s v="Keffi Federal Medical Center"/>
      </sharedItems>
    </cacheField>
    <cacheField name="State" numFmtId="182">
      <sharedItems count="35">
        <s v="Lagos"/>
        <s v="Abuja"/>
        <s v="Kano"/>
        <s v="Rivers"/>
        <s v="Oyo"/>
        <s v="Kaduna"/>
        <s v="Enugu"/>
        <s v="Edo"/>
        <s v="Imo"/>
        <s v="Plateau"/>
        <s v="Delta"/>
        <s v="Cross River"/>
        <s v="Sokoto"/>
        <s v="Akwa Ibom"/>
        <s v="Ogun"/>
        <s v="Osun"/>
        <s v="Adamawa"/>
        <s v="Borno"/>
        <s v="Benue"/>
        <s v="Kogi"/>
        <s v="Ekiti"/>
        <s v="Anambra"/>
        <s v="Abia"/>
        <s v="Gombe"/>
        <s v="Yobe"/>
        <s v="Bauchi"/>
        <s v="Ebonyi"/>
        <s v="Ondo"/>
        <s v="Kwara"/>
        <s v="Niger"/>
        <s v="Bayelsa"/>
        <s v="Taraba"/>
        <s v="Zamfara"/>
        <s v="Nasarawa"/>
        <s v="Jigawa"/>
      </sharedItems>
    </cacheField>
    <cacheField name="Location" numFmtId="182">
      <sharedItems count="64">
        <s v="Lagos City"/>
        <s v="Abuja City"/>
        <s v="Kano City"/>
        <s v="Port Harcourt"/>
        <s v="Ibadan City"/>
        <s v="Kaduna City"/>
        <s v="Enugu City"/>
        <s v="Benin City"/>
        <s v="Owerri City"/>
        <s v="Jos City"/>
        <s v="Warri City"/>
        <s v="Calabar City"/>
        <s v="Sokoto City"/>
        <s v="Uyo City"/>
        <s v="Abeokuta City"/>
        <s v="Osogbo City"/>
        <s v="Yola City"/>
        <s v="Maiduguri City"/>
        <s v="Makurdi City"/>
        <s v="Lokoja City"/>
        <s v="Ile-Ife City"/>
        <s v="Ado-Ekiti City"/>
        <s v="Awka City"/>
        <s v="Epe City"/>
        <s v="Ikeja City"/>
        <s v="Ife City"/>
        <s v="Umuahia City"/>
        <s v="Gombe City"/>
        <s v="Damaturu City"/>
        <s v="Bauchi City"/>
        <s v="Ijebu-Ode City"/>
        <s v="Okene City"/>
        <s v="Abakaliki City"/>
        <s v="Sapele City"/>
        <s v="Iseyin City"/>
        <s v="Otukpo City"/>
        <s v="Ogaminana City"/>
        <s v="Ode-Ekiti City"/>
        <s v="Egbe City"/>
        <s v="Ifo City"/>
        <s v="Idanre City"/>
        <s v="Ikom City"/>
        <s v="Ijero-Ekiti City"/>
        <s v="Ikirun City"/>
        <s v="Ilorin City"/>
        <s v="Ikare City"/>
        <s v="Ilaro City"/>
        <s v="Iragbiji City"/>
        <s v="Ijebu-Igbo City"/>
        <s v="Ilobu City"/>
        <s v="Ipoti City"/>
        <s v="Ikot-Ekpene City"/>
        <s v="Minna City"/>
        <s v="Oshogbo City"/>
        <s v="Yenagoa City"/>
        <s v="Aba City"/>
        <s v="Jalingo City"/>
        <s v="Akure City"/>
        <s v="Asaba City"/>
        <s v="Gusau City"/>
        <s v="Ogbomoso City"/>
        <s v="Lafia City"/>
        <s v="Dutse City"/>
        <s v="Keffi City"/>
      </sharedItems>
    </cacheField>
    <cacheField name="Department" numFmtId="182">
      <sharedItems count="21">
        <s v="Cardiology"/>
        <s v="Radiology"/>
        <s v="Surgery"/>
        <s v="Pediatrics"/>
        <s v="Obstetrics"/>
        <s v="Oncology"/>
        <s v="Neurology"/>
        <s v="Orthopedics"/>
        <s v="Urology"/>
        <s v="Hematology"/>
        <s v="Emergency Care"/>
        <s v="Gynecology"/>
        <s v="Nephrology"/>
        <s v="Ophthalmology"/>
        <s v="Dermatology"/>
        <s v="Psychiatry"/>
        <s v="Gastroenterology"/>
        <s v="ENT"/>
        <s v="Pulmonology"/>
        <s v="Rheumatology"/>
        <s v="Neurosurgery"/>
      </sharedItems>
    </cacheField>
    <cacheField name="Equipment" numFmtId="49">
      <sharedItems count="65">
        <s v="ECG Machine"/>
        <s v="MRI Machine"/>
        <s v="Surgical Tools"/>
        <s v="Ventilator"/>
        <s v="Ultrasound"/>
        <s v="Radiation Machine"/>
        <s v="EEG Machine"/>
        <s v="X-ray Machine"/>
        <s v="Lithotripter"/>
        <s v="Hematology Analyzer"/>
        <s v="Defibrillator"/>
        <s v="Colposcope"/>
        <s v="Dialysis Machine"/>
        <s v="Fundus Camera"/>
        <s v="Laser Machine"/>
        <s v="Endoscopy Machine"/>
        <s v="Chemotherapy Pump"/>
        <s v="Audiometer"/>
        <s v="Spirometer"/>
        <s v="Holter Monitor"/>
        <s v="Coagulation Analyzer"/>
        <s v="Infant Incubator"/>
        <s v="Bone Densitometer"/>
        <s v="Surgical Microscope"/>
        <s v="CT Scanner"/>
        <s v="C-Arm Machine"/>
        <s v="Fetal Monitor"/>
        <s v="Cryotherapy Machine"/>
        <s v="Oxygen Concentrator"/>
        <s v="Cystoscope"/>
        <s v="Hysteroscope"/>
        <s v="Hemoglobin Analyzer"/>
        <s v="Rhinolaryngoscope"/>
        <s v="EMG Machine"/>
        <s v="Stress Test System"/>
        <s v="Linear Accelerator"/>
        <s v="Phototherapy Unit"/>
        <s v="Traction Table"/>
        <s v="Electrosurgical Unit"/>
        <s v="Mammography Machine"/>
        <s v="Psychiatric Bed"/>
        <s v="Colonoscope"/>
        <s v="Blood Analyzer"/>
        <s v="Otoscope"/>
        <s v="Neuroendoscope"/>
        <s v="Echocardiogram"/>
        <s v="CPAP Machine"/>
        <s v="Anesthesia Machine"/>
        <s v="Lithotripsy Machine"/>
        <s v="Operating Table"/>
        <s v="Endoscope"/>
        <s v="Psychiatric Ward"/>
        <s v="Gastroscope"/>
        <s v="Blood Bank Refrigerator"/>
        <s v="Cautery Machine"/>
        <s v="Surgical Lights"/>
        <s v="TCD Machine"/>
        <s v="Microscope"/>
        <s v="Sterilization Equipment"/>
        <s v="Infant Warmers"/>
        <s v="Cast Cutter"/>
        <s v="Surgical Suction Machine"/>
        <s v="Ultrasound Machine"/>
        <s v="C-arm Fluoroscopy"/>
        <s v="Incubator"/>
      </sharedItems>
    </cacheField>
    <cacheField name=" Quantity " numFmtId="0">
      <sharedItems containsSemiMixedTypes="0" containsString="0" containsNumber="1" containsInteger="1" minValue="0" maxValue="10" count="10">
        <n v="2"/>
        <n v="1"/>
        <n v="5"/>
        <n v="3"/>
        <n v="7"/>
        <n v="8"/>
        <n v="4"/>
        <n v="10"/>
        <n v="6"/>
        <n v="9"/>
      </sharedItems>
    </cacheField>
    <cacheField name=" Unit Price (USD) " numFmtId="0">
      <sharedItems containsSemiMixedTypes="0" containsString="0" containsNumber="1" containsInteger="1" minValue="0" maxValue="500000" count="24">
        <n v="5000"/>
        <n v="15000"/>
        <n v="300"/>
        <n v="10000"/>
        <n v="8000"/>
        <n v="200000"/>
        <n v="25000"/>
        <n v="75000"/>
        <n v="30000"/>
        <n v="20000"/>
        <n v="12000"/>
        <n v="35000"/>
        <n v="7000"/>
        <n v="3000"/>
        <n v="40000"/>
        <n v="70000"/>
        <n v="6000"/>
        <n v="500000"/>
        <n v="2000"/>
        <n v="1000"/>
        <n v="250000"/>
        <n v="60000"/>
        <n v="50000"/>
        <n v="80000"/>
      </sharedItems>
    </cacheField>
    <cacheField name="Supplier" numFmtId="49">
      <sharedItems count="40">
        <s v="MedTech Inc."/>
        <s v="Imagix"/>
        <s v="SurgiSupplies"/>
        <s v="RespCare"/>
        <s v="Sonoscan"/>
        <s v="RadSource"/>
        <s v="NeuroTech"/>
        <s v="MedImaging"/>
        <s v="UltraMed"/>
        <s v="HemoTech"/>
        <s v="LifeSaver"/>
        <s v="GynoTech"/>
        <s v="NephroCare"/>
        <s v="EyeTech"/>
        <s v="DermiCare"/>
        <s v="GastroTech"/>
        <s v="OncoCare"/>
        <s v="HearTech"/>
        <s v="PulmoTech"/>
        <s v="CardioCare"/>
        <s v="NeoCare"/>
        <s v="OrthoTech"/>
        <s v="SurgiEquip"/>
        <s v="RadiantTech"/>
        <s v="NeuroSurg"/>
        <s v="DermaTech"/>
        <s v="RespTech"/>
        <s v="UroMed"/>
        <s v="ENT Solutions"/>
        <s v="OncoTech"/>
        <s v="MammoTech"/>
        <s v="PsychiCare"/>
        <s v="CardioTech"/>
        <s v="AnesthTech"/>
        <s v="BioTech"/>
        <s v="SteriTech"/>
        <s v="FluoroTech"/>
        <s v="ScanTech"/>
        <s v="CardiaTech"/>
        <s v="MRI Solutions"/>
      </sharedItems>
    </cacheField>
    <cacheField name="Supplier Contact" numFmtId="49">
      <sharedItems count="19">
        <s v="John Doe"/>
        <s v="Jane Smith"/>
        <s v="Ahmed Hassan"/>
        <s v="Emily Johnson"/>
        <s v="Michael Chang"/>
        <s v="Maria Garcia"/>
        <s v="Pedro Martinez"/>
        <s v="Anna Lee"/>
        <s v="Fatima Khan"/>
        <s v="David Wilson"/>
        <s v="Emma Watson"/>
        <s v="Maria Sanchez"/>
        <s v="Hassan Ali"/>
        <s v="Sophia Chen"/>
        <s v="Ahmed Saleh"/>
        <s v="Hassan Mohamed"/>
        <s v="Jessica Brown"/>
        <s v="Sarah Lee"/>
        <s v="Mark Smith"/>
      </sharedItems>
    </cacheField>
    <cacheField name=" Supplier Phone " numFmtId="0">
      <sharedItems containsSemiMixedTypes="0" containsString="0" containsNumber="1" containsInteger="1" minValue="0" maxValue="9988776655" count="10">
        <n v="1234567890"/>
        <n v="9876543210"/>
        <n v="2345678901"/>
        <n v="3456789012"/>
        <n v="4567890123"/>
        <n v="1122334455"/>
        <n v="9988776655"/>
        <n v="3322114455"/>
        <n v="7755332211"/>
        <n v="6677889900"/>
      </sharedItems>
    </cacheField>
    <cacheField name="Supplier Email" numFmtId="49">
      <sharedItems count="41">
        <s v="john@medtech.com"/>
        <s v="jane@imagix.co.uk"/>
        <s v="ahmed@surgisup.com"/>
        <s v="emily@respcare.cn"/>
        <s v="michael@sonoscan.jp"/>
        <s v="maria@radsource.de"/>
        <s v="pedro@neurotech.es"/>
        <s v="anna@medimaging.fr"/>
        <s v="fatima@ultramed.in"/>
        <s v="david@hemotech.us"/>
        <s v="emma@lifesaver.com"/>
        <s v="maria@gynotech.mx"/>
        <s v="hassan@nephrocare.sa"/>
        <s v="sophia@eyetech.tw"/>
        <s v="ahmed@dermicare.eg"/>
        <s v="hassan@gastrotech.sa"/>
        <s v="emily@oncocare.cn"/>
        <s v="david@heartech.us"/>
        <s v="fatima@pulmotech.in"/>
        <s v="emma@cardiocare.com"/>
        <s v="jessica@neocare.au"/>
        <s v="anna@orthotech.fr"/>
        <s v="ahmed@surgiequip.com"/>
        <s v="maria@radiantech.de"/>
        <s v="pedro@neurosurg.es"/>
        <s v="sarah@dermatech.kr"/>
        <s v="emily@resptech.cn"/>
        <s v="fatima@uromed.in"/>
        <s v="anna@ent-solutions.fr"/>
        <s v="emily@oncotech.cn"/>
        <s v="emily@mammotech.cn"/>
        <s v="sarah@psychicare.kr"/>
        <s v="emma@cardiotech.com"/>
        <s v="ahmed@anesthtech.com"/>
        <s v="sophia@heartech.tw"/>
        <s v="maria@biotech.de"/>
        <s v="hassan@steritech.sa"/>
        <s v="sophia@fluorotech.tw"/>
        <s v="emily@scantech.de"/>
        <s v="mark@cardiatech.us"/>
        <s v="john@mrisolutions.us"/>
      </sharedItems>
    </cacheField>
    <cacheField name="Supplier Country" numFmtId="49">
      <sharedItems count="15">
        <s v="USA"/>
        <s v="UK"/>
        <s v="UAE"/>
        <s v="China"/>
        <s v="Japan"/>
        <s v="Germany"/>
        <s v="Spain"/>
        <s v="France"/>
        <s v="India"/>
        <s v="Mexico"/>
        <s v="Saudi Arabia"/>
        <s v="Taiwan"/>
        <s v="Egypt"/>
        <s v="Australia"/>
        <s v="South Korea"/>
      </sharedItems>
    </cacheField>
    <cacheField name="Date Ordered" numFmtId="181">
      <sharedItems count="22">
        <s v="2024-03-15"/>
        <s v="2024-02-20"/>
        <s v="2024-01-10"/>
        <s v="2024-04-02"/>
        <s v="2024-03-05"/>
        <s v="2024-04-10"/>
        <s v="2024-02-28"/>
        <s v="2024-03-20"/>
        <s v="2024-01-25"/>
        <s v="2024-04-05"/>
        <s v="2024-03-10"/>
        <s v="2024-02-15"/>
        <s v="2024-01-20"/>
        <s v="2024-03-28"/>
        <s v="2024-02-05"/>
        <s v="2024-04-20"/>
        <s v="2024-03-01"/>
        <s v="2024-02-10"/>
        <s v="2024-03-02"/>
        <s v="2024-03-18"/>
        <s v="2024-04-01"/>
        <s v="2024-02-22"/>
      </sharedItems>
    </cacheField>
    <cacheField name="Date Delivered" numFmtId="181">
      <sharedItems count="19">
        <s v="2024-04-10"/>
        <s v="2024-03-18"/>
        <s v="2024-02-05"/>
        <s v="2024-04-25"/>
        <s v="2024-03-28"/>
        <s v="2024-05-05"/>
        <s v="2024-03-25"/>
        <s v="2024-04-15"/>
        <s v="2024-02-20"/>
        <s v="2024-04-30"/>
        <s v="2024-04-05"/>
        <s v="2024-03-10"/>
        <s v="2024-02-15"/>
        <s v="2024-04-22"/>
        <s v="2024-03-01"/>
        <s v="2024-05-15"/>
        <s v="2024-03-30"/>
        <s v="2024-03-05"/>
        <s v="2024-04-12"/>
      </sharedItems>
    </cacheField>
    <cacheField name=" Warranty Period (Months) " numFmtId="0">
      <sharedItems containsSemiMixedTypes="0" containsString="0" containsNumber="1" containsInteger="1" minValue="0" maxValue="60" count="5">
        <n v="24"/>
        <n v="36"/>
        <n v="12"/>
        <n v="48"/>
        <n v="60"/>
      </sharedItems>
    </cacheField>
    <cacheField name=" Maintenance Cost (USD/year) " numFmtId="0">
      <sharedItems containsSemiMixedTypes="0" containsString="0" containsNumber="1" containsInteger="1" minValue="0" maxValue="5000" count="10">
        <n v="1000"/>
        <n v="2000"/>
        <n v="500"/>
        <n v="1500"/>
        <n v="1200"/>
        <n v="5000"/>
        <n v="3000"/>
        <n v="2500"/>
        <n v="1800"/>
        <n v="800"/>
      </sharedItems>
    </cacheField>
    <cacheField name=" Installation Cost (USD) " numFmtId="0">
      <sharedItems containsSemiMixedTypes="0" containsString="0" containsNumber="1" containsInteger="1" minValue="0" maxValue="3000" count="13">
        <n v="500"/>
        <n v="1000"/>
        <n v="200"/>
        <n v="800"/>
        <n v="600"/>
        <n v="2000"/>
        <n v="1200"/>
        <n v="1500"/>
        <n v="700"/>
        <n v="900"/>
        <n v="1800"/>
        <n v="3000"/>
        <n v="300"/>
      </sharedItems>
    </cacheField>
    <cacheField name="Equipment Condition" numFmtId="49">
      <sharedItems count="4">
        <s v="New"/>
        <s v="Used - Good"/>
        <s v="Refurbished"/>
        <s v="Used - Fair"/>
      </sharedItems>
    </cacheField>
    <cacheField name="Procurement" numFmtId="0">
      <sharedItems containsSemiMixedTypes="0" containsString="0" containsNumber="1" containsInteger="1" minValue="0" maxValue="1600000" count="44">
        <n v="10000"/>
        <n v="15000"/>
        <n v="1500"/>
        <n v="30000"/>
        <n v="8000"/>
        <n v="200000"/>
        <n v="20000"/>
        <n v="25000"/>
        <n v="75000"/>
        <n v="60000"/>
        <n v="40000"/>
        <n v="12000"/>
        <n v="35000"/>
        <n v="50000"/>
        <n v="45000"/>
        <n v="5000"/>
        <n v="14000"/>
        <n v="6000"/>
        <n v="16000"/>
        <n v="70000"/>
        <n v="9000"/>
        <n v="500000"/>
        <n v="3000"/>
        <n v="250000"/>
        <n v="24000"/>
        <n v="80000"/>
        <n v="210000"/>
        <n v="180000"/>
        <n v="1600000"/>
        <n v="800000"/>
        <n v="72000"/>
        <n v="120000"/>
        <n v="140000"/>
        <n v="150000"/>
        <n v="240000"/>
        <n v="100000"/>
        <n v="56000"/>
        <n v="400000"/>
        <n v="48000"/>
        <n v="640000"/>
        <n v="560000"/>
        <n v="600000"/>
        <n v="160000"/>
        <n v="90000"/>
      </sharedItems>
    </cacheField>
    <cacheField name="Delievry days" numFmtId="0">
      <sharedItems containsSemiMixedTypes="0" containsString="0" containsNumber="1" containsInteger="1" minValue="0" maxValue="29" count="6">
        <n v="26"/>
        <n v="27"/>
        <n v="23"/>
        <n v="25"/>
        <n v="24"/>
        <n v="2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1"/>
    <x v="1"/>
  </r>
  <r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1"/>
    <x v="2"/>
    <x v="2"/>
  </r>
  <r>
    <x v="3"/>
    <x v="3"/>
    <x v="3"/>
    <x v="3"/>
    <x v="3"/>
    <x v="3"/>
    <x v="3"/>
    <x v="3"/>
    <x v="3"/>
    <x v="3"/>
    <x v="3"/>
    <x v="3"/>
    <x v="3"/>
    <x v="3"/>
    <x v="3"/>
    <x v="0"/>
    <x v="3"/>
    <x v="3"/>
    <x v="2"/>
    <x v="3"/>
    <x v="3"/>
  </r>
  <r>
    <x v="4"/>
    <x v="4"/>
    <x v="4"/>
    <x v="4"/>
    <x v="4"/>
    <x v="4"/>
    <x v="1"/>
    <x v="4"/>
    <x v="4"/>
    <x v="4"/>
    <x v="4"/>
    <x v="4"/>
    <x v="4"/>
    <x v="4"/>
    <x v="4"/>
    <x v="0"/>
    <x v="4"/>
    <x v="4"/>
    <x v="0"/>
    <x v="4"/>
    <x v="4"/>
  </r>
  <r>
    <x v="5"/>
    <x v="5"/>
    <x v="5"/>
    <x v="5"/>
    <x v="5"/>
    <x v="5"/>
    <x v="1"/>
    <x v="5"/>
    <x v="5"/>
    <x v="5"/>
    <x v="5"/>
    <x v="5"/>
    <x v="5"/>
    <x v="5"/>
    <x v="5"/>
    <x v="3"/>
    <x v="5"/>
    <x v="5"/>
    <x v="0"/>
    <x v="5"/>
    <x v="5"/>
  </r>
  <r>
    <x v="6"/>
    <x v="6"/>
    <x v="6"/>
    <x v="6"/>
    <x v="6"/>
    <x v="6"/>
    <x v="0"/>
    <x v="3"/>
    <x v="6"/>
    <x v="6"/>
    <x v="6"/>
    <x v="6"/>
    <x v="6"/>
    <x v="6"/>
    <x v="6"/>
    <x v="1"/>
    <x v="3"/>
    <x v="1"/>
    <x v="2"/>
    <x v="6"/>
    <x v="6"/>
  </r>
  <r>
    <x v="7"/>
    <x v="7"/>
    <x v="7"/>
    <x v="7"/>
    <x v="7"/>
    <x v="7"/>
    <x v="1"/>
    <x v="6"/>
    <x v="7"/>
    <x v="7"/>
    <x v="7"/>
    <x v="7"/>
    <x v="7"/>
    <x v="7"/>
    <x v="7"/>
    <x v="1"/>
    <x v="1"/>
    <x v="6"/>
    <x v="0"/>
    <x v="7"/>
    <x v="7"/>
  </r>
  <r>
    <x v="8"/>
    <x v="8"/>
    <x v="8"/>
    <x v="8"/>
    <x v="8"/>
    <x v="8"/>
    <x v="1"/>
    <x v="7"/>
    <x v="8"/>
    <x v="8"/>
    <x v="8"/>
    <x v="8"/>
    <x v="8"/>
    <x v="8"/>
    <x v="8"/>
    <x v="3"/>
    <x v="6"/>
    <x v="7"/>
    <x v="0"/>
    <x v="8"/>
    <x v="8"/>
  </r>
  <r>
    <x v="9"/>
    <x v="9"/>
    <x v="9"/>
    <x v="9"/>
    <x v="9"/>
    <x v="9"/>
    <x v="0"/>
    <x v="8"/>
    <x v="9"/>
    <x v="9"/>
    <x v="9"/>
    <x v="9"/>
    <x v="0"/>
    <x v="9"/>
    <x v="9"/>
    <x v="0"/>
    <x v="0"/>
    <x v="3"/>
    <x v="0"/>
    <x v="9"/>
    <x v="9"/>
  </r>
  <r>
    <x v="10"/>
    <x v="10"/>
    <x v="10"/>
    <x v="10"/>
    <x v="10"/>
    <x v="10"/>
    <x v="3"/>
    <x v="0"/>
    <x v="10"/>
    <x v="10"/>
    <x v="5"/>
    <x v="10"/>
    <x v="0"/>
    <x v="0"/>
    <x v="0"/>
    <x v="0"/>
    <x v="0"/>
    <x v="0"/>
    <x v="0"/>
    <x v="1"/>
    <x v="1"/>
  </r>
  <r>
    <x v="11"/>
    <x v="11"/>
    <x v="11"/>
    <x v="11"/>
    <x v="11"/>
    <x v="11"/>
    <x v="1"/>
    <x v="4"/>
    <x v="11"/>
    <x v="11"/>
    <x v="6"/>
    <x v="11"/>
    <x v="9"/>
    <x v="1"/>
    <x v="1"/>
    <x v="1"/>
    <x v="4"/>
    <x v="8"/>
    <x v="2"/>
    <x v="4"/>
    <x v="4"/>
  </r>
  <r>
    <x v="12"/>
    <x v="12"/>
    <x v="12"/>
    <x v="12"/>
    <x v="12"/>
    <x v="12"/>
    <x v="0"/>
    <x v="9"/>
    <x v="12"/>
    <x v="12"/>
    <x v="7"/>
    <x v="12"/>
    <x v="10"/>
    <x v="2"/>
    <x v="2"/>
    <x v="3"/>
    <x v="7"/>
    <x v="7"/>
    <x v="0"/>
    <x v="10"/>
    <x v="10"/>
  </r>
  <r>
    <x v="13"/>
    <x v="13"/>
    <x v="13"/>
    <x v="13"/>
    <x v="13"/>
    <x v="13"/>
    <x v="1"/>
    <x v="10"/>
    <x v="13"/>
    <x v="13"/>
    <x v="8"/>
    <x v="13"/>
    <x v="11"/>
    <x v="3"/>
    <x v="3"/>
    <x v="1"/>
    <x v="3"/>
    <x v="9"/>
    <x v="0"/>
    <x v="11"/>
    <x v="11"/>
  </r>
  <r>
    <x v="14"/>
    <x v="14"/>
    <x v="14"/>
    <x v="14"/>
    <x v="14"/>
    <x v="14"/>
    <x v="1"/>
    <x v="11"/>
    <x v="14"/>
    <x v="14"/>
    <x v="9"/>
    <x v="14"/>
    <x v="12"/>
    <x v="4"/>
    <x v="4"/>
    <x v="3"/>
    <x v="6"/>
    <x v="10"/>
    <x v="2"/>
    <x v="12"/>
    <x v="12"/>
  </r>
  <r>
    <x v="15"/>
    <x v="15"/>
    <x v="15"/>
    <x v="15"/>
    <x v="15"/>
    <x v="15"/>
    <x v="1"/>
    <x v="3"/>
    <x v="15"/>
    <x v="15"/>
    <x v="5"/>
    <x v="15"/>
    <x v="6"/>
    <x v="6"/>
    <x v="6"/>
    <x v="1"/>
    <x v="3"/>
    <x v="1"/>
    <x v="2"/>
    <x v="0"/>
    <x v="0"/>
  </r>
  <r>
    <x v="16"/>
    <x v="16"/>
    <x v="16"/>
    <x v="16"/>
    <x v="16"/>
    <x v="16"/>
    <x v="0"/>
    <x v="6"/>
    <x v="16"/>
    <x v="16"/>
    <x v="6"/>
    <x v="16"/>
    <x v="10"/>
    <x v="7"/>
    <x v="7"/>
    <x v="3"/>
    <x v="1"/>
    <x v="6"/>
    <x v="0"/>
    <x v="13"/>
    <x v="13"/>
  </r>
  <r>
    <x v="17"/>
    <x v="17"/>
    <x v="17"/>
    <x v="17"/>
    <x v="17"/>
    <x v="17"/>
    <x v="3"/>
    <x v="1"/>
    <x v="17"/>
    <x v="3"/>
    <x v="7"/>
    <x v="17"/>
    <x v="3"/>
    <x v="8"/>
    <x v="8"/>
    <x v="1"/>
    <x v="8"/>
    <x v="1"/>
    <x v="1"/>
    <x v="14"/>
    <x v="14"/>
  </r>
  <r>
    <x v="18"/>
    <x v="18"/>
    <x v="18"/>
    <x v="18"/>
    <x v="18"/>
    <x v="18"/>
    <x v="1"/>
    <x v="0"/>
    <x v="18"/>
    <x v="9"/>
    <x v="8"/>
    <x v="18"/>
    <x v="0"/>
    <x v="9"/>
    <x v="9"/>
    <x v="0"/>
    <x v="9"/>
    <x v="4"/>
    <x v="0"/>
    <x v="15"/>
    <x v="15"/>
  </r>
  <r>
    <x v="19"/>
    <x v="19"/>
    <x v="19"/>
    <x v="19"/>
    <x v="19"/>
    <x v="19"/>
    <x v="0"/>
    <x v="12"/>
    <x v="19"/>
    <x v="8"/>
    <x v="9"/>
    <x v="19"/>
    <x v="8"/>
    <x v="10"/>
    <x v="10"/>
    <x v="1"/>
    <x v="4"/>
    <x v="3"/>
    <x v="0"/>
    <x v="16"/>
    <x v="16"/>
  </r>
  <r>
    <x v="20"/>
    <x v="20"/>
    <x v="15"/>
    <x v="20"/>
    <x v="20"/>
    <x v="20"/>
    <x v="1"/>
    <x v="3"/>
    <x v="20"/>
    <x v="4"/>
    <x v="5"/>
    <x v="20"/>
    <x v="4"/>
    <x v="11"/>
    <x v="11"/>
    <x v="0"/>
    <x v="0"/>
    <x v="8"/>
    <x v="2"/>
    <x v="0"/>
    <x v="0"/>
  </r>
  <r>
    <x v="21"/>
    <x v="21"/>
    <x v="20"/>
    <x v="21"/>
    <x v="21"/>
    <x v="21"/>
    <x v="0"/>
    <x v="13"/>
    <x v="21"/>
    <x v="10"/>
    <x v="6"/>
    <x v="21"/>
    <x v="0"/>
    <x v="12"/>
    <x v="12"/>
    <x v="1"/>
    <x v="9"/>
    <x v="0"/>
    <x v="3"/>
    <x v="17"/>
    <x v="17"/>
  </r>
  <r>
    <x v="22"/>
    <x v="22"/>
    <x v="21"/>
    <x v="22"/>
    <x v="22"/>
    <x v="22"/>
    <x v="1"/>
    <x v="10"/>
    <x v="22"/>
    <x v="9"/>
    <x v="7"/>
    <x v="22"/>
    <x v="0"/>
    <x v="5"/>
    <x v="5"/>
    <x v="0"/>
    <x v="3"/>
    <x v="1"/>
    <x v="0"/>
    <x v="11"/>
    <x v="11"/>
  </r>
  <r>
    <x v="23"/>
    <x v="23"/>
    <x v="22"/>
    <x v="23"/>
    <x v="23"/>
    <x v="23"/>
    <x v="0"/>
    <x v="4"/>
    <x v="23"/>
    <x v="17"/>
    <x v="8"/>
    <x v="23"/>
    <x v="13"/>
    <x v="13"/>
    <x v="13"/>
    <x v="1"/>
    <x v="0"/>
    <x v="8"/>
    <x v="2"/>
    <x v="18"/>
    <x v="18"/>
  </r>
  <r>
    <x v="24"/>
    <x v="24"/>
    <x v="22"/>
    <x v="24"/>
    <x v="24"/>
    <x v="24"/>
    <x v="1"/>
    <x v="6"/>
    <x v="24"/>
    <x v="7"/>
    <x v="9"/>
    <x v="24"/>
    <x v="7"/>
    <x v="14"/>
    <x v="14"/>
    <x v="3"/>
    <x v="1"/>
    <x v="6"/>
    <x v="0"/>
    <x v="7"/>
    <x v="7"/>
  </r>
  <r>
    <x v="25"/>
    <x v="25"/>
    <x v="23"/>
    <x v="25"/>
    <x v="25"/>
    <x v="25"/>
    <x v="1"/>
    <x v="14"/>
    <x v="25"/>
    <x v="2"/>
    <x v="5"/>
    <x v="25"/>
    <x v="2"/>
    <x v="2"/>
    <x v="2"/>
    <x v="1"/>
    <x v="7"/>
    <x v="7"/>
    <x v="0"/>
    <x v="10"/>
    <x v="10"/>
  </r>
  <r>
    <x v="26"/>
    <x v="26"/>
    <x v="24"/>
    <x v="26"/>
    <x v="26"/>
    <x v="26"/>
    <x v="1"/>
    <x v="5"/>
    <x v="26"/>
    <x v="5"/>
    <x v="6"/>
    <x v="26"/>
    <x v="5"/>
    <x v="3"/>
    <x v="3"/>
    <x v="3"/>
    <x v="5"/>
    <x v="11"/>
    <x v="0"/>
    <x v="5"/>
    <x v="5"/>
  </r>
  <r>
    <x v="27"/>
    <x v="27"/>
    <x v="25"/>
    <x v="27"/>
    <x v="27"/>
    <x v="27"/>
    <x v="1"/>
    <x v="15"/>
    <x v="27"/>
    <x v="15"/>
    <x v="7"/>
    <x v="27"/>
    <x v="6"/>
    <x v="7"/>
    <x v="7"/>
    <x v="1"/>
    <x v="6"/>
    <x v="5"/>
    <x v="2"/>
    <x v="19"/>
    <x v="19"/>
  </r>
  <r>
    <x v="28"/>
    <x v="28"/>
    <x v="26"/>
    <x v="28"/>
    <x v="28"/>
    <x v="28"/>
    <x v="0"/>
    <x v="16"/>
    <x v="23"/>
    <x v="17"/>
    <x v="8"/>
    <x v="23"/>
    <x v="13"/>
    <x v="11"/>
    <x v="11"/>
    <x v="0"/>
    <x v="9"/>
    <x v="0"/>
    <x v="3"/>
    <x v="11"/>
    <x v="11"/>
  </r>
  <r>
    <x v="29"/>
    <x v="29"/>
    <x v="27"/>
    <x v="29"/>
    <x v="10"/>
    <x v="29"/>
    <x v="0"/>
    <x v="6"/>
    <x v="28"/>
    <x v="3"/>
    <x v="9"/>
    <x v="28"/>
    <x v="3"/>
    <x v="12"/>
    <x v="12"/>
    <x v="1"/>
    <x v="3"/>
    <x v="1"/>
    <x v="2"/>
    <x v="13"/>
    <x v="13"/>
  </r>
  <r>
    <x v="30"/>
    <x v="30"/>
    <x v="14"/>
    <x v="30"/>
    <x v="29"/>
    <x v="30"/>
    <x v="1"/>
    <x v="1"/>
    <x v="29"/>
    <x v="18"/>
    <x v="9"/>
    <x v="29"/>
    <x v="14"/>
    <x v="5"/>
    <x v="5"/>
    <x v="1"/>
    <x v="1"/>
    <x v="6"/>
    <x v="0"/>
    <x v="1"/>
    <x v="1"/>
  </r>
  <r>
    <x v="31"/>
    <x v="31"/>
    <x v="19"/>
    <x v="31"/>
    <x v="30"/>
    <x v="31"/>
    <x v="3"/>
    <x v="13"/>
    <x v="30"/>
    <x v="3"/>
    <x v="8"/>
    <x v="30"/>
    <x v="3"/>
    <x v="0"/>
    <x v="0"/>
    <x v="0"/>
    <x v="0"/>
    <x v="0"/>
    <x v="1"/>
    <x v="20"/>
    <x v="20"/>
  </r>
  <r>
    <x v="32"/>
    <x v="32"/>
    <x v="28"/>
    <x v="32"/>
    <x v="31"/>
    <x v="32"/>
    <x v="1"/>
    <x v="3"/>
    <x v="31"/>
    <x v="8"/>
    <x v="9"/>
    <x v="31"/>
    <x v="8"/>
    <x v="1"/>
    <x v="1"/>
    <x v="1"/>
    <x v="3"/>
    <x v="1"/>
    <x v="2"/>
    <x v="0"/>
    <x v="0"/>
  </r>
  <r>
    <x v="33"/>
    <x v="33"/>
    <x v="10"/>
    <x v="33"/>
    <x v="32"/>
    <x v="33"/>
    <x v="0"/>
    <x v="4"/>
    <x v="32"/>
    <x v="11"/>
    <x v="8"/>
    <x v="32"/>
    <x v="9"/>
    <x v="2"/>
    <x v="2"/>
    <x v="0"/>
    <x v="4"/>
    <x v="8"/>
    <x v="0"/>
    <x v="18"/>
    <x v="18"/>
  </r>
  <r>
    <x v="34"/>
    <x v="34"/>
    <x v="29"/>
    <x v="34"/>
    <x v="33"/>
    <x v="34"/>
    <x v="1"/>
    <x v="3"/>
    <x v="33"/>
    <x v="9"/>
    <x v="7"/>
    <x v="33"/>
    <x v="0"/>
    <x v="3"/>
    <x v="3"/>
    <x v="1"/>
    <x v="3"/>
    <x v="3"/>
    <x v="2"/>
    <x v="0"/>
    <x v="0"/>
  </r>
  <r>
    <x v="35"/>
    <x v="35"/>
    <x v="18"/>
    <x v="35"/>
    <x v="34"/>
    <x v="35"/>
    <x v="1"/>
    <x v="16"/>
    <x v="34"/>
    <x v="7"/>
    <x v="6"/>
    <x v="34"/>
    <x v="7"/>
    <x v="4"/>
    <x v="4"/>
    <x v="0"/>
    <x v="9"/>
    <x v="0"/>
    <x v="3"/>
    <x v="17"/>
    <x v="17"/>
  </r>
  <r>
    <x v="36"/>
    <x v="36"/>
    <x v="19"/>
    <x v="36"/>
    <x v="35"/>
    <x v="36"/>
    <x v="1"/>
    <x v="6"/>
    <x v="35"/>
    <x v="15"/>
    <x v="9"/>
    <x v="35"/>
    <x v="6"/>
    <x v="6"/>
    <x v="6"/>
    <x v="3"/>
    <x v="1"/>
    <x v="6"/>
    <x v="0"/>
    <x v="7"/>
    <x v="7"/>
  </r>
  <r>
    <x v="37"/>
    <x v="37"/>
    <x v="20"/>
    <x v="37"/>
    <x v="36"/>
    <x v="37"/>
    <x v="0"/>
    <x v="9"/>
    <x v="36"/>
    <x v="10"/>
    <x v="8"/>
    <x v="36"/>
    <x v="0"/>
    <x v="12"/>
    <x v="12"/>
    <x v="1"/>
    <x v="4"/>
    <x v="8"/>
    <x v="2"/>
    <x v="10"/>
    <x v="10"/>
  </r>
  <r>
    <x v="38"/>
    <x v="38"/>
    <x v="19"/>
    <x v="38"/>
    <x v="37"/>
    <x v="38"/>
    <x v="1"/>
    <x v="17"/>
    <x v="37"/>
    <x v="3"/>
    <x v="7"/>
    <x v="37"/>
    <x v="3"/>
    <x v="5"/>
    <x v="5"/>
    <x v="3"/>
    <x v="5"/>
    <x v="11"/>
    <x v="0"/>
    <x v="21"/>
    <x v="21"/>
  </r>
  <r>
    <x v="39"/>
    <x v="39"/>
    <x v="14"/>
    <x v="39"/>
    <x v="38"/>
    <x v="39"/>
    <x v="0"/>
    <x v="0"/>
    <x v="38"/>
    <x v="17"/>
    <x v="9"/>
    <x v="38"/>
    <x v="13"/>
    <x v="0"/>
    <x v="0"/>
    <x v="0"/>
    <x v="0"/>
    <x v="0"/>
    <x v="1"/>
    <x v="0"/>
    <x v="0"/>
  </r>
  <r>
    <x v="40"/>
    <x v="40"/>
    <x v="30"/>
    <x v="40"/>
    <x v="39"/>
    <x v="40"/>
    <x v="1"/>
    <x v="1"/>
    <x v="39"/>
    <x v="7"/>
    <x v="8"/>
    <x v="39"/>
    <x v="7"/>
    <x v="1"/>
    <x v="1"/>
    <x v="1"/>
    <x v="1"/>
    <x v="6"/>
    <x v="0"/>
    <x v="1"/>
    <x v="1"/>
  </r>
  <r>
    <x v="41"/>
    <x v="41"/>
    <x v="11"/>
    <x v="41"/>
    <x v="40"/>
    <x v="41"/>
    <x v="1"/>
    <x v="4"/>
    <x v="40"/>
    <x v="2"/>
    <x v="7"/>
    <x v="40"/>
    <x v="2"/>
    <x v="2"/>
    <x v="2"/>
    <x v="3"/>
    <x v="3"/>
    <x v="1"/>
    <x v="2"/>
    <x v="4"/>
    <x v="4"/>
  </r>
  <r>
    <x v="42"/>
    <x v="42"/>
    <x v="31"/>
    <x v="42"/>
    <x v="41"/>
    <x v="42"/>
    <x v="1"/>
    <x v="8"/>
    <x v="41"/>
    <x v="3"/>
    <x v="9"/>
    <x v="41"/>
    <x v="3"/>
    <x v="3"/>
    <x v="3"/>
    <x v="1"/>
    <x v="8"/>
    <x v="1"/>
    <x v="1"/>
    <x v="3"/>
    <x v="3"/>
  </r>
  <r>
    <x v="43"/>
    <x v="43"/>
    <x v="15"/>
    <x v="43"/>
    <x v="42"/>
    <x v="43"/>
    <x v="3"/>
    <x v="18"/>
    <x v="42"/>
    <x v="18"/>
    <x v="8"/>
    <x v="42"/>
    <x v="14"/>
    <x v="4"/>
    <x v="4"/>
    <x v="0"/>
    <x v="9"/>
    <x v="4"/>
    <x v="3"/>
    <x v="17"/>
    <x v="17"/>
  </r>
  <r>
    <x v="44"/>
    <x v="44"/>
    <x v="32"/>
    <x v="44"/>
    <x v="16"/>
    <x v="44"/>
    <x v="1"/>
    <x v="6"/>
    <x v="43"/>
    <x v="16"/>
    <x v="7"/>
    <x v="43"/>
    <x v="10"/>
    <x v="6"/>
    <x v="6"/>
    <x v="1"/>
    <x v="1"/>
    <x v="6"/>
    <x v="0"/>
    <x v="7"/>
    <x v="7"/>
  </r>
  <r>
    <x v="45"/>
    <x v="45"/>
    <x v="30"/>
    <x v="45"/>
    <x v="33"/>
    <x v="45"/>
    <x v="0"/>
    <x v="1"/>
    <x v="33"/>
    <x v="9"/>
    <x v="9"/>
    <x v="33"/>
    <x v="0"/>
    <x v="2"/>
    <x v="2"/>
    <x v="3"/>
    <x v="3"/>
    <x v="3"/>
    <x v="2"/>
    <x v="3"/>
    <x v="3"/>
  </r>
  <r>
    <x v="46"/>
    <x v="46"/>
    <x v="14"/>
    <x v="46"/>
    <x v="34"/>
    <x v="46"/>
    <x v="3"/>
    <x v="19"/>
    <x v="34"/>
    <x v="7"/>
    <x v="8"/>
    <x v="34"/>
    <x v="7"/>
    <x v="3"/>
    <x v="3"/>
    <x v="0"/>
    <x v="2"/>
    <x v="12"/>
    <x v="3"/>
    <x v="22"/>
    <x v="22"/>
  </r>
  <r>
    <x v="47"/>
    <x v="47"/>
    <x v="15"/>
    <x v="47"/>
    <x v="43"/>
    <x v="47"/>
    <x v="1"/>
    <x v="14"/>
    <x v="44"/>
    <x v="15"/>
    <x v="7"/>
    <x v="44"/>
    <x v="6"/>
    <x v="0"/>
    <x v="0"/>
    <x v="1"/>
    <x v="6"/>
    <x v="5"/>
    <x v="0"/>
    <x v="10"/>
    <x v="10"/>
  </r>
  <r>
    <x v="48"/>
    <x v="48"/>
    <x v="14"/>
    <x v="48"/>
    <x v="36"/>
    <x v="48"/>
    <x v="1"/>
    <x v="14"/>
    <x v="45"/>
    <x v="10"/>
    <x v="9"/>
    <x v="45"/>
    <x v="0"/>
    <x v="1"/>
    <x v="1"/>
    <x v="3"/>
    <x v="7"/>
    <x v="7"/>
    <x v="0"/>
    <x v="10"/>
    <x v="10"/>
  </r>
  <r>
    <x v="49"/>
    <x v="49"/>
    <x v="15"/>
    <x v="49"/>
    <x v="30"/>
    <x v="49"/>
    <x v="0"/>
    <x v="13"/>
    <x v="46"/>
    <x v="3"/>
    <x v="8"/>
    <x v="46"/>
    <x v="3"/>
    <x v="2"/>
    <x v="2"/>
    <x v="0"/>
    <x v="0"/>
    <x v="0"/>
    <x v="1"/>
    <x v="17"/>
    <x v="17"/>
  </r>
  <r>
    <x v="50"/>
    <x v="41"/>
    <x v="33"/>
    <x v="41"/>
    <x v="40"/>
    <x v="50"/>
    <x v="1"/>
    <x v="9"/>
    <x v="47"/>
    <x v="2"/>
    <x v="7"/>
    <x v="47"/>
    <x v="2"/>
    <x v="5"/>
    <x v="5"/>
    <x v="1"/>
    <x v="7"/>
    <x v="7"/>
    <x v="0"/>
    <x v="6"/>
    <x v="6"/>
  </r>
  <r>
    <x v="51"/>
    <x v="32"/>
    <x v="34"/>
    <x v="32"/>
    <x v="31"/>
    <x v="51"/>
    <x v="1"/>
    <x v="15"/>
    <x v="48"/>
    <x v="8"/>
    <x v="9"/>
    <x v="48"/>
    <x v="8"/>
    <x v="0"/>
    <x v="0"/>
    <x v="3"/>
    <x v="6"/>
    <x v="5"/>
    <x v="2"/>
    <x v="19"/>
    <x v="19"/>
  </r>
  <r>
    <x v="52"/>
    <x v="34"/>
    <x v="35"/>
    <x v="34"/>
    <x v="33"/>
    <x v="52"/>
    <x v="1"/>
    <x v="8"/>
    <x v="33"/>
    <x v="9"/>
    <x v="8"/>
    <x v="33"/>
    <x v="0"/>
    <x v="6"/>
    <x v="6"/>
    <x v="1"/>
    <x v="3"/>
    <x v="3"/>
    <x v="2"/>
    <x v="3"/>
    <x v="3"/>
  </r>
  <r>
    <x v="53"/>
    <x v="35"/>
    <x v="36"/>
    <x v="35"/>
    <x v="34"/>
    <x v="53"/>
    <x v="1"/>
    <x v="0"/>
    <x v="49"/>
    <x v="13"/>
    <x v="6"/>
    <x v="49"/>
    <x v="11"/>
    <x v="2"/>
    <x v="2"/>
    <x v="0"/>
    <x v="9"/>
    <x v="4"/>
    <x v="0"/>
    <x v="15"/>
    <x v="15"/>
  </r>
  <r>
    <x v="54"/>
    <x v="36"/>
    <x v="37"/>
    <x v="36"/>
    <x v="35"/>
    <x v="15"/>
    <x v="0"/>
    <x v="3"/>
    <x v="35"/>
    <x v="15"/>
    <x v="9"/>
    <x v="35"/>
    <x v="6"/>
    <x v="3"/>
    <x v="3"/>
    <x v="3"/>
    <x v="1"/>
    <x v="6"/>
    <x v="0"/>
    <x v="6"/>
    <x v="6"/>
  </r>
  <r>
    <x v="55"/>
    <x v="37"/>
    <x v="31"/>
    <x v="37"/>
    <x v="36"/>
    <x v="54"/>
    <x v="1"/>
    <x v="4"/>
    <x v="36"/>
    <x v="10"/>
    <x v="8"/>
    <x v="36"/>
    <x v="0"/>
    <x v="0"/>
    <x v="0"/>
    <x v="1"/>
    <x v="0"/>
    <x v="0"/>
    <x v="1"/>
    <x v="4"/>
    <x v="4"/>
  </r>
  <r>
    <x v="56"/>
    <x v="38"/>
    <x v="37"/>
    <x v="38"/>
    <x v="37"/>
    <x v="55"/>
    <x v="1"/>
    <x v="20"/>
    <x v="50"/>
    <x v="5"/>
    <x v="7"/>
    <x v="50"/>
    <x v="5"/>
    <x v="6"/>
    <x v="6"/>
    <x v="3"/>
    <x v="5"/>
    <x v="11"/>
    <x v="0"/>
    <x v="23"/>
    <x v="23"/>
  </r>
  <r>
    <x v="57"/>
    <x v="39"/>
    <x v="38"/>
    <x v="39"/>
    <x v="38"/>
    <x v="56"/>
    <x v="0"/>
    <x v="4"/>
    <x v="38"/>
    <x v="17"/>
    <x v="9"/>
    <x v="38"/>
    <x v="13"/>
    <x v="2"/>
    <x v="2"/>
    <x v="0"/>
    <x v="0"/>
    <x v="0"/>
    <x v="1"/>
    <x v="18"/>
    <x v="18"/>
  </r>
  <r>
    <x v="58"/>
    <x v="40"/>
    <x v="39"/>
    <x v="40"/>
    <x v="39"/>
    <x v="57"/>
    <x v="1"/>
    <x v="14"/>
    <x v="51"/>
    <x v="7"/>
    <x v="8"/>
    <x v="51"/>
    <x v="7"/>
    <x v="3"/>
    <x v="3"/>
    <x v="1"/>
    <x v="3"/>
    <x v="3"/>
    <x v="2"/>
    <x v="10"/>
    <x v="10"/>
  </r>
  <r>
    <x v="59"/>
    <x v="41"/>
    <x v="33"/>
    <x v="41"/>
    <x v="40"/>
    <x v="58"/>
    <x v="1"/>
    <x v="8"/>
    <x v="40"/>
    <x v="2"/>
    <x v="7"/>
    <x v="40"/>
    <x v="2"/>
    <x v="4"/>
    <x v="4"/>
    <x v="3"/>
    <x v="1"/>
    <x v="6"/>
    <x v="0"/>
    <x v="3"/>
    <x v="3"/>
  </r>
  <r>
    <x v="60"/>
    <x v="48"/>
    <x v="38"/>
    <x v="48"/>
    <x v="41"/>
    <x v="59"/>
    <x v="1"/>
    <x v="14"/>
    <x v="52"/>
    <x v="4"/>
    <x v="9"/>
    <x v="52"/>
    <x v="4"/>
    <x v="1"/>
    <x v="1"/>
    <x v="1"/>
    <x v="1"/>
    <x v="6"/>
    <x v="0"/>
    <x v="10"/>
    <x v="10"/>
  </r>
  <r>
    <x v="61"/>
    <x v="47"/>
    <x v="40"/>
    <x v="47"/>
    <x v="43"/>
    <x v="60"/>
    <x v="1"/>
    <x v="17"/>
    <x v="53"/>
    <x v="1"/>
    <x v="8"/>
    <x v="53"/>
    <x v="1"/>
    <x v="2"/>
    <x v="2"/>
    <x v="3"/>
    <x v="5"/>
    <x v="11"/>
    <x v="0"/>
    <x v="21"/>
    <x v="21"/>
  </r>
  <r>
    <x v="62"/>
    <x v="46"/>
    <x v="38"/>
    <x v="46"/>
    <x v="34"/>
    <x v="61"/>
    <x v="1"/>
    <x v="1"/>
    <x v="54"/>
    <x v="2"/>
    <x v="7"/>
    <x v="54"/>
    <x v="2"/>
    <x v="5"/>
    <x v="5"/>
    <x v="1"/>
    <x v="7"/>
    <x v="7"/>
    <x v="0"/>
    <x v="1"/>
    <x v="1"/>
  </r>
  <r>
    <x v="63"/>
    <x v="43"/>
    <x v="40"/>
    <x v="43"/>
    <x v="42"/>
    <x v="62"/>
    <x v="3"/>
    <x v="18"/>
    <x v="42"/>
    <x v="18"/>
    <x v="9"/>
    <x v="42"/>
    <x v="14"/>
    <x v="0"/>
    <x v="0"/>
    <x v="0"/>
    <x v="9"/>
    <x v="4"/>
    <x v="3"/>
    <x v="17"/>
    <x v="17"/>
  </r>
  <r>
    <x v="64"/>
    <x v="44"/>
    <x v="41"/>
    <x v="44"/>
    <x v="16"/>
    <x v="63"/>
    <x v="1"/>
    <x v="6"/>
    <x v="43"/>
    <x v="16"/>
    <x v="8"/>
    <x v="43"/>
    <x v="10"/>
    <x v="6"/>
    <x v="6"/>
    <x v="1"/>
    <x v="1"/>
    <x v="6"/>
    <x v="0"/>
    <x v="7"/>
    <x v="7"/>
  </r>
  <r>
    <x v="65"/>
    <x v="45"/>
    <x v="39"/>
    <x v="45"/>
    <x v="33"/>
    <x v="22"/>
    <x v="0"/>
    <x v="10"/>
    <x v="33"/>
    <x v="9"/>
    <x v="7"/>
    <x v="33"/>
    <x v="0"/>
    <x v="2"/>
    <x v="2"/>
    <x v="3"/>
    <x v="3"/>
    <x v="3"/>
    <x v="2"/>
    <x v="24"/>
    <x v="24"/>
  </r>
  <r>
    <x v="66"/>
    <x v="46"/>
    <x v="38"/>
    <x v="46"/>
    <x v="34"/>
    <x v="64"/>
    <x v="3"/>
    <x v="19"/>
    <x v="34"/>
    <x v="7"/>
    <x v="8"/>
    <x v="34"/>
    <x v="7"/>
    <x v="3"/>
    <x v="3"/>
    <x v="0"/>
    <x v="2"/>
    <x v="12"/>
    <x v="3"/>
    <x v="22"/>
    <x v="22"/>
  </r>
  <r>
    <x v="67"/>
    <x v="47"/>
    <x v="40"/>
    <x v="47"/>
    <x v="43"/>
    <x v="65"/>
    <x v="1"/>
    <x v="14"/>
    <x v="44"/>
    <x v="15"/>
    <x v="7"/>
    <x v="44"/>
    <x v="6"/>
    <x v="0"/>
    <x v="0"/>
    <x v="1"/>
    <x v="6"/>
    <x v="5"/>
    <x v="0"/>
    <x v="10"/>
    <x v="10"/>
  </r>
  <r>
    <x v="68"/>
    <x v="48"/>
    <x v="38"/>
    <x v="48"/>
    <x v="36"/>
    <x v="66"/>
    <x v="1"/>
    <x v="14"/>
    <x v="45"/>
    <x v="10"/>
    <x v="9"/>
    <x v="45"/>
    <x v="0"/>
    <x v="1"/>
    <x v="1"/>
    <x v="3"/>
    <x v="7"/>
    <x v="7"/>
    <x v="0"/>
    <x v="10"/>
    <x v="10"/>
  </r>
  <r>
    <x v="69"/>
    <x v="49"/>
    <x v="40"/>
    <x v="49"/>
    <x v="30"/>
    <x v="67"/>
    <x v="0"/>
    <x v="13"/>
    <x v="46"/>
    <x v="3"/>
    <x v="8"/>
    <x v="46"/>
    <x v="3"/>
    <x v="2"/>
    <x v="2"/>
    <x v="0"/>
    <x v="0"/>
    <x v="0"/>
    <x v="1"/>
    <x v="17"/>
    <x v="17"/>
  </r>
  <r>
    <x v="70"/>
    <x v="50"/>
    <x v="42"/>
    <x v="50"/>
    <x v="41"/>
    <x v="57"/>
    <x v="1"/>
    <x v="6"/>
    <x v="51"/>
    <x v="7"/>
    <x v="8"/>
    <x v="51"/>
    <x v="7"/>
    <x v="3"/>
    <x v="3"/>
    <x v="1"/>
    <x v="3"/>
    <x v="3"/>
    <x v="2"/>
    <x v="7"/>
    <x v="7"/>
  </r>
  <r>
    <x v="71"/>
    <x v="34"/>
    <x v="35"/>
    <x v="34"/>
    <x v="33"/>
    <x v="68"/>
    <x v="1"/>
    <x v="0"/>
    <x v="55"/>
    <x v="5"/>
    <x v="7"/>
    <x v="55"/>
    <x v="5"/>
    <x v="4"/>
    <x v="4"/>
    <x v="3"/>
    <x v="0"/>
    <x v="8"/>
    <x v="0"/>
    <x v="15"/>
    <x v="15"/>
  </r>
  <r>
    <x v="72"/>
    <x v="35"/>
    <x v="36"/>
    <x v="35"/>
    <x v="40"/>
    <x v="69"/>
    <x v="1"/>
    <x v="4"/>
    <x v="40"/>
    <x v="2"/>
    <x v="8"/>
    <x v="40"/>
    <x v="2"/>
    <x v="6"/>
    <x v="6"/>
    <x v="1"/>
    <x v="1"/>
    <x v="6"/>
    <x v="0"/>
    <x v="4"/>
    <x v="4"/>
  </r>
  <r>
    <x v="73"/>
    <x v="36"/>
    <x v="37"/>
    <x v="36"/>
    <x v="38"/>
    <x v="70"/>
    <x v="0"/>
    <x v="0"/>
    <x v="38"/>
    <x v="17"/>
    <x v="9"/>
    <x v="38"/>
    <x v="13"/>
    <x v="2"/>
    <x v="2"/>
    <x v="0"/>
    <x v="9"/>
    <x v="0"/>
    <x v="1"/>
    <x v="0"/>
    <x v="0"/>
  </r>
  <r>
    <x v="74"/>
    <x v="37"/>
    <x v="31"/>
    <x v="37"/>
    <x v="39"/>
    <x v="71"/>
    <x v="1"/>
    <x v="1"/>
    <x v="39"/>
    <x v="7"/>
    <x v="8"/>
    <x v="39"/>
    <x v="7"/>
    <x v="3"/>
    <x v="3"/>
    <x v="1"/>
    <x v="1"/>
    <x v="6"/>
    <x v="2"/>
    <x v="1"/>
    <x v="1"/>
  </r>
  <r>
    <x v="75"/>
    <x v="38"/>
    <x v="37"/>
    <x v="38"/>
    <x v="37"/>
    <x v="72"/>
    <x v="1"/>
    <x v="1"/>
    <x v="56"/>
    <x v="3"/>
    <x v="7"/>
    <x v="56"/>
    <x v="3"/>
    <x v="0"/>
    <x v="0"/>
    <x v="3"/>
    <x v="8"/>
    <x v="1"/>
    <x v="1"/>
    <x v="1"/>
    <x v="1"/>
  </r>
  <r>
    <x v="76"/>
    <x v="39"/>
    <x v="38"/>
    <x v="39"/>
    <x v="41"/>
    <x v="60"/>
    <x v="1"/>
    <x v="17"/>
    <x v="53"/>
    <x v="1"/>
    <x v="8"/>
    <x v="53"/>
    <x v="1"/>
    <x v="6"/>
    <x v="6"/>
    <x v="3"/>
    <x v="5"/>
    <x v="11"/>
    <x v="0"/>
    <x v="21"/>
    <x v="21"/>
  </r>
  <r>
    <x v="77"/>
    <x v="40"/>
    <x v="39"/>
    <x v="40"/>
    <x v="40"/>
    <x v="73"/>
    <x v="0"/>
    <x v="3"/>
    <x v="40"/>
    <x v="2"/>
    <x v="7"/>
    <x v="40"/>
    <x v="2"/>
    <x v="2"/>
    <x v="2"/>
    <x v="0"/>
    <x v="3"/>
    <x v="3"/>
    <x v="2"/>
    <x v="6"/>
    <x v="6"/>
  </r>
  <r>
    <x v="78"/>
    <x v="41"/>
    <x v="33"/>
    <x v="41"/>
    <x v="33"/>
    <x v="9"/>
    <x v="1"/>
    <x v="8"/>
    <x v="33"/>
    <x v="9"/>
    <x v="8"/>
    <x v="33"/>
    <x v="0"/>
    <x v="3"/>
    <x v="3"/>
    <x v="1"/>
    <x v="3"/>
    <x v="3"/>
    <x v="2"/>
    <x v="3"/>
    <x v="3"/>
  </r>
  <r>
    <x v="79"/>
    <x v="48"/>
    <x v="38"/>
    <x v="48"/>
    <x v="32"/>
    <x v="74"/>
    <x v="1"/>
    <x v="9"/>
    <x v="32"/>
    <x v="11"/>
    <x v="9"/>
    <x v="32"/>
    <x v="9"/>
    <x v="7"/>
    <x v="7"/>
    <x v="1"/>
    <x v="1"/>
    <x v="6"/>
    <x v="0"/>
    <x v="6"/>
    <x v="6"/>
  </r>
  <r>
    <x v="80"/>
    <x v="47"/>
    <x v="40"/>
    <x v="47"/>
    <x v="35"/>
    <x v="75"/>
    <x v="1"/>
    <x v="11"/>
    <x v="35"/>
    <x v="15"/>
    <x v="7"/>
    <x v="35"/>
    <x v="6"/>
    <x v="11"/>
    <x v="11"/>
    <x v="3"/>
    <x v="7"/>
    <x v="7"/>
    <x v="0"/>
    <x v="12"/>
    <x v="12"/>
  </r>
  <r>
    <x v="81"/>
    <x v="46"/>
    <x v="38"/>
    <x v="46"/>
    <x v="36"/>
    <x v="76"/>
    <x v="0"/>
    <x v="16"/>
    <x v="36"/>
    <x v="10"/>
    <x v="8"/>
    <x v="36"/>
    <x v="0"/>
    <x v="2"/>
    <x v="2"/>
    <x v="0"/>
    <x v="0"/>
    <x v="0"/>
    <x v="1"/>
    <x v="11"/>
    <x v="11"/>
  </r>
  <r>
    <x v="82"/>
    <x v="43"/>
    <x v="40"/>
    <x v="43"/>
    <x v="33"/>
    <x v="77"/>
    <x v="1"/>
    <x v="9"/>
    <x v="51"/>
    <x v="7"/>
    <x v="9"/>
    <x v="51"/>
    <x v="7"/>
    <x v="3"/>
    <x v="3"/>
    <x v="1"/>
    <x v="3"/>
    <x v="3"/>
    <x v="2"/>
    <x v="6"/>
    <x v="6"/>
  </r>
  <r>
    <x v="83"/>
    <x v="44"/>
    <x v="41"/>
    <x v="44"/>
    <x v="40"/>
    <x v="78"/>
    <x v="1"/>
    <x v="1"/>
    <x v="57"/>
    <x v="16"/>
    <x v="7"/>
    <x v="57"/>
    <x v="10"/>
    <x v="7"/>
    <x v="7"/>
    <x v="1"/>
    <x v="8"/>
    <x v="1"/>
    <x v="1"/>
    <x v="1"/>
    <x v="1"/>
  </r>
  <r>
    <x v="84"/>
    <x v="45"/>
    <x v="39"/>
    <x v="45"/>
    <x v="38"/>
    <x v="79"/>
    <x v="0"/>
    <x v="0"/>
    <x v="38"/>
    <x v="17"/>
    <x v="8"/>
    <x v="38"/>
    <x v="13"/>
    <x v="11"/>
    <x v="11"/>
    <x v="0"/>
    <x v="9"/>
    <x v="0"/>
    <x v="1"/>
    <x v="0"/>
    <x v="0"/>
  </r>
  <r>
    <x v="85"/>
    <x v="49"/>
    <x v="40"/>
    <x v="49"/>
    <x v="41"/>
    <x v="80"/>
    <x v="1"/>
    <x v="6"/>
    <x v="51"/>
    <x v="7"/>
    <x v="9"/>
    <x v="51"/>
    <x v="7"/>
    <x v="2"/>
    <x v="2"/>
    <x v="1"/>
    <x v="3"/>
    <x v="3"/>
    <x v="2"/>
    <x v="7"/>
    <x v="7"/>
  </r>
  <r>
    <x v="86"/>
    <x v="50"/>
    <x v="42"/>
    <x v="50"/>
    <x v="39"/>
    <x v="81"/>
    <x v="1"/>
    <x v="0"/>
    <x v="39"/>
    <x v="7"/>
    <x v="8"/>
    <x v="39"/>
    <x v="7"/>
    <x v="3"/>
    <x v="3"/>
    <x v="0"/>
    <x v="9"/>
    <x v="0"/>
    <x v="3"/>
    <x v="15"/>
    <x v="15"/>
  </r>
  <r>
    <x v="87"/>
    <x v="51"/>
    <x v="43"/>
    <x v="51"/>
    <x v="40"/>
    <x v="82"/>
    <x v="1"/>
    <x v="3"/>
    <x v="40"/>
    <x v="2"/>
    <x v="7"/>
    <x v="40"/>
    <x v="2"/>
    <x v="0"/>
    <x v="0"/>
    <x v="1"/>
    <x v="3"/>
    <x v="3"/>
    <x v="2"/>
    <x v="0"/>
    <x v="0"/>
  </r>
  <r>
    <x v="88"/>
    <x v="52"/>
    <x v="44"/>
    <x v="52"/>
    <x v="23"/>
    <x v="83"/>
    <x v="1"/>
    <x v="0"/>
    <x v="38"/>
    <x v="17"/>
    <x v="8"/>
    <x v="58"/>
    <x v="13"/>
    <x v="1"/>
    <x v="1"/>
    <x v="0"/>
    <x v="9"/>
    <x v="0"/>
    <x v="1"/>
    <x v="15"/>
    <x v="15"/>
  </r>
  <r>
    <x v="89"/>
    <x v="53"/>
    <x v="45"/>
    <x v="53"/>
    <x v="23"/>
    <x v="84"/>
    <x v="1"/>
    <x v="0"/>
    <x v="38"/>
    <x v="17"/>
    <x v="8"/>
    <x v="58"/>
    <x v="13"/>
    <x v="2"/>
    <x v="2"/>
    <x v="0"/>
    <x v="9"/>
    <x v="0"/>
    <x v="1"/>
    <x v="15"/>
    <x v="15"/>
  </r>
  <r>
    <x v="90"/>
    <x v="54"/>
    <x v="46"/>
    <x v="54"/>
    <x v="26"/>
    <x v="85"/>
    <x v="1"/>
    <x v="14"/>
    <x v="52"/>
    <x v="4"/>
    <x v="9"/>
    <x v="59"/>
    <x v="4"/>
    <x v="4"/>
    <x v="4"/>
    <x v="1"/>
    <x v="1"/>
    <x v="6"/>
    <x v="0"/>
    <x v="10"/>
    <x v="10"/>
  </r>
  <r>
    <x v="91"/>
    <x v="55"/>
    <x v="47"/>
    <x v="55"/>
    <x v="25"/>
    <x v="86"/>
    <x v="1"/>
    <x v="9"/>
    <x v="47"/>
    <x v="2"/>
    <x v="7"/>
    <x v="60"/>
    <x v="2"/>
    <x v="3"/>
    <x v="3"/>
    <x v="1"/>
    <x v="7"/>
    <x v="7"/>
    <x v="0"/>
    <x v="6"/>
    <x v="6"/>
  </r>
  <r>
    <x v="92"/>
    <x v="56"/>
    <x v="35"/>
    <x v="56"/>
    <x v="25"/>
    <x v="87"/>
    <x v="1"/>
    <x v="1"/>
    <x v="40"/>
    <x v="2"/>
    <x v="7"/>
    <x v="61"/>
    <x v="2"/>
    <x v="0"/>
    <x v="0"/>
    <x v="0"/>
    <x v="4"/>
    <x v="8"/>
    <x v="1"/>
    <x v="1"/>
    <x v="1"/>
  </r>
  <r>
    <x v="93"/>
    <x v="57"/>
    <x v="37"/>
    <x v="57"/>
    <x v="26"/>
    <x v="88"/>
    <x v="1"/>
    <x v="8"/>
    <x v="51"/>
    <x v="7"/>
    <x v="9"/>
    <x v="62"/>
    <x v="7"/>
    <x v="6"/>
    <x v="6"/>
    <x v="1"/>
    <x v="3"/>
    <x v="3"/>
    <x v="2"/>
    <x v="3"/>
    <x v="3"/>
  </r>
  <r>
    <x v="94"/>
    <x v="58"/>
    <x v="38"/>
    <x v="58"/>
    <x v="10"/>
    <x v="89"/>
    <x v="1"/>
    <x v="14"/>
    <x v="30"/>
    <x v="3"/>
    <x v="8"/>
    <x v="63"/>
    <x v="3"/>
    <x v="12"/>
    <x v="12"/>
    <x v="3"/>
    <x v="1"/>
    <x v="6"/>
    <x v="0"/>
    <x v="10"/>
    <x v="10"/>
  </r>
  <r>
    <x v="95"/>
    <x v="59"/>
    <x v="48"/>
    <x v="59"/>
    <x v="25"/>
    <x v="90"/>
    <x v="1"/>
    <x v="21"/>
    <x v="58"/>
    <x v="13"/>
    <x v="7"/>
    <x v="64"/>
    <x v="11"/>
    <x v="5"/>
    <x v="5"/>
    <x v="3"/>
    <x v="7"/>
    <x v="7"/>
    <x v="0"/>
    <x v="9"/>
    <x v="9"/>
  </r>
  <r>
    <x v="96"/>
    <x v="60"/>
    <x v="49"/>
    <x v="60"/>
    <x v="25"/>
    <x v="91"/>
    <x v="1"/>
    <x v="22"/>
    <x v="40"/>
    <x v="2"/>
    <x v="7"/>
    <x v="61"/>
    <x v="2"/>
    <x v="4"/>
    <x v="4"/>
    <x v="1"/>
    <x v="8"/>
    <x v="1"/>
    <x v="1"/>
    <x v="13"/>
    <x v="13"/>
  </r>
  <r>
    <x v="97"/>
    <x v="61"/>
    <x v="40"/>
    <x v="61"/>
    <x v="23"/>
    <x v="56"/>
    <x v="1"/>
    <x v="4"/>
    <x v="38"/>
    <x v="17"/>
    <x v="8"/>
    <x v="58"/>
    <x v="13"/>
    <x v="1"/>
    <x v="1"/>
    <x v="0"/>
    <x v="0"/>
    <x v="0"/>
    <x v="1"/>
    <x v="4"/>
    <x v="4"/>
  </r>
  <r>
    <x v="98"/>
    <x v="62"/>
    <x v="50"/>
    <x v="62"/>
    <x v="23"/>
    <x v="92"/>
    <x v="1"/>
    <x v="0"/>
    <x v="38"/>
    <x v="17"/>
    <x v="8"/>
    <x v="58"/>
    <x v="13"/>
    <x v="2"/>
    <x v="2"/>
    <x v="0"/>
    <x v="9"/>
    <x v="0"/>
    <x v="1"/>
    <x v="15"/>
    <x v="15"/>
  </r>
  <r>
    <x v="99"/>
    <x v="63"/>
    <x v="51"/>
    <x v="63"/>
    <x v="26"/>
    <x v="93"/>
    <x v="1"/>
    <x v="14"/>
    <x v="52"/>
    <x v="4"/>
    <x v="9"/>
    <x v="59"/>
    <x v="4"/>
    <x v="4"/>
    <x v="4"/>
    <x v="1"/>
    <x v="1"/>
    <x v="6"/>
    <x v="0"/>
    <x v="10"/>
    <x v="10"/>
  </r>
  <r>
    <x v="100"/>
    <x v="64"/>
    <x v="52"/>
    <x v="64"/>
    <x v="23"/>
    <x v="56"/>
    <x v="1"/>
    <x v="4"/>
    <x v="38"/>
    <x v="17"/>
    <x v="8"/>
    <x v="58"/>
    <x v="13"/>
    <x v="1"/>
    <x v="1"/>
    <x v="0"/>
    <x v="0"/>
    <x v="0"/>
    <x v="1"/>
    <x v="4"/>
    <x v="4"/>
  </r>
  <r>
    <x v="101"/>
    <x v="65"/>
    <x v="44"/>
    <x v="52"/>
    <x v="26"/>
    <x v="88"/>
    <x v="1"/>
    <x v="8"/>
    <x v="51"/>
    <x v="7"/>
    <x v="9"/>
    <x v="62"/>
    <x v="7"/>
    <x v="6"/>
    <x v="6"/>
    <x v="1"/>
    <x v="3"/>
    <x v="3"/>
    <x v="2"/>
    <x v="3"/>
    <x v="3"/>
  </r>
  <r>
    <x v="102"/>
    <x v="66"/>
    <x v="45"/>
    <x v="53"/>
    <x v="25"/>
    <x v="86"/>
    <x v="1"/>
    <x v="9"/>
    <x v="47"/>
    <x v="2"/>
    <x v="7"/>
    <x v="60"/>
    <x v="2"/>
    <x v="3"/>
    <x v="3"/>
    <x v="1"/>
    <x v="7"/>
    <x v="7"/>
    <x v="0"/>
    <x v="6"/>
    <x v="6"/>
  </r>
  <r>
    <x v="103"/>
    <x v="67"/>
    <x v="46"/>
    <x v="54"/>
    <x v="23"/>
    <x v="92"/>
    <x v="1"/>
    <x v="0"/>
    <x v="38"/>
    <x v="17"/>
    <x v="8"/>
    <x v="58"/>
    <x v="13"/>
    <x v="2"/>
    <x v="2"/>
    <x v="0"/>
    <x v="9"/>
    <x v="0"/>
    <x v="1"/>
    <x v="15"/>
    <x v="15"/>
  </r>
  <r>
    <x v="104"/>
    <x v="68"/>
    <x v="47"/>
    <x v="55"/>
    <x v="26"/>
    <x v="93"/>
    <x v="1"/>
    <x v="14"/>
    <x v="52"/>
    <x v="4"/>
    <x v="9"/>
    <x v="59"/>
    <x v="4"/>
    <x v="4"/>
    <x v="4"/>
    <x v="1"/>
    <x v="1"/>
    <x v="6"/>
    <x v="0"/>
    <x v="10"/>
    <x v="10"/>
  </r>
  <r>
    <x v="105"/>
    <x v="60"/>
    <x v="49"/>
    <x v="60"/>
    <x v="10"/>
    <x v="89"/>
    <x v="1"/>
    <x v="14"/>
    <x v="30"/>
    <x v="3"/>
    <x v="8"/>
    <x v="63"/>
    <x v="3"/>
    <x v="12"/>
    <x v="12"/>
    <x v="3"/>
    <x v="1"/>
    <x v="6"/>
    <x v="0"/>
    <x v="10"/>
    <x v="10"/>
  </r>
  <r>
    <x v="106"/>
    <x v="69"/>
    <x v="40"/>
    <x v="61"/>
    <x v="25"/>
    <x v="90"/>
    <x v="1"/>
    <x v="21"/>
    <x v="58"/>
    <x v="13"/>
    <x v="7"/>
    <x v="64"/>
    <x v="11"/>
    <x v="5"/>
    <x v="5"/>
    <x v="3"/>
    <x v="7"/>
    <x v="7"/>
    <x v="0"/>
    <x v="9"/>
    <x v="9"/>
  </r>
  <r>
    <x v="107"/>
    <x v="70"/>
    <x v="50"/>
    <x v="62"/>
    <x v="25"/>
    <x v="91"/>
    <x v="1"/>
    <x v="22"/>
    <x v="40"/>
    <x v="2"/>
    <x v="7"/>
    <x v="61"/>
    <x v="2"/>
    <x v="4"/>
    <x v="4"/>
    <x v="1"/>
    <x v="8"/>
    <x v="1"/>
    <x v="1"/>
    <x v="13"/>
    <x v="13"/>
  </r>
  <r>
    <x v="108"/>
    <x v="71"/>
    <x v="51"/>
    <x v="63"/>
    <x v="23"/>
    <x v="94"/>
    <x v="1"/>
    <x v="0"/>
    <x v="38"/>
    <x v="17"/>
    <x v="8"/>
    <x v="58"/>
    <x v="13"/>
    <x v="1"/>
    <x v="1"/>
    <x v="0"/>
    <x v="9"/>
    <x v="0"/>
    <x v="1"/>
    <x v="15"/>
    <x v="15"/>
  </r>
  <r>
    <x v="109"/>
    <x v="72"/>
    <x v="43"/>
    <x v="65"/>
    <x v="23"/>
    <x v="92"/>
    <x v="1"/>
    <x v="0"/>
    <x v="38"/>
    <x v="17"/>
    <x v="8"/>
    <x v="58"/>
    <x v="13"/>
    <x v="2"/>
    <x v="2"/>
    <x v="0"/>
    <x v="9"/>
    <x v="0"/>
    <x v="1"/>
    <x v="15"/>
    <x v="15"/>
  </r>
  <r>
    <x v="110"/>
    <x v="73"/>
    <x v="52"/>
    <x v="64"/>
    <x v="26"/>
    <x v="93"/>
    <x v="1"/>
    <x v="14"/>
    <x v="52"/>
    <x v="4"/>
    <x v="9"/>
    <x v="59"/>
    <x v="4"/>
    <x v="4"/>
    <x v="4"/>
    <x v="1"/>
    <x v="1"/>
    <x v="6"/>
    <x v="0"/>
    <x v="10"/>
    <x v="10"/>
  </r>
  <r>
    <x v="111"/>
    <x v="74"/>
    <x v="44"/>
    <x v="52"/>
    <x v="10"/>
    <x v="89"/>
    <x v="1"/>
    <x v="14"/>
    <x v="30"/>
    <x v="3"/>
    <x v="8"/>
    <x v="63"/>
    <x v="3"/>
    <x v="12"/>
    <x v="12"/>
    <x v="3"/>
    <x v="1"/>
    <x v="6"/>
    <x v="0"/>
    <x v="10"/>
    <x v="10"/>
  </r>
  <r>
    <x v="112"/>
    <x v="75"/>
    <x v="45"/>
    <x v="53"/>
    <x v="23"/>
    <x v="56"/>
    <x v="1"/>
    <x v="4"/>
    <x v="38"/>
    <x v="17"/>
    <x v="8"/>
    <x v="58"/>
    <x v="13"/>
    <x v="1"/>
    <x v="1"/>
    <x v="0"/>
    <x v="0"/>
    <x v="0"/>
    <x v="1"/>
    <x v="4"/>
    <x v="4"/>
  </r>
  <r>
    <x v="113"/>
    <x v="76"/>
    <x v="46"/>
    <x v="54"/>
    <x v="25"/>
    <x v="50"/>
    <x v="1"/>
    <x v="9"/>
    <x v="47"/>
    <x v="2"/>
    <x v="7"/>
    <x v="60"/>
    <x v="2"/>
    <x v="3"/>
    <x v="3"/>
    <x v="1"/>
    <x v="7"/>
    <x v="7"/>
    <x v="0"/>
    <x v="6"/>
    <x v="6"/>
  </r>
  <r>
    <x v="114"/>
    <x v="77"/>
    <x v="47"/>
    <x v="55"/>
    <x v="26"/>
    <x v="57"/>
    <x v="1"/>
    <x v="8"/>
    <x v="51"/>
    <x v="7"/>
    <x v="9"/>
    <x v="62"/>
    <x v="7"/>
    <x v="6"/>
    <x v="6"/>
    <x v="1"/>
    <x v="3"/>
    <x v="3"/>
    <x v="2"/>
    <x v="3"/>
    <x v="3"/>
  </r>
  <r>
    <x v="115"/>
    <x v="60"/>
    <x v="49"/>
    <x v="60"/>
    <x v="23"/>
    <x v="70"/>
    <x v="1"/>
    <x v="0"/>
    <x v="38"/>
    <x v="17"/>
    <x v="8"/>
    <x v="58"/>
    <x v="13"/>
    <x v="2"/>
    <x v="2"/>
    <x v="0"/>
    <x v="9"/>
    <x v="0"/>
    <x v="1"/>
    <x v="15"/>
    <x v="15"/>
  </r>
  <r>
    <x v="116"/>
    <x v="78"/>
    <x v="40"/>
    <x v="61"/>
    <x v="26"/>
    <x v="95"/>
    <x v="1"/>
    <x v="23"/>
    <x v="59"/>
    <x v="3"/>
    <x v="8"/>
    <x v="65"/>
    <x v="5"/>
    <x v="15"/>
    <x v="15"/>
    <x v="4"/>
    <x v="6"/>
    <x v="5"/>
    <x v="0"/>
    <x v="25"/>
    <x v="25"/>
  </r>
  <r>
    <x v="117"/>
    <x v="79"/>
    <x v="50"/>
    <x v="62"/>
    <x v="10"/>
    <x v="96"/>
    <x v="1"/>
    <x v="3"/>
    <x v="60"/>
    <x v="19"/>
    <x v="7"/>
    <x v="66"/>
    <x v="0"/>
    <x v="0"/>
    <x v="0"/>
    <x v="1"/>
    <x v="4"/>
    <x v="3"/>
    <x v="0"/>
    <x v="0"/>
    <x v="0"/>
  </r>
  <r>
    <x v="118"/>
    <x v="80"/>
    <x v="51"/>
    <x v="63"/>
    <x v="25"/>
    <x v="91"/>
    <x v="1"/>
    <x v="22"/>
    <x v="40"/>
    <x v="2"/>
    <x v="7"/>
    <x v="61"/>
    <x v="2"/>
    <x v="4"/>
    <x v="4"/>
    <x v="1"/>
    <x v="8"/>
    <x v="1"/>
    <x v="1"/>
    <x v="13"/>
    <x v="13"/>
  </r>
  <r>
    <x v="119"/>
    <x v="81"/>
    <x v="43"/>
    <x v="65"/>
    <x v="23"/>
    <x v="94"/>
    <x v="1"/>
    <x v="0"/>
    <x v="38"/>
    <x v="17"/>
    <x v="8"/>
    <x v="58"/>
    <x v="13"/>
    <x v="1"/>
    <x v="1"/>
    <x v="0"/>
    <x v="9"/>
    <x v="0"/>
    <x v="1"/>
    <x v="15"/>
    <x v="15"/>
  </r>
  <r>
    <x v="120"/>
    <x v="64"/>
    <x v="52"/>
    <x v="64"/>
    <x v="10"/>
    <x v="96"/>
    <x v="1"/>
    <x v="3"/>
    <x v="60"/>
    <x v="19"/>
    <x v="7"/>
    <x v="66"/>
    <x v="0"/>
    <x v="0"/>
    <x v="0"/>
    <x v="1"/>
    <x v="4"/>
    <x v="3"/>
    <x v="0"/>
    <x v="0"/>
    <x v="0"/>
  </r>
  <r>
    <x v="121"/>
    <x v="65"/>
    <x v="44"/>
    <x v="52"/>
    <x v="25"/>
    <x v="91"/>
    <x v="1"/>
    <x v="22"/>
    <x v="40"/>
    <x v="2"/>
    <x v="7"/>
    <x v="61"/>
    <x v="2"/>
    <x v="4"/>
    <x v="4"/>
    <x v="1"/>
    <x v="8"/>
    <x v="1"/>
    <x v="1"/>
    <x v="13"/>
    <x v="13"/>
  </r>
  <r>
    <x v="122"/>
    <x v="66"/>
    <x v="45"/>
    <x v="53"/>
    <x v="23"/>
    <x v="56"/>
    <x v="1"/>
    <x v="4"/>
    <x v="38"/>
    <x v="17"/>
    <x v="8"/>
    <x v="58"/>
    <x v="13"/>
    <x v="1"/>
    <x v="1"/>
    <x v="0"/>
    <x v="0"/>
    <x v="0"/>
    <x v="1"/>
    <x v="4"/>
    <x v="4"/>
  </r>
  <r>
    <x v="123"/>
    <x v="67"/>
    <x v="46"/>
    <x v="54"/>
    <x v="26"/>
    <x v="93"/>
    <x v="1"/>
    <x v="14"/>
    <x v="52"/>
    <x v="4"/>
    <x v="9"/>
    <x v="59"/>
    <x v="4"/>
    <x v="4"/>
    <x v="4"/>
    <x v="1"/>
    <x v="1"/>
    <x v="6"/>
    <x v="0"/>
    <x v="10"/>
    <x v="10"/>
  </r>
  <r>
    <x v="124"/>
    <x v="68"/>
    <x v="47"/>
    <x v="55"/>
    <x v="25"/>
    <x v="50"/>
    <x v="1"/>
    <x v="9"/>
    <x v="47"/>
    <x v="2"/>
    <x v="7"/>
    <x v="60"/>
    <x v="2"/>
    <x v="3"/>
    <x v="3"/>
    <x v="1"/>
    <x v="7"/>
    <x v="7"/>
    <x v="0"/>
    <x v="6"/>
    <x v="6"/>
  </r>
  <r>
    <x v="125"/>
    <x v="60"/>
    <x v="49"/>
    <x v="60"/>
    <x v="23"/>
    <x v="70"/>
    <x v="1"/>
    <x v="0"/>
    <x v="38"/>
    <x v="17"/>
    <x v="8"/>
    <x v="58"/>
    <x v="13"/>
    <x v="2"/>
    <x v="2"/>
    <x v="0"/>
    <x v="9"/>
    <x v="0"/>
    <x v="1"/>
    <x v="15"/>
    <x v="15"/>
  </r>
  <r>
    <x v="126"/>
    <x v="78"/>
    <x v="40"/>
    <x v="61"/>
    <x v="26"/>
    <x v="95"/>
    <x v="1"/>
    <x v="23"/>
    <x v="59"/>
    <x v="3"/>
    <x v="8"/>
    <x v="65"/>
    <x v="5"/>
    <x v="15"/>
    <x v="15"/>
    <x v="4"/>
    <x v="6"/>
    <x v="5"/>
    <x v="0"/>
    <x v="25"/>
    <x v="25"/>
  </r>
  <r>
    <x v="127"/>
    <x v="79"/>
    <x v="50"/>
    <x v="62"/>
    <x v="10"/>
    <x v="89"/>
    <x v="1"/>
    <x v="14"/>
    <x v="30"/>
    <x v="3"/>
    <x v="8"/>
    <x v="63"/>
    <x v="3"/>
    <x v="12"/>
    <x v="12"/>
    <x v="3"/>
    <x v="1"/>
    <x v="6"/>
    <x v="0"/>
    <x v="10"/>
    <x v="10"/>
  </r>
  <r>
    <x v="128"/>
    <x v="80"/>
    <x v="51"/>
    <x v="63"/>
    <x v="23"/>
    <x v="94"/>
    <x v="1"/>
    <x v="0"/>
    <x v="38"/>
    <x v="17"/>
    <x v="8"/>
    <x v="58"/>
    <x v="13"/>
    <x v="1"/>
    <x v="1"/>
    <x v="0"/>
    <x v="9"/>
    <x v="0"/>
    <x v="1"/>
    <x v="15"/>
    <x v="15"/>
  </r>
  <r>
    <x v="129"/>
    <x v="81"/>
    <x v="43"/>
    <x v="65"/>
    <x v="23"/>
    <x v="92"/>
    <x v="1"/>
    <x v="0"/>
    <x v="38"/>
    <x v="17"/>
    <x v="8"/>
    <x v="58"/>
    <x v="13"/>
    <x v="2"/>
    <x v="2"/>
    <x v="0"/>
    <x v="9"/>
    <x v="0"/>
    <x v="1"/>
    <x v="15"/>
    <x v="15"/>
  </r>
  <r>
    <x v="130"/>
    <x v="64"/>
    <x v="52"/>
    <x v="64"/>
    <x v="26"/>
    <x v="93"/>
    <x v="1"/>
    <x v="14"/>
    <x v="52"/>
    <x v="4"/>
    <x v="9"/>
    <x v="59"/>
    <x v="4"/>
    <x v="4"/>
    <x v="4"/>
    <x v="1"/>
    <x v="1"/>
    <x v="6"/>
    <x v="0"/>
    <x v="10"/>
    <x v="10"/>
  </r>
  <r>
    <x v="131"/>
    <x v="65"/>
    <x v="44"/>
    <x v="52"/>
    <x v="10"/>
    <x v="89"/>
    <x v="1"/>
    <x v="14"/>
    <x v="30"/>
    <x v="3"/>
    <x v="8"/>
    <x v="63"/>
    <x v="3"/>
    <x v="12"/>
    <x v="12"/>
    <x v="3"/>
    <x v="1"/>
    <x v="6"/>
    <x v="0"/>
    <x v="10"/>
    <x v="10"/>
  </r>
  <r>
    <x v="132"/>
    <x v="66"/>
    <x v="45"/>
    <x v="53"/>
    <x v="23"/>
    <x v="56"/>
    <x v="1"/>
    <x v="4"/>
    <x v="38"/>
    <x v="17"/>
    <x v="8"/>
    <x v="58"/>
    <x v="13"/>
    <x v="1"/>
    <x v="1"/>
    <x v="0"/>
    <x v="0"/>
    <x v="0"/>
    <x v="1"/>
    <x v="4"/>
    <x v="4"/>
  </r>
  <r>
    <x v="133"/>
    <x v="67"/>
    <x v="46"/>
    <x v="54"/>
    <x v="25"/>
    <x v="50"/>
    <x v="1"/>
    <x v="9"/>
    <x v="47"/>
    <x v="2"/>
    <x v="7"/>
    <x v="60"/>
    <x v="2"/>
    <x v="3"/>
    <x v="3"/>
    <x v="1"/>
    <x v="7"/>
    <x v="7"/>
    <x v="0"/>
    <x v="6"/>
    <x v="6"/>
  </r>
  <r>
    <x v="134"/>
    <x v="68"/>
    <x v="47"/>
    <x v="55"/>
    <x v="26"/>
    <x v="57"/>
    <x v="1"/>
    <x v="8"/>
    <x v="51"/>
    <x v="7"/>
    <x v="9"/>
    <x v="62"/>
    <x v="7"/>
    <x v="6"/>
    <x v="6"/>
    <x v="1"/>
    <x v="3"/>
    <x v="3"/>
    <x v="2"/>
    <x v="3"/>
    <x v="3"/>
  </r>
  <r>
    <x v="135"/>
    <x v="60"/>
    <x v="49"/>
    <x v="60"/>
    <x v="23"/>
    <x v="70"/>
    <x v="1"/>
    <x v="0"/>
    <x v="38"/>
    <x v="17"/>
    <x v="8"/>
    <x v="58"/>
    <x v="13"/>
    <x v="2"/>
    <x v="2"/>
    <x v="0"/>
    <x v="9"/>
    <x v="0"/>
    <x v="1"/>
    <x v="15"/>
    <x v="15"/>
  </r>
  <r>
    <x v="136"/>
    <x v="78"/>
    <x v="40"/>
    <x v="61"/>
    <x v="26"/>
    <x v="95"/>
    <x v="1"/>
    <x v="23"/>
    <x v="59"/>
    <x v="3"/>
    <x v="8"/>
    <x v="65"/>
    <x v="5"/>
    <x v="15"/>
    <x v="15"/>
    <x v="4"/>
    <x v="6"/>
    <x v="5"/>
    <x v="0"/>
    <x v="25"/>
    <x v="25"/>
  </r>
  <r>
    <x v="137"/>
    <x v="79"/>
    <x v="50"/>
    <x v="62"/>
    <x v="10"/>
    <x v="96"/>
    <x v="1"/>
    <x v="3"/>
    <x v="60"/>
    <x v="19"/>
    <x v="7"/>
    <x v="66"/>
    <x v="0"/>
    <x v="0"/>
    <x v="0"/>
    <x v="1"/>
    <x v="4"/>
    <x v="3"/>
    <x v="0"/>
    <x v="0"/>
    <x v="0"/>
  </r>
  <r>
    <x v="138"/>
    <x v="80"/>
    <x v="51"/>
    <x v="63"/>
    <x v="25"/>
    <x v="91"/>
    <x v="1"/>
    <x v="22"/>
    <x v="40"/>
    <x v="2"/>
    <x v="7"/>
    <x v="61"/>
    <x v="2"/>
    <x v="4"/>
    <x v="4"/>
    <x v="1"/>
    <x v="8"/>
    <x v="1"/>
    <x v="1"/>
    <x v="13"/>
    <x v="13"/>
  </r>
  <r>
    <x v="139"/>
    <x v="81"/>
    <x v="43"/>
    <x v="65"/>
    <x v="23"/>
    <x v="94"/>
    <x v="1"/>
    <x v="0"/>
    <x v="38"/>
    <x v="17"/>
    <x v="8"/>
    <x v="58"/>
    <x v="13"/>
    <x v="1"/>
    <x v="1"/>
    <x v="0"/>
    <x v="9"/>
    <x v="0"/>
    <x v="1"/>
    <x v="15"/>
    <x v="15"/>
  </r>
  <r>
    <x v="140"/>
    <x v="64"/>
    <x v="52"/>
    <x v="64"/>
    <x v="23"/>
    <x v="92"/>
    <x v="1"/>
    <x v="0"/>
    <x v="38"/>
    <x v="17"/>
    <x v="8"/>
    <x v="58"/>
    <x v="13"/>
    <x v="2"/>
    <x v="2"/>
    <x v="0"/>
    <x v="9"/>
    <x v="0"/>
    <x v="1"/>
    <x v="15"/>
    <x v="15"/>
  </r>
  <r>
    <x v="141"/>
    <x v="65"/>
    <x v="44"/>
    <x v="52"/>
    <x v="26"/>
    <x v="93"/>
    <x v="1"/>
    <x v="14"/>
    <x v="52"/>
    <x v="4"/>
    <x v="9"/>
    <x v="59"/>
    <x v="4"/>
    <x v="4"/>
    <x v="4"/>
    <x v="1"/>
    <x v="1"/>
    <x v="6"/>
    <x v="0"/>
    <x v="10"/>
    <x v="10"/>
  </r>
  <r>
    <x v="142"/>
    <x v="66"/>
    <x v="45"/>
    <x v="53"/>
    <x v="25"/>
    <x v="50"/>
    <x v="1"/>
    <x v="9"/>
    <x v="47"/>
    <x v="2"/>
    <x v="7"/>
    <x v="60"/>
    <x v="2"/>
    <x v="3"/>
    <x v="3"/>
    <x v="1"/>
    <x v="7"/>
    <x v="7"/>
    <x v="0"/>
    <x v="6"/>
    <x v="6"/>
  </r>
  <r>
    <x v="143"/>
    <x v="67"/>
    <x v="46"/>
    <x v="54"/>
    <x v="23"/>
    <x v="56"/>
    <x v="1"/>
    <x v="4"/>
    <x v="38"/>
    <x v="17"/>
    <x v="8"/>
    <x v="58"/>
    <x v="13"/>
    <x v="1"/>
    <x v="1"/>
    <x v="0"/>
    <x v="0"/>
    <x v="0"/>
    <x v="1"/>
    <x v="4"/>
    <x v="4"/>
  </r>
  <r>
    <x v="144"/>
    <x v="68"/>
    <x v="47"/>
    <x v="55"/>
    <x v="10"/>
    <x v="89"/>
    <x v="1"/>
    <x v="14"/>
    <x v="30"/>
    <x v="3"/>
    <x v="8"/>
    <x v="63"/>
    <x v="3"/>
    <x v="12"/>
    <x v="12"/>
    <x v="3"/>
    <x v="1"/>
    <x v="6"/>
    <x v="0"/>
    <x v="10"/>
    <x v="10"/>
  </r>
  <r>
    <x v="145"/>
    <x v="60"/>
    <x v="49"/>
    <x v="60"/>
    <x v="26"/>
    <x v="95"/>
    <x v="1"/>
    <x v="23"/>
    <x v="59"/>
    <x v="3"/>
    <x v="8"/>
    <x v="65"/>
    <x v="5"/>
    <x v="15"/>
    <x v="15"/>
    <x v="4"/>
    <x v="6"/>
    <x v="5"/>
    <x v="0"/>
    <x v="25"/>
    <x v="25"/>
  </r>
  <r>
    <x v="146"/>
    <x v="78"/>
    <x v="40"/>
    <x v="61"/>
    <x v="10"/>
    <x v="96"/>
    <x v="1"/>
    <x v="3"/>
    <x v="60"/>
    <x v="19"/>
    <x v="7"/>
    <x v="66"/>
    <x v="0"/>
    <x v="0"/>
    <x v="0"/>
    <x v="1"/>
    <x v="4"/>
    <x v="3"/>
    <x v="0"/>
    <x v="0"/>
    <x v="0"/>
  </r>
  <r>
    <x v="147"/>
    <x v="79"/>
    <x v="50"/>
    <x v="62"/>
    <x v="25"/>
    <x v="91"/>
    <x v="1"/>
    <x v="22"/>
    <x v="40"/>
    <x v="2"/>
    <x v="7"/>
    <x v="61"/>
    <x v="2"/>
    <x v="4"/>
    <x v="4"/>
    <x v="1"/>
    <x v="8"/>
    <x v="1"/>
    <x v="1"/>
    <x v="13"/>
    <x v="13"/>
  </r>
  <r>
    <x v="148"/>
    <x v="80"/>
    <x v="51"/>
    <x v="63"/>
    <x v="23"/>
    <x v="94"/>
    <x v="1"/>
    <x v="0"/>
    <x v="38"/>
    <x v="17"/>
    <x v="8"/>
    <x v="58"/>
    <x v="13"/>
    <x v="1"/>
    <x v="1"/>
    <x v="0"/>
    <x v="9"/>
    <x v="0"/>
    <x v="1"/>
    <x v="15"/>
    <x v="15"/>
  </r>
  <r>
    <x v="149"/>
    <x v="81"/>
    <x v="43"/>
    <x v="65"/>
    <x v="23"/>
    <x v="92"/>
    <x v="1"/>
    <x v="0"/>
    <x v="38"/>
    <x v="17"/>
    <x v="8"/>
    <x v="58"/>
    <x v="13"/>
    <x v="2"/>
    <x v="2"/>
    <x v="0"/>
    <x v="9"/>
    <x v="0"/>
    <x v="1"/>
    <x v="15"/>
    <x v="15"/>
  </r>
  <r>
    <x v="150"/>
    <x v="64"/>
    <x v="52"/>
    <x v="64"/>
    <x v="26"/>
    <x v="57"/>
    <x v="1"/>
    <x v="8"/>
    <x v="51"/>
    <x v="7"/>
    <x v="9"/>
    <x v="62"/>
    <x v="7"/>
    <x v="6"/>
    <x v="6"/>
    <x v="1"/>
    <x v="3"/>
    <x v="3"/>
    <x v="2"/>
    <x v="3"/>
    <x v="3"/>
  </r>
  <r>
    <x v="151"/>
    <x v="65"/>
    <x v="44"/>
    <x v="52"/>
    <x v="25"/>
    <x v="50"/>
    <x v="1"/>
    <x v="9"/>
    <x v="47"/>
    <x v="2"/>
    <x v="7"/>
    <x v="60"/>
    <x v="2"/>
    <x v="3"/>
    <x v="3"/>
    <x v="1"/>
    <x v="7"/>
    <x v="7"/>
    <x v="0"/>
    <x v="6"/>
    <x v="6"/>
  </r>
  <r>
    <x v="152"/>
    <x v="66"/>
    <x v="45"/>
    <x v="53"/>
    <x v="23"/>
    <x v="56"/>
    <x v="1"/>
    <x v="4"/>
    <x v="38"/>
    <x v="17"/>
    <x v="8"/>
    <x v="58"/>
    <x v="13"/>
    <x v="1"/>
    <x v="1"/>
    <x v="0"/>
    <x v="0"/>
    <x v="0"/>
    <x v="1"/>
    <x v="4"/>
    <x v="4"/>
  </r>
  <r>
    <x v="153"/>
    <x v="67"/>
    <x v="46"/>
    <x v="54"/>
    <x v="25"/>
    <x v="90"/>
    <x v="1"/>
    <x v="21"/>
    <x v="58"/>
    <x v="13"/>
    <x v="7"/>
    <x v="64"/>
    <x v="11"/>
    <x v="5"/>
    <x v="5"/>
    <x v="3"/>
    <x v="7"/>
    <x v="7"/>
    <x v="0"/>
    <x v="9"/>
    <x v="9"/>
  </r>
  <r>
    <x v="154"/>
    <x v="68"/>
    <x v="47"/>
    <x v="55"/>
    <x v="26"/>
    <x v="97"/>
    <x v="1"/>
    <x v="5"/>
    <x v="61"/>
    <x v="0"/>
    <x v="5"/>
    <x v="67"/>
    <x v="0"/>
    <x v="16"/>
    <x v="16"/>
    <x v="4"/>
    <x v="5"/>
    <x v="11"/>
    <x v="0"/>
    <x v="5"/>
    <x v="5"/>
  </r>
  <r>
    <x v="155"/>
    <x v="60"/>
    <x v="49"/>
    <x v="60"/>
    <x v="23"/>
    <x v="94"/>
    <x v="1"/>
    <x v="0"/>
    <x v="38"/>
    <x v="17"/>
    <x v="8"/>
    <x v="58"/>
    <x v="13"/>
    <x v="2"/>
    <x v="2"/>
    <x v="0"/>
    <x v="9"/>
    <x v="0"/>
    <x v="1"/>
    <x v="15"/>
    <x v="15"/>
  </r>
  <r>
    <x v="156"/>
    <x v="78"/>
    <x v="40"/>
    <x v="61"/>
    <x v="10"/>
    <x v="96"/>
    <x v="1"/>
    <x v="3"/>
    <x v="60"/>
    <x v="19"/>
    <x v="7"/>
    <x v="66"/>
    <x v="0"/>
    <x v="0"/>
    <x v="0"/>
    <x v="1"/>
    <x v="4"/>
    <x v="3"/>
    <x v="0"/>
    <x v="0"/>
    <x v="0"/>
  </r>
  <r>
    <x v="157"/>
    <x v="79"/>
    <x v="50"/>
    <x v="62"/>
    <x v="25"/>
    <x v="91"/>
    <x v="1"/>
    <x v="22"/>
    <x v="40"/>
    <x v="2"/>
    <x v="7"/>
    <x v="61"/>
    <x v="2"/>
    <x v="4"/>
    <x v="4"/>
    <x v="1"/>
    <x v="8"/>
    <x v="1"/>
    <x v="1"/>
    <x v="13"/>
    <x v="13"/>
  </r>
  <r>
    <x v="158"/>
    <x v="80"/>
    <x v="51"/>
    <x v="63"/>
    <x v="23"/>
    <x v="56"/>
    <x v="1"/>
    <x v="4"/>
    <x v="38"/>
    <x v="17"/>
    <x v="8"/>
    <x v="58"/>
    <x v="13"/>
    <x v="1"/>
    <x v="1"/>
    <x v="0"/>
    <x v="0"/>
    <x v="0"/>
    <x v="1"/>
    <x v="4"/>
    <x v="4"/>
  </r>
  <r>
    <x v="159"/>
    <x v="81"/>
    <x v="43"/>
    <x v="65"/>
    <x v="23"/>
    <x v="92"/>
    <x v="1"/>
    <x v="0"/>
    <x v="38"/>
    <x v="17"/>
    <x v="8"/>
    <x v="58"/>
    <x v="13"/>
    <x v="2"/>
    <x v="2"/>
    <x v="0"/>
    <x v="9"/>
    <x v="0"/>
    <x v="1"/>
    <x v="15"/>
    <x v="15"/>
  </r>
  <r>
    <x v="160"/>
    <x v="64"/>
    <x v="52"/>
    <x v="64"/>
    <x v="26"/>
    <x v="57"/>
    <x v="4"/>
    <x v="8"/>
    <x v="51"/>
    <x v="7"/>
    <x v="9"/>
    <x v="62"/>
    <x v="7"/>
    <x v="6"/>
    <x v="6"/>
    <x v="1"/>
    <x v="3"/>
    <x v="3"/>
    <x v="2"/>
    <x v="26"/>
    <x v="26"/>
  </r>
  <r>
    <x v="161"/>
    <x v="65"/>
    <x v="44"/>
    <x v="52"/>
    <x v="23"/>
    <x v="56"/>
    <x v="2"/>
    <x v="4"/>
    <x v="38"/>
    <x v="17"/>
    <x v="8"/>
    <x v="58"/>
    <x v="13"/>
    <x v="1"/>
    <x v="1"/>
    <x v="0"/>
    <x v="0"/>
    <x v="0"/>
    <x v="1"/>
    <x v="10"/>
    <x v="10"/>
  </r>
  <r>
    <x v="162"/>
    <x v="66"/>
    <x v="45"/>
    <x v="53"/>
    <x v="25"/>
    <x v="90"/>
    <x v="3"/>
    <x v="21"/>
    <x v="58"/>
    <x v="13"/>
    <x v="7"/>
    <x v="64"/>
    <x v="11"/>
    <x v="5"/>
    <x v="5"/>
    <x v="3"/>
    <x v="7"/>
    <x v="7"/>
    <x v="0"/>
    <x v="27"/>
    <x v="27"/>
  </r>
  <r>
    <x v="163"/>
    <x v="67"/>
    <x v="46"/>
    <x v="54"/>
    <x v="10"/>
    <x v="96"/>
    <x v="0"/>
    <x v="3"/>
    <x v="60"/>
    <x v="19"/>
    <x v="7"/>
    <x v="66"/>
    <x v="0"/>
    <x v="0"/>
    <x v="0"/>
    <x v="1"/>
    <x v="4"/>
    <x v="3"/>
    <x v="0"/>
    <x v="6"/>
    <x v="6"/>
  </r>
  <r>
    <x v="164"/>
    <x v="68"/>
    <x v="47"/>
    <x v="55"/>
    <x v="25"/>
    <x v="91"/>
    <x v="1"/>
    <x v="22"/>
    <x v="40"/>
    <x v="2"/>
    <x v="7"/>
    <x v="61"/>
    <x v="2"/>
    <x v="4"/>
    <x v="4"/>
    <x v="1"/>
    <x v="8"/>
    <x v="1"/>
    <x v="1"/>
    <x v="13"/>
    <x v="13"/>
  </r>
  <r>
    <x v="165"/>
    <x v="60"/>
    <x v="49"/>
    <x v="60"/>
    <x v="26"/>
    <x v="97"/>
    <x v="5"/>
    <x v="5"/>
    <x v="61"/>
    <x v="0"/>
    <x v="5"/>
    <x v="67"/>
    <x v="0"/>
    <x v="16"/>
    <x v="16"/>
    <x v="4"/>
    <x v="5"/>
    <x v="11"/>
    <x v="0"/>
    <x v="28"/>
    <x v="28"/>
  </r>
  <r>
    <x v="166"/>
    <x v="78"/>
    <x v="40"/>
    <x v="61"/>
    <x v="23"/>
    <x v="94"/>
    <x v="6"/>
    <x v="0"/>
    <x v="38"/>
    <x v="17"/>
    <x v="8"/>
    <x v="58"/>
    <x v="13"/>
    <x v="1"/>
    <x v="1"/>
    <x v="0"/>
    <x v="9"/>
    <x v="0"/>
    <x v="1"/>
    <x v="6"/>
    <x v="6"/>
  </r>
  <r>
    <x v="167"/>
    <x v="79"/>
    <x v="50"/>
    <x v="62"/>
    <x v="26"/>
    <x v="95"/>
    <x v="7"/>
    <x v="23"/>
    <x v="59"/>
    <x v="3"/>
    <x v="8"/>
    <x v="65"/>
    <x v="5"/>
    <x v="15"/>
    <x v="15"/>
    <x v="4"/>
    <x v="6"/>
    <x v="5"/>
    <x v="0"/>
    <x v="29"/>
    <x v="29"/>
  </r>
  <r>
    <x v="168"/>
    <x v="80"/>
    <x v="51"/>
    <x v="63"/>
    <x v="10"/>
    <x v="96"/>
    <x v="8"/>
    <x v="3"/>
    <x v="60"/>
    <x v="19"/>
    <x v="7"/>
    <x v="66"/>
    <x v="0"/>
    <x v="0"/>
    <x v="0"/>
    <x v="1"/>
    <x v="4"/>
    <x v="3"/>
    <x v="0"/>
    <x v="9"/>
    <x v="9"/>
  </r>
  <r>
    <x v="169"/>
    <x v="81"/>
    <x v="43"/>
    <x v="65"/>
    <x v="23"/>
    <x v="56"/>
    <x v="9"/>
    <x v="4"/>
    <x v="38"/>
    <x v="17"/>
    <x v="8"/>
    <x v="58"/>
    <x v="13"/>
    <x v="1"/>
    <x v="1"/>
    <x v="0"/>
    <x v="0"/>
    <x v="0"/>
    <x v="1"/>
    <x v="30"/>
    <x v="30"/>
  </r>
  <r>
    <x v="170"/>
    <x v="64"/>
    <x v="52"/>
    <x v="64"/>
    <x v="10"/>
    <x v="89"/>
    <x v="3"/>
    <x v="14"/>
    <x v="30"/>
    <x v="3"/>
    <x v="8"/>
    <x v="63"/>
    <x v="3"/>
    <x v="12"/>
    <x v="12"/>
    <x v="3"/>
    <x v="1"/>
    <x v="6"/>
    <x v="0"/>
    <x v="31"/>
    <x v="31"/>
  </r>
  <r>
    <x v="171"/>
    <x v="65"/>
    <x v="44"/>
    <x v="52"/>
    <x v="23"/>
    <x v="92"/>
    <x v="6"/>
    <x v="0"/>
    <x v="38"/>
    <x v="17"/>
    <x v="8"/>
    <x v="58"/>
    <x v="13"/>
    <x v="2"/>
    <x v="2"/>
    <x v="0"/>
    <x v="9"/>
    <x v="0"/>
    <x v="1"/>
    <x v="6"/>
    <x v="6"/>
  </r>
  <r>
    <x v="172"/>
    <x v="66"/>
    <x v="45"/>
    <x v="53"/>
    <x v="26"/>
    <x v="57"/>
    <x v="0"/>
    <x v="8"/>
    <x v="51"/>
    <x v="7"/>
    <x v="9"/>
    <x v="62"/>
    <x v="7"/>
    <x v="6"/>
    <x v="6"/>
    <x v="1"/>
    <x v="3"/>
    <x v="3"/>
    <x v="2"/>
    <x v="9"/>
    <x v="9"/>
  </r>
  <r>
    <x v="173"/>
    <x v="67"/>
    <x v="46"/>
    <x v="54"/>
    <x v="25"/>
    <x v="50"/>
    <x v="4"/>
    <x v="9"/>
    <x v="47"/>
    <x v="2"/>
    <x v="7"/>
    <x v="60"/>
    <x v="2"/>
    <x v="3"/>
    <x v="3"/>
    <x v="1"/>
    <x v="7"/>
    <x v="7"/>
    <x v="0"/>
    <x v="32"/>
    <x v="32"/>
  </r>
  <r>
    <x v="174"/>
    <x v="68"/>
    <x v="47"/>
    <x v="55"/>
    <x v="26"/>
    <x v="97"/>
    <x v="1"/>
    <x v="5"/>
    <x v="61"/>
    <x v="0"/>
    <x v="5"/>
    <x v="67"/>
    <x v="0"/>
    <x v="16"/>
    <x v="16"/>
    <x v="4"/>
    <x v="5"/>
    <x v="11"/>
    <x v="0"/>
    <x v="5"/>
    <x v="5"/>
  </r>
  <r>
    <x v="175"/>
    <x v="60"/>
    <x v="49"/>
    <x v="60"/>
    <x v="23"/>
    <x v="94"/>
    <x v="2"/>
    <x v="0"/>
    <x v="38"/>
    <x v="17"/>
    <x v="8"/>
    <x v="58"/>
    <x v="13"/>
    <x v="1"/>
    <x v="1"/>
    <x v="0"/>
    <x v="0"/>
    <x v="0"/>
    <x v="1"/>
    <x v="7"/>
    <x v="7"/>
  </r>
  <r>
    <x v="176"/>
    <x v="78"/>
    <x v="40"/>
    <x v="61"/>
    <x v="10"/>
    <x v="96"/>
    <x v="5"/>
    <x v="3"/>
    <x v="60"/>
    <x v="19"/>
    <x v="7"/>
    <x v="66"/>
    <x v="0"/>
    <x v="0"/>
    <x v="0"/>
    <x v="1"/>
    <x v="4"/>
    <x v="3"/>
    <x v="0"/>
    <x v="25"/>
    <x v="25"/>
  </r>
  <r>
    <x v="177"/>
    <x v="79"/>
    <x v="50"/>
    <x v="62"/>
    <x v="25"/>
    <x v="91"/>
    <x v="3"/>
    <x v="22"/>
    <x v="40"/>
    <x v="2"/>
    <x v="7"/>
    <x v="61"/>
    <x v="2"/>
    <x v="4"/>
    <x v="4"/>
    <x v="1"/>
    <x v="8"/>
    <x v="1"/>
    <x v="1"/>
    <x v="33"/>
    <x v="33"/>
  </r>
  <r>
    <x v="178"/>
    <x v="80"/>
    <x v="51"/>
    <x v="63"/>
    <x v="23"/>
    <x v="56"/>
    <x v="0"/>
    <x v="4"/>
    <x v="38"/>
    <x v="17"/>
    <x v="8"/>
    <x v="58"/>
    <x v="13"/>
    <x v="1"/>
    <x v="1"/>
    <x v="0"/>
    <x v="0"/>
    <x v="0"/>
    <x v="1"/>
    <x v="18"/>
    <x v="18"/>
  </r>
  <r>
    <x v="179"/>
    <x v="81"/>
    <x v="43"/>
    <x v="65"/>
    <x v="26"/>
    <x v="93"/>
    <x v="8"/>
    <x v="14"/>
    <x v="52"/>
    <x v="4"/>
    <x v="9"/>
    <x v="59"/>
    <x v="4"/>
    <x v="4"/>
    <x v="4"/>
    <x v="1"/>
    <x v="1"/>
    <x v="6"/>
    <x v="0"/>
    <x v="34"/>
    <x v="34"/>
  </r>
  <r>
    <x v="180"/>
    <x v="82"/>
    <x v="53"/>
    <x v="66"/>
    <x v="25"/>
    <x v="50"/>
    <x v="2"/>
    <x v="9"/>
    <x v="47"/>
    <x v="2"/>
    <x v="7"/>
    <x v="60"/>
    <x v="2"/>
    <x v="3"/>
    <x v="3"/>
    <x v="1"/>
    <x v="7"/>
    <x v="7"/>
    <x v="0"/>
    <x v="35"/>
    <x v="35"/>
  </r>
  <r>
    <x v="181"/>
    <x v="83"/>
    <x v="54"/>
    <x v="67"/>
    <x v="23"/>
    <x v="94"/>
    <x v="3"/>
    <x v="0"/>
    <x v="38"/>
    <x v="17"/>
    <x v="8"/>
    <x v="58"/>
    <x v="13"/>
    <x v="0"/>
    <x v="0"/>
    <x v="0"/>
    <x v="9"/>
    <x v="0"/>
    <x v="1"/>
    <x v="1"/>
    <x v="1"/>
  </r>
  <r>
    <x v="182"/>
    <x v="84"/>
    <x v="33"/>
    <x v="68"/>
    <x v="26"/>
    <x v="95"/>
    <x v="1"/>
    <x v="23"/>
    <x v="59"/>
    <x v="3"/>
    <x v="8"/>
    <x v="65"/>
    <x v="5"/>
    <x v="15"/>
    <x v="15"/>
    <x v="4"/>
    <x v="6"/>
    <x v="5"/>
    <x v="0"/>
    <x v="25"/>
    <x v="25"/>
  </r>
  <r>
    <x v="183"/>
    <x v="85"/>
    <x v="37"/>
    <x v="57"/>
    <x v="10"/>
    <x v="96"/>
    <x v="8"/>
    <x v="3"/>
    <x v="60"/>
    <x v="19"/>
    <x v="7"/>
    <x v="66"/>
    <x v="0"/>
    <x v="0"/>
    <x v="0"/>
    <x v="1"/>
    <x v="4"/>
    <x v="3"/>
    <x v="0"/>
    <x v="9"/>
    <x v="9"/>
  </r>
  <r>
    <x v="184"/>
    <x v="86"/>
    <x v="55"/>
    <x v="69"/>
    <x v="25"/>
    <x v="91"/>
    <x v="6"/>
    <x v="22"/>
    <x v="40"/>
    <x v="2"/>
    <x v="7"/>
    <x v="61"/>
    <x v="2"/>
    <x v="4"/>
    <x v="4"/>
    <x v="1"/>
    <x v="8"/>
    <x v="1"/>
    <x v="1"/>
    <x v="5"/>
    <x v="5"/>
  </r>
  <r>
    <x v="185"/>
    <x v="87"/>
    <x v="56"/>
    <x v="70"/>
    <x v="23"/>
    <x v="56"/>
    <x v="4"/>
    <x v="4"/>
    <x v="38"/>
    <x v="17"/>
    <x v="8"/>
    <x v="58"/>
    <x v="13"/>
    <x v="1"/>
    <x v="1"/>
    <x v="0"/>
    <x v="0"/>
    <x v="0"/>
    <x v="1"/>
    <x v="36"/>
    <x v="36"/>
  </r>
  <r>
    <x v="186"/>
    <x v="88"/>
    <x v="57"/>
    <x v="71"/>
    <x v="26"/>
    <x v="97"/>
    <x v="0"/>
    <x v="5"/>
    <x v="61"/>
    <x v="0"/>
    <x v="5"/>
    <x v="67"/>
    <x v="0"/>
    <x v="16"/>
    <x v="16"/>
    <x v="4"/>
    <x v="5"/>
    <x v="11"/>
    <x v="0"/>
    <x v="37"/>
    <x v="37"/>
  </r>
  <r>
    <x v="187"/>
    <x v="89"/>
    <x v="54"/>
    <x v="72"/>
    <x v="23"/>
    <x v="92"/>
    <x v="2"/>
    <x v="0"/>
    <x v="38"/>
    <x v="17"/>
    <x v="8"/>
    <x v="58"/>
    <x v="13"/>
    <x v="6"/>
    <x v="6"/>
    <x v="0"/>
    <x v="9"/>
    <x v="0"/>
    <x v="1"/>
    <x v="7"/>
    <x v="7"/>
  </r>
  <r>
    <x v="188"/>
    <x v="90"/>
    <x v="39"/>
    <x v="73"/>
    <x v="10"/>
    <x v="89"/>
    <x v="3"/>
    <x v="14"/>
    <x v="30"/>
    <x v="3"/>
    <x v="8"/>
    <x v="63"/>
    <x v="3"/>
    <x v="12"/>
    <x v="12"/>
    <x v="3"/>
    <x v="1"/>
    <x v="6"/>
    <x v="0"/>
    <x v="31"/>
    <x v="31"/>
  </r>
  <r>
    <x v="189"/>
    <x v="91"/>
    <x v="35"/>
    <x v="56"/>
    <x v="23"/>
    <x v="98"/>
    <x v="8"/>
    <x v="4"/>
    <x v="38"/>
    <x v="17"/>
    <x v="8"/>
    <x v="58"/>
    <x v="13"/>
    <x v="1"/>
    <x v="1"/>
    <x v="0"/>
    <x v="0"/>
    <x v="0"/>
    <x v="1"/>
    <x v="38"/>
    <x v="38"/>
  </r>
  <r>
    <x v="190"/>
    <x v="92"/>
    <x v="58"/>
    <x v="74"/>
    <x v="26"/>
    <x v="57"/>
    <x v="6"/>
    <x v="8"/>
    <x v="51"/>
    <x v="7"/>
    <x v="9"/>
    <x v="62"/>
    <x v="7"/>
    <x v="17"/>
    <x v="17"/>
    <x v="1"/>
    <x v="3"/>
    <x v="3"/>
    <x v="2"/>
    <x v="31"/>
    <x v="31"/>
  </r>
  <r>
    <x v="191"/>
    <x v="93"/>
    <x v="59"/>
    <x v="75"/>
    <x v="10"/>
    <x v="96"/>
    <x v="4"/>
    <x v="3"/>
    <x v="60"/>
    <x v="19"/>
    <x v="7"/>
    <x v="66"/>
    <x v="0"/>
    <x v="7"/>
    <x v="7"/>
    <x v="1"/>
    <x v="4"/>
    <x v="3"/>
    <x v="0"/>
    <x v="19"/>
    <x v="19"/>
  </r>
  <r>
    <x v="192"/>
    <x v="94"/>
    <x v="36"/>
    <x v="76"/>
    <x v="23"/>
    <x v="94"/>
    <x v="0"/>
    <x v="0"/>
    <x v="38"/>
    <x v="17"/>
    <x v="8"/>
    <x v="58"/>
    <x v="13"/>
    <x v="11"/>
    <x v="11"/>
    <x v="0"/>
    <x v="9"/>
    <x v="0"/>
    <x v="1"/>
    <x v="0"/>
    <x v="0"/>
  </r>
  <r>
    <x v="193"/>
    <x v="95"/>
    <x v="53"/>
    <x v="77"/>
    <x v="26"/>
    <x v="95"/>
    <x v="2"/>
    <x v="23"/>
    <x v="59"/>
    <x v="3"/>
    <x v="8"/>
    <x v="65"/>
    <x v="5"/>
    <x v="4"/>
    <x v="4"/>
    <x v="4"/>
    <x v="6"/>
    <x v="5"/>
    <x v="0"/>
    <x v="37"/>
    <x v="37"/>
  </r>
  <r>
    <x v="194"/>
    <x v="96"/>
    <x v="60"/>
    <x v="78"/>
    <x v="25"/>
    <x v="91"/>
    <x v="3"/>
    <x v="22"/>
    <x v="40"/>
    <x v="2"/>
    <x v="7"/>
    <x v="61"/>
    <x v="2"/>
    <x v="10"/>
    <x v="10"/>
    <x v="1"/>
    <x v="8"/>
    <x v="1"/>
    <x v="1"/>
    <x v="33"/>
    <x v="33"/>
  </r>
  <r>
    <x v="195"/>
    <x v="97"/>
    <x v="61"/>
    <x v="79"/>
    <x v="23"/>
    <x v="56"/>
    <x v="8"/>
    <x v="4"/>
    <x v="38"/>
    <x v="17"/>
    <x v="8"/>
    <x v="58"/>
    <x v="13"/>
    <x v="1"/>
    <x v="1"/>
    <x v="0"/>
    <x v="0"/>
    <x v="0"/>
    <x v="1"/>
    <x v="38"/>
    <x v="38"/>
  </r>
  <r>
    <x v="196"/>
    <x v="98"/>
    <x v="9"/>
    <x v="80"/>
    <x v="10"/>
    <x v="89"/>
    <x v="0"/>
    <x v="14"/>
    <x v="30"/>
    <x v="3"/>
    <x v="8"/>
    <x v="63"/>
    <x v="3"/>
    <x v="12"/>
    <x v="12"/>
    <x v="3"/>
    <x v="1"/>
    <x v="6"/>
    <x v="0"/>
    <x v="25"/>
    <x v="25"/>
  </r>
  <r>
    <x v="197"/>
    <x v="99"/>
    <x v="35"/>
    <x v="81"/>
    <x v="26"/>
    <x v="97"/>
    <x v="1"/>
    <x v="5"/>
    <x v="61"/>
    <x v="0"/>
    <x v="5"/>
    <x v="67"/>
    <x v="0"/>
    <x v="16"/>
    <x v="16"/>
    <x v="4"/>
    <x v="5"/>
    <x v="11"/>
    <x v="0"/>
    <x v="5"/>
    <x v="5"/>
  </r>
  <r>
    <x v="198"/>
    <x v="100"/>
    <x v="42"/>
    <x v="82"/>
    <x v="23"/>
    <x v="92"/>
    <x v="6"/>
    <x v="0"/>
    <x v="38"/>
    <x v="17"/>
    <x v="8"/>
    <x v="58"/>
    <x v="13"/>
    <x v="6"/>
    <x v="6"/>
    <x v="0"/>
    <x v="9"/>
    <x v="0"/>
    <x v="1"/>
    <x v="6"/>
    <x v="6"/>
  </r>
  <r>
    <x v="199"/>
    <x v="101"/>
    <x v="34"/>
    <x v="83"/>
    <x v="10"/>
    <x v="96"/>
    <x v="5"/>
    <x v="3"/>
    <x v="60"/>
    <x v="19"/>
    <x v="7"/>
    <x v="66"/>
    <x v="0"/>
    <x v="0"/>
    <x v="0"/>
    <x v="1"/>
    <x v="4"/>
    <x v="3"/>
    <x v="0"/>
    <x v="25"/>
    <x v="25"/>
  </r>
  <r>
    <x v="200"/>
    <x v="79"/>
    <x v="50"/>
    <x v="62"/>
    <x v="26"/>
    <x v="57"/>
    <x v="8"/>
    <x v="8"/>
    <x v="51"/>
    <x v="7"/>
    <x v="9"/>
    <x v="62"/>
    <x v="7"/>
    <x v="6"/>
    <x v="6"/>
    <x v="1"/>
    <x v="3"/>
    <x v="3"/>
    <x v="2"/>
    <x v="27"/>
    <x v="27"/>
  </r>
  <r>
    <x v="201"/>
    <x v="102"/>
    <x v="62"/>
    <x v="84"/>
    <x v="23"/>
    <x v="56"/>
    <x v="3"/>
    <x v="4"/>
    <x v="38"/>
    <x v="17"/>
    <x v="8"/>
    <x v="58"/>
    <x v="13"/>
    <x v="1"/>
    <x v="1"/>
    <x v="0"/>
    <x v="0"/>
    <x v="0"/>
    <x v="1"/>
    <x v="24"/>
    <x v="24"/>
  </r>
  <r>
    <x v="202"/>
    <x v="103"/>
    <x v="63"/>
    <x v="85"/>
    <x v="25"/>
    <x v="90"/>
    <x v="6"/>
    <x v="21"/>
    <x v="58"/>
    <x v="13"/>
    <x v="7"/>
    <x v="64"/>
    <x v="11"/>
    <x v="5"/>
    <x v="5"/>
    <x v="3"/>
    <x v="7"/>
    <x v="7"/>
    <x v="0"/>
    <x v="34"/>
    <x v="34"/>
  </r>
  <r>
    <x v="203"/>
    <x v="104"/>
    <x v="38"/>
    <x v="58"/>
    <x v="10"/>
    <x v="96"/>
    <x v="2"/>
    <x v="3"/>
    <x v="60"/>
    <x v="19"/>
    <x v="7"/>
    <x v="66"/>
    <x v="0"/>
    <x v="0"/>
    <x v="0"/>
    <x v="1"/>
    <x v="4"/>
    <x v="3"/>
    <x v="0"/>
    <x v="13"/>
    <x v="13"/>
  </r>
  <r>
    <x v="204"/>
    <x v="105"/>
    <x v="21"/>
    <x v="86"/>
    <x v="25"/>
    <x v="91"/>
    <x v="0"/>
    <x v="22"/>
    <x v="40"/>
    <x v="2"/>
    <x v="7"/>
    <x v="61"/>
    <x v="2"/>
    <x v="4"/>
    <x v="4"/>
    <x v="1"/>
    <x v="8"/>
    <x v="1"/>
    <x v="1"/>
    <x v="35"/>
    <x v="35"/>
  </r>
  <r>
    <x v="205"/>
    <x v="106"/>
    <x v="64"/>
    <x v="87"/>
    <x v="26"/>
    <x v="95"/>
    <x v="5"/>
    <x v="23"/>
    <x v="59"/>
    <x v="3"/>
    <x v="8"/>
    <x v="65"/>
    <x v="5"/>
    <x v="15"/>
    <x v="15"/>
    <x v="4"/>
    <x v="6"/>
    <x v="5"/>
    <x v="0"/>
    <x v="39"/>
    <x v="39"/>
  </r>
  <r>
    <x v="206"/>
    <x v="107"/>
    <x v="65"/>
    <x v="72"/>
    <x v="23"/>
    <x v="94"/>
    <x v="3"/>
    <x v="0"/>
    <x v="38"/>
    <x v="17"/>
    <x v="8"/>
    <x v="58"/>
    <x v="13"/>
    <x v="11"/>
    <x v="11"/>
    <x v="0"/>
    <x v="9"/>
    <x v="0"/>
    <x v="1"/>
    <x v="1"/>
    <x v="1"/>
  </r>
  <r>
    <x v="207"/>
    <x v="96"/>
    <x v="66"/>
    <x v="78"/>
    <x v="26"/>
    <x v="57"/>
    <x v="8"/>
    <x v="8"/>
    <x v="51"/>
    <x v="7"/>
    <x v="9"/>
    <x v="62"/>
    <x v="7"/>
    <x v="17"/>
    <x v="17"/>
    <x v="1"/>
    <x v="3"/>
    <x v="3"/>
    <x v="2"/>
    <x v="27"/>
    <x v="27"/>
  </r>
  <r>
    <x v="208"/>
    <x v="88"/>
    <x v="67"/>
    <x v="71"/>
    <x v="10"/>
    <x v="89"/>
    <x v="0"/>
    <x v="14"/>
    <x v="30"/>
    <x v="3"/>
    <x v="8"/>
    <x v="63"/>
    <x v="3"/>
    <x v="12"/>
    <x v="12"/>
    <x v="3"/>
    <x v="1"/>
    <x v="6"/>
    <x v="0"/>
    <x v="25"/>
    <x v="25"/>
  </r>
  <r>
    <x v="209"/>
    <x v="108"/>
    <x v="63"/>
    <x v="88"/>
    <x v="23"/>
    <x v="92"/>
    <x v="6"/>
    <x v="0"/>
    <x v="38"/>
    <x v="17"/>
    <x v="8"/>
    <x v="58"/>
    <x v="13"/>
    <x v="6"/>
    <x v="6"/>
    <x v="0"/>
    <x v="9"/>
    <x v="0"/>
    <x v="1"/>
    <x v="6"/>
    <x v="6"/>
  </r>
  <r>
    <x v="210"/>
    <x v="92"/>
    <x v="58"/>
    <x v="74"/>
    <x v="25"/>
    <x v="50"/>
    <x v="3"/>
    <x v="9"/>
    <x v="47"/>
    <x v="2"/>
    <x v="7"/>
    <x v="60"/>
    <x v="2"/>
    <x v="3"/>
    <x v="3"/>
    <x v="1"/>
    <x v="7"/>
    <x v="7"/>
    <x v="0"/>
    <x v="9"/>
    <x v="9"/>
  </r>
  <r>
    <x v="211"/>
    <x v="102"/>
    <x v="62"/>
    <x v="84"/>
    <x v="26"/>
    <x v="97"/>
    <x v="0"/>
    <x v="5"/>
    <x v="61"/>
    <x v="0"/>
    <x v="5"/>
    <x v="67"/>
    <x v="0"/>
    <x v="16"/>
    <x v="16"/>
    <x v="4"/>
    <x v="5"/>
    <x v="11"/>
    <x v="0"/>
    <x v="37"/>
    <x v="37"/>
  </r>
  <r>
    <x v="212"/>
    <x v="103"/>
    <x v="63"/>
    <x v="85"/>
    <x v="23"/>
    <x v="56"/>
    <x v="2"/>
    <x v="4"/>
    <x v="38"/>
    <x v="17"/>
    <x v="8"/>
    <x v="58"/>
    <x v="13"/>
    <x v="1"/>
    <x v="1"/>
    <x v="0"/>
    <x v="0"/>
    <x v="0"/>
    <x v="1"/>
    <x v="10"/>
    <x v="10"/>
  </r>
  <r>
    <x v="213"/>
    <x v="104"/>
    <x v="38"/>
    <x v="58"/>
    <x v="10"/>
    <x v="96"/>
    <x v="8"/>
    <x v="3"/>
    <x v="60"/>
    <x v="19"/>
    <x v="7"/>
    <x v="66"/>
    <x v="0"/>
    <x v="0"/>
    <x v="0"/>
    <x v="1"/>
    <x v="4"/>
    <x v="3"/>
    <x v="0"/>
    <x v="9"/>
    <x v="9"/>
  </r>
  <r>
    <x v="214"/>
    <x v="105"/>
    <x v="21"/>
    <x v="86"/>
    <x v="23"/>
    <x v="92"/>
    <x v="3"/>
    <x v="0"/>
    <x v="38"/>
    <x v="17"/>
    <x v="8"/>
    <x v="58"/>
    <x v="13"/>
    <x v="6"/>
    <x v="6"/>
    <x v="0"/>
    <x v="9"/>
    <x v="0"/>
    <x v="1"/>
    <x v="1"/>
    <x v="1"/>
  </r>
  <r>
    <x v="215"/>
    <x v="106"/>
    <x v="64"/>
    <x v="87"/>
    <x v="25"/>
    <x v="91"/>
    <x v="6"/>
    <x v="22"/>
    <x v="40"/>
    <x v="2"/>
    <x v="7"/>
    <x v="61"/>
    <x v="2"/>
    <x v="4"/>
    <x v="4"/>
    <x v="1"/>
    <x v="8"/>
    <x v="1"/>
    <x v="1"/>
    <x v="5"/>
    <x v="5"/>
  </r>
  <r>
    <x v="216"/>
    <x v="107"/>
    <x v="65"/>
    <x v="72"/>
    <x v="26"/>
    <x v="57"/>
    <x v="0"/>
    <x v="8"/>
    <x v="51"/>
    <x v="7"/>
    <x v="9"/>
    <x v="62"/>
    <x v="7"/>
    <x v="17"/>
    <x v="17"/>
    <x v="1"/>
    <x v="3"/>
    <x v="3"/>
    <x v="2"/>
    <x v="9"/>
    <x v="9"/>
  </r>
  <r>
    <x v="217"/>
    <x v="96"/>
    <x v="66"/>
    <x v="78"/>
    <x v="10"/>
    <x v="89"/>
    <x v="2"/>
    <x v="14"/>
    <x v="30"/>
    <x v="3"/>
    <x v="8"/>
    <x v="63"/>
    <x v="3"/>
    <x v="12"/>
    <x v="12"/>
    <x v="3"/>
    <x v="1"/>
    <x v="6"/>
    <x v="0"/>
    <x v="5"/>
    <x v="5"/>
  </r>
  <r>
    <x v="218"/>
    <x v="88"/>
    <x v="67"/>
    <x v="71"/>
    <x v="23"/>
    <x v="94"/>
    <x v="3"/>
    <x v="0"/>
    <x v="38"/>
    <x v="17"/>
    <x v="8"/>
    <x v="58"/>
    <x v="13"/>
    <x v="11"/>
    <x v="11"/>
    <x v="0"/>
    <x v="9"/>
    <x v="0"/>
    <x v="1"/>
    <x v="1"/>
    <x v="1"/>
  </r>
  <r>
    <x v="219"/>
    <x v="108"/>
    <x v="63"/>
    <x v="88"/>
    <x v="26"/>
    <x v="95"/>
    <x v="4"/>
    <x v="23"/>
    <x v="59"/>
    <x v="3"/>
    <x v="8"/>
    <x v="65"/>
    <x v="5"/>
    <x v="15"/>
    <x v="15"/>
    <x v="4"/>
    <x v="6"/>
    <x v="5"/>
    <x v="0"/>
    <x v="40"/>
    <x v="40"/>
  </r>
  <r>
    <x v="220"/>
    <x v="94"/>
    <x v="18"/>
    <x v="76"/>
    <x v="25"/>
    <x v="50"/>
    <x v="6"/>
    <x v="9"/>
    <x v="47"/>
    <x v="2"/>
    <x v="7"/>
    <x v="60"/>
    <x v="2"/>
    <x v="18"/>
    <x v="6"/>
    <x v="1"/>
    <x v="7"/>
    <x v="7"/>
    <x v="0"/>
    <x v="25"/>
    <x v="25"/>
  </r>
  <r>
    <x v="221"/>
    <x v="79"/>
    <x v="68"/>
    <x v="62"/>
    <x v="10"/>
    <x v="96"/>
    <x v="0"/>
    <x v="3"/>
    <x v="60"/>
    <x v="19"/>
    <x v="7"/>
    <x v="66"/>
    <x v="0"/>
    <x v="19"/>
    <x v="18"/>
    <x v="1"/>
    <x v="4"/>
    <x v="3"/>
    <x v="0"/>
    <x v="6"/>
    <x v="6"/>
  </r>
  <r>
    <x v="222"/>
    <x v="102"/>
    <x v="62"/>
    <x v="84"/>
    <x v="26"/>
    <x v="97"/>
    <x v="3"/>
    <x v="5"/>
    <x v="61"/>
    <x v="0"/>
    <x v="5"/>
    <x v="67"/>
    <x v="0"/>
    <x v="20"/>
    <x v="9"/>
    <x v="4"/>
    <x v="5"/>
    <x v="11"/>
    <x v="0"/>
    <x v="41"/>
    <x v="41"/>
  </r>
  <r>
    <x v="223"/>
    <x v="103"/>
    <x v="63"/>
    <x v="85"/>
    <x v="23"/>
    <x v="56"/>
    <x v="8"/>
    <x v="4"/>
    <x v="38"/>
    <x v="17"/>
    <x v="8"/>
    <x v="58"/>
    <x v="13"/>
    <x v="21"/>
    <x v="1"/>
    <x v="0"/>
    <x v="0"/>
    <x v="0"/>
    <x v="1"/>
    <x v="38"/>
    <x v="38"/>
  </r>
  <r>
    <x v="224"/>
    <x v="104"/>
    <x v="38"/>
    <x v="58"/>
    <x v="10"/>
    <x v="89"/>
    <x v="6"/>
    <x v="14"/>
    <x v="30"/>
    <x v="3"/>
    <x v="8"/>
    <x v="63"/>
    <x v="3"/>
    <x v="8"/>
    <x v="8"/>
    <x v="3"/>
    <x v="1"/>
    <x v="6"/>
    <x v="0"/>
    <x v="42"/>
    <x v="42"/>
  </r>
  <r>
    <x v="225"/>
    <x v="105"/>
    <x v="21"/>
    <x v="86"/>
    <x v="23"/>
    <x v="92"/>
    <x v="0"/>
    <x v="0"/>
    <x v="38"/>
    <x v="17"/>
    <x v="8"/>
    <x v="58"/>
    <x v="13"/>
    <x v="16"/>
    <x v="6"/>
    <x v="0"/>
    <x v="9"/>
    <x v="0"/>
    <x v="1"/>
    <x v="0"/>
    <x v="0"/>
  </r>
  <r>
    <x v="226"/>
    <x v="106"/>
    <x v="64"/>
    <x v="87"/>
    <x v="25"/>
    <x v="91"/>
    <x v="2"/>
    <x v="22"/>
    <x v="40"/>
    <x v="2"/>
    <x v="7"/>
    <x v="61"/>
    <x v="2"/>
    <x v="0"/>
    <x v="0"/>
    <x v="1"/>
    <x v="8"/>
    <x v="1"/>
    <x v="1"/>
    <x v="23"/>
    <x v="23"/>
  </r>
  <r>
    <x v="227"/>
    <x v="107"/>
    <x v="65"/>
    <x v="72"/>
    <x v="26"/>
    <x v="57"/>
    <x v="3"/>
    <x v="8"/>
    <x v="51"/>
    <x v="7"/>
    <x v="9"/>
    <x v="62"/>
    <x v="7"/>
    <x v="10"/>
    <x v="10"/>
    <x v="1"/>
    <x v="3"/>
    <x v="3"/>
    <x v="2"/>
    <x v="43"/>
    <x v="43"/>
  </r>
  <r>
    <x v="228"/>
    <x v="96"/>
    <x v="66"/>
    <x v="78"/>
    <x v="10"/>
    <x v="96"/>
    <x v="8"/>
    <x v="3"/>
    <x v="60"/>
    <x v="19"/>
    <x v="7"/>
    <x v="66"/>
    <x v="0"/>
    <x v="4"/>
    <x v="4"/>
    <x v="1"/>
    <x v="4"/>
    <x v="3"/>
    <x v="0"/>
    <x v="9"/>
    <x v="9"/>
  </r>
  <r>
    <x v="229"/>
    <x v="88"/>
    <x v="67"/>
    <x v="71"/>
    <x v="23"/>
    <x v="94"/>
    <x v="6"/>
    <x v="0"/>
    <x v="38"/>
    <x v="17"/>
    <x v="8"/>
    <x v="58"/>
    <x v="13"/>
    <x v="6"/>
    <x v="6"/>
    <x v="0"/>
    <x v="9"/>
    <x v="0"/>
    <x v="1"/>
    <x v="6"/>
    <x v="6"/>
  </r>
  <r>
    <x v="230"/>
    <x v="108"/>
    <x v="63"/>
    <x v="88"/>
    <x v="25"/>
    <x v="50"/>
    <x v="0"/>
    <x v="9"/>
    <x v="47"/>
    <x v="2"/>
    <x v="7"/>
    <x v="60"/>
    <x v="2"/>
    <x v="3"/>
    <x v="3"/>
    <x v="1"/>
    <x v="7"/>
    <x v="7"/>
    <x v="0"/>
    <x v="10"/>
    <x v="10"/>
  </r>
  <r>
    <x v="231"/>
    <x v="94"/>
    <x v="18"/>
    <x v="76"/>
    <x v="26"/>
    <x v="97"/>
    <x v="1"/>
    <x v="5"/>
    <x v="61"/>
    <x v="0"/>
    <x v="5"/>
    <x v="67"/>
    <x v="0"/>
    <x v="16"/>
    <x v="16"/>
    <x v="4"/>
    <x v="5"/>
    <x v="11"/>
    <x v="0"/>
    <x v="5"/>
    <x v="5"/>
  </r>
  <r>
    <x v="232"/>
    <x v="79"/>
    <x v="68"/>
    <x v="62"/>
    <x v="23"/>
    <x v="56"/>
    <x v="3"/>
    <x v="4"/>
    <x v="38"/>
    <x v="17"/>
    <x v="8"/>
    <x v="58"/>
    <x v="13"/>
    <x v="1"/>
    <x v="1"/>
    <x v="0"/>
    <x v="0"/>
    <x v="0"/>
    <x v="1"/>
    <x v="24"/>
    <x v="24"/>
  </r>
  <r>
    <x v="233"/>
    <x v="102"/>
    <x v="62"/>
    <x v="84"/>
    <x v="10"/>
    <x v="96"/>
    <x v="6"/>
    <x v="3"/>
    <x v="60"/>
    <x v="19"/>
    <x v="7"/>
    <x v="66"/>
    <x v="0"/>
    <x v="0"/>
    <x v="0"/>
    <x v="1"/>
    <x v="4"/>
    <x v="3"/>
    <x v="0"/>
    <x v="10"/>
    <x v="10"/>
  </r>
  <r>
    <x v="234"/>
    <x v="103"/>
    <x v="63"/>
    <x v="85"/>
    <x v="23"/>
    <x v="92"/>
    <x v="2"/>
    <x v="0"/>
    <x v="38"/>
    <x v="17"/>
    <x v="8"/>
    <x v="58"/>
    <x v="13"/>
    <x v="6"/>
    <x v="6"/>
    <x v="0"/>
    <x v="9"/>
    <x v="0"/>
    <x v="1"/>
    <x v="7"/>
    <x v="7"/>
  </r>
  <r>
    <x v="235"/>
    <x v="104"/>
    <x v="38"/>
    <x v="58"/>
    <x v="26"/>
    <x v="57"/>
    <x v="0"/>
    <x v="8"/>
    <x v="51"/>
    <x v="7"/>
    <x v="9"/>
    <x v="62"/>
    <x v="7"/>
    <x v="17"/>
    <x v="17"/>
    <x v="1"/>
    <x v="3"/>
    <x v="3"/>
    <x v="2"/>
    <x v="9"/>
    <x v="9"/>
  </r>
  <r>
    <x v="236"/>
    <x v="105"/>
    <x v="21"/>
    <x v="86"/>
    <x v="25"/>
    <x v="91"/>
    <x v="3"/>
    <x v="22"/>
    <x v="40"/>
    <x v="2"/>
    <x v="7"/>
    <x v="61"/>
    <x v="2"/>
    <x v="4"/>
    <x v="4"/>
    <x v="1"/>
    <x v="8"/>
    <x v="1"/>
    <x v="1"/>
    <x v="33"/>
    <x v="33"/>
  </r>
  <r>
    <x v="237"/>
    <x v="106"/>
    <x v="64"/>
    <x v="87"/>
    <x v="10"/>
    <x v="89"/>
    <x v="2"/>
    <x v="14"/>
    <x v="30"/>
    <x v="3"/>
    <x v="8"/>
    <x v="63"/>
    <x v="3"/>
    <x v="12"/>
    <x v="12"/>
    <x v="3"/>
    <x v="1"/>
    <x v="6"/>
    <x v="0"/>
    <x v="5"/>
    <x v="5"/>
  </r>
  <r>
    <x v="238"/>
    <x v="107"/>
    <x v="65"/>
    <x v="72"/>
    <x v="23"/>
    <x v="94"/>
    <x v="3"/>
    <x v="0"/>
    <x v="38"/>
    <x v="17"/>
    <x v="8"/>
    <x v="58"/>
    <x v="13"/>
    <x v="11"/>
    <x v="11"/>
    <x v="0"/>
    <x v="9"/>
    <x v="0"/>
    <x v="1"/>
    <x v="1"/>
    <x v="1"/>
  </r>
  <r>
    <x v="239"/>
    <x v="96"/>
    <x v="66"/>
    <x v="78"/>
    <x v="26"/>
    <x v="95"/>
    <x v="4"/>
    <x v="23"/>
    <x v="59"/>
    <x v="3"/>
    <x v="8"/>
    <x v="65"/>
    <x v="5"/>
    <x v="15"/>
    <x v="15"/>
    <x v="4"/>
    <x v="6"/>
    <x v="5"/>
    <x v="0"/>
    <x v="40"/>
    <x v="40"/>
  </r>
  <r>
    <x v="240"/>
    <x v="88"/>
    <x v="67"/>
    <x v="71"/>
    <x v="25"/>
    <x v="50"/>
    <x v="6"/>
    <x v="9"/>
    <x v="47"/>
    <x v="2"/>
    <x v="7"/>
    <x v="60"/>
    <x v="2"/>
    <x v="18"/>
    <x v="6"/>
    <x v="1"/>
    <x v="7"/>
    <x v="7"/>
    <x v="0"/>
    <x v="25"/>
    <x v="25"/>
  </r>
  <r>
    <x v="241"/>
    <x v="108"/>
    <x v="63"/>
    <x v="88"/>
    <x v="26"/>
    <x v="97"/>
    <x v="0"/>
    <x v="5"/>
    <x v="61"/>
    <x v="0"/>
    <x v="5"/>
    <x v="67"/>
    <x v="0"/>
    <x v="20"/>
    <x v="9"/>
    <x v="4"/>
    <x v="5"/>
    <x v="11"/>
    <x v="0"/>
    <x v="37"/>
    <x v="37"/>
  </r>
  <r>
    <x v="242"/>
    <x v="94"/>
    <x v="18"/>
    <x v="76"/>
    <x v="23"/>
    <x v="56"/>
    <x v="3"/>
    <x v="4"/>
    <x v="38"/>
    <x v="17"/>
    <x v="8"/>
    <x v="58"/>
    <x v="13"/>
    <x v="0"/>
    <x v="0"/>
    <x v="0"/>
    <x v="0"/>
    <x v="0"/>
    <x v="1"/>
    <x v="24"/>
    <x v="24"/>
  </r>
  <r>
    <x v="243"/>
    <x v="79"/>
    <x v="68"/>
    <x v="62"/>
    <x v="10"/>
    <x v="96"/>
    <x v="0"/>
    <x v="3"/>
    <x v="60"/>
    <x v="19"/>
    <x v="7"/>
    <x v="66"/>
    <x v="0"/>
    <x v="19"/>
    <x v="18"/>
    <x v="1"/>
    <x v="4"/>
    <x v="3"/>
    <x v="0"/>
    <x v="6"/>
    <x v="6"/>
  </r>
  <r>
    <x v="244"/>
    <x v="102"/>
    <x v="62"/>
    <x v="84"/>
    <x v="26"/>
    <x v="57"/>
    <x v="3"/>
    <x v="8"/>
    <x v="51"/>
    <x v="7"/>
    <x v="9"/>
    <x v="62"/>
    <x v="7"/>
    <x v="10"/>
    <x v="10"/>
    <x v="1"/>
    <x v="3"/>
    <x v="3"/>
    <x v="2"/>
    <x v="43"/>
    <x v="43"/>
  </r>
  <r>
    <x v="245"/>
    <x v="103"/>
    <x v="63"/>
    <x v="85"/>
    <x v="23"/>
    <x v="92"/>
    <x v="6"/>
    <x v="0"/>
    <x v="38"/>
    <x v="17"/>
    <x v="8"/>
    <x v="58"/>
    <x v="13"/>
    <x v="16"/>
    <x v="6"/>
    <x v="0"/>
    <x v="9"/>
    <x v="0"/>
    <x v="1"/>
    <x v="6"/>
    <x v="6"/>
  </r>
  <r>
    <x v="246"/>
    <x v="104"/>
    <x v="38"/>
    <x v="58"/>
    <x v="25"/>
    <x v="91"/>
    <x v="2"/>
    <x v="22"/>
    <x v="40"/>
    <x v="2"/>
    <x v="7"/>
    <x v="61"/>
    <x v="2"/>
    <x v="0"/>
    <x v="0"/>
    <x v="1"/>
    <x v="8"/>
    <x v="1"/>
    <x v="1"/>
    <x v="23"/>
    <x v="23"/>
  </r>
  <r>
    <x v="247"/>
    <x v="105"/>
    <x v="21"/>
    <x v="86"/>
    <x v="10"/>
    <x v="89"/>
    <x v="0"/>
    <x v="14"/>
    <x v="30"/>
    <x v="3"/>
    <x v="8"/>
    <x v="63"/>
    <x v="3"/>
    <x v="12"/>
    <x v="12"/>
    <x v="3"/>
    <x v="1"/>
    <x v="6"/>
    <x v="0"/>
    <x v="25"/>
    <x v="25"/>
  </r>
  <r>
    <x v="248"/>
    <x v="106"/>
    <x v="64"/>
    <x v="87"/>
    <x v="23"/>
    <x v="94"/>
    <x v="3"/>
    <x v="0"/>
    <x v="38"/>
    <x v="17"/>
    <x v="8"/>
    <x v="58"/>
    <x v="13"/>
    <x v="11"/>
    <x v="11"/>
    <x v="0"/>
    <x v="9"/>
    <x v="0"/>
    <x v="1"/>
    <x v="1"/>
    <x v="1"/>
  </r>
  <r>
    <x v="249"/>
    <x v="107"/>
    <x v="65"/>
    <x v="72"/>
    <x v="26"/>
    <x v="95"/>
    <x v="4"/>
    <x v="23"/>
    <x v="59"/>
    <x v="3"/>
    <x v="8"/>
    <x v="65"/>
    <x v="5"/>
    <x v="15"/>
    <x v="15"/>
    <x v="4"/>
    <x v="6"/>
    <x v="5"/>
    <x v="0"/>
    <x v="40"/>
    <x v="40"/>
  </r>
  <r>
    <x v="250"/>
    <x v="96"/>
    <x v="66"/>
    <x v="78"/>
    <x v="25"/>
    <x v="50"/>
    <x v="6"/>
    <x v="9"/>
    <x v="47"/>
    <x v="2"/>
    <x v="7"/>
    <x v="60"/>
    <x v="2"/>
    <x v="18"/>
    <x v="6"/>
    <x v="1"/>
    <x v="7"/>
    <x v="7"/>
    <x v="0"/>
    <x v="25"/>
    <x v="25"/>
  </r>
  <r>
    <x v="251"/>
    <x v="88"/>
    <x v="67"/>
    <x v="71"/>
    <x v="10"/>
    <x v="96"/>
    <x v="0"/>
    <x v="3"/>
    <x v="60"/>
    <x v="19"/>
    <x v="7"/>
    <x v="66"/>
    <x v="0"/>
    <x v="19"/>
    <x v="18"/>
    <x v="1"/>
    <x v="4"/>
    <x v="3"/>
    <x v="0"/>
    <x v="6"/>
    <x v="6"/>
  </r>
  <r>
    <x v="252"/>
    <x v="108"/>
    <x v="63"/>
    <x v="88"/>
    <x v="26"/>
    <x v="57"/>
    <x v="3"/>
    <x v="8"/>
    <x v="51"/>
    <x v="7"/>
    <x v="9"/>
    <x v="62"/>
    <x v="7"/>
    <x v="17"/>
    <x v="17"/>
    <x v="1"/>
    <x v="3"/>
    <x v="3"/>
    <x v="2"/>
    <x v="43"/>
    <x v="43"/>
  </r>
  <r>
    <x v="253"/>
    <x v="94"/>
    <x v="18"/>
    <x v="76"/>
    <x v="25"/>
    <x v="91"/>
    <x v="6"/>
    <x v="22"/>
    <x v="40"/>
    <x v="2"/>
    <x v="7"/>
    <x v="61"/>
    <x v="2"/>
    <x v="4"/>
    <x v="4"/>
    <x v="1"/>
    <x v="8"/>
    <x v="1"/>
    <x v="1"/>
    <x v="5"/>
    <x v="5"/>
  </r>
  <r>
    <x v="254"/>
    <x v="79"/>
    <x v="68"/>
    <x v="62"/>
    <x v="23"/>
    <x v="92"/>
    <x v="2"/>
    <x v="0"/>
    <x v="38"/>
    <x v="17"/>
    <x v="8"/>
    <x v="58"/>
    <x v="13"/>
    <x v="6"/>
    <x v="6"/>
    <x v="0"/>
    <x v="9"/>
    <x v="0"/>
    <x v="1"/>
    <x v="7"/>
    <x v="7"/>
  </r>
  <r>
    <x v="255"/>
    <x v="102"/>
    <x v="62"/>
    <x v="84"/>
    <x v="10"/>
    <x v="89"/>
    <x v="3"/>
    <x v="14"/>
    <x v="30"/>
    <x v="3"/>
    <x v="8"/>
    <x v="63"/>
    <x v="3"/>
    <x v="12"/>
    <x v="12"/>
    <x v="3"/>
    <x v="1"/>
    <x v="6"/>
    <x v="0"/>
    <x v="31"/>
    <x v="31"/>
  </r>
  <r>
    <x v="256"/>
    <x v="103"/>
    <x v="63"/>
    <x v="85"/>
    <x v="23"/>
    <x v="94"/>
    <x v="6"/>
    <x v="0"/>
    <x v="38"/>
    <x v="17"/>
    <x v="8"/>
    <x v="58"/>
    <x v="13"/>
    <x v="11"/>
    <x v="11"/>
    <x v="0"/>
    <x v="9"/>
    <x v="0"/>
    <x v="1"/>
    <x v="6"/>
    <x v="6"/>
  </r>
  <r>
    <x v="257"/>
    <x v="104"/>
    <x v="38"/>
    <x v="58"/>
    <x v="26"/>
    <x v="95"/>
    <x v="4"/>
    <x v="23"/>
    <x v="59"/>
    <x v="3"/>
    <x v="8"/>
    <x v="65"/>
    <x v="5"/>
    <x v="15"/>
    <x v="15"/>
    <x v="4"/>
    <x v="6"/>
    <x v="5"/>
    <x v="0"/>
    <x v="40"/>
    <x v="40"/>
  </r>
  <r>
    <x v="258"/>
    <x v="105"/>
    <x v="21"/>
    <x v="86"/>
    <x v="25"/>
    <x v="50"/>
    <x v="0"/>
    <x v="9"/>
    <x v="47"/>
    <x v="2"/>
    <x v="7"/>
    <x v="60"/>
    <x v="2"/>
    <x v="18"/>
    <x v="6"/>
    <x v="1"/>
    <x v="7"/>
    <x v="7"/>
    <x v="0"/>
    <x v="10"/>
    <x v="10"/>
  </r>
  <r>
    <x v="259"/>
    <x v="106"/>
    <x v="64"/>
    <x v="87"/>
    <x v="10"/>
    <x v="96"/>
    <x v="3"/>
    <x v="3"/>
    <x v="60"/>
    <x v="19"/>
    <x v="7"/>
    <x v="66"/>
    <x v="0"/>
    <x v="19"/>
    <x v="18"/>
    <x v="1"/>
    <x v="4"/>
    <x v="3"/>
    <x v="0"/>
    <x v="3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6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1"/>
    <x v="1"/>
  </r>
  <r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1"/>
    <x v="2"/>
    <x v="0"/>
  </r>
  <r>
    <x v="3"/>
    <x v="3"/>
    <x v="3"/>
    <x v="3"/>
    <x v="3"/>
    <x v="3"/>
    <x v="3"/>
    <x v="3"/>
    <x v="3"/>
    <x v="3"/>
    <x v="3"/>
    <x v="3"/>
    <x v="3"/>
    <x v="3"/>
    <x v="3"/>
    <x v="0"/>
    <x v="3"/>
    <x v="3"/>
    <x v="2"/>
    <x v="3"/>
    <x v="2"/>
  </r>
  <r>
    <x v="4"/>
    <x v="4"/>
    <x v="4"/>
    <x v="4"/>
    <x v="4"/>
    <x v="4"/>
    <x v="1"/>
    <x v="4"/>
    <x v="4"/>
    <x v="4"/>
    <x v="4"/>
    <x v="4"/>
    <x v="4"/>
    <x v="4"/>
    <x v="4"/>
    <x v="0"/>
    <x v="4"/>
    <x v="4"/>
    <x v="0"/>
    <x v="4"/>
    <x v="2"/>
  </r>
  <r>
    <x v="5"/>
    <x v="5"/>
    <x v="5"/>
    <x v="5"/>
    <x v="5"/>
    <x v="5"/>
    <x v="1"/>
    <x v="5"/>
    <x v="5"/>
    <x v="5"/>
    <x v="5"/>
    <x v="5"/>
    <x v="5"/>
    <x v="5"/>
    <x v="5"/>
    <x v="3"/>
    <x v="5"/>
    <x v="5"/>
    <x v="0"/>
    <x v="5"/>
    <x v="3"/>
  </r>
  <r>
    <x v="6"/>
    <x v="6"/>
    <x v="6"/>
    <x v="6"/>
    <x v="6"/>
    <x v="6"/>
    <x v="0"/>
    <x v="3"/>
    <x v="6"/>
    <x v="6"/>
    <x v="6"/>
    <x v="6"/>
    <x v="6"/>
    <x v="6"/>
    <x v="6"/>
    <x v="1"/>
    <x v="3"/>
    <x v="1"/>
    <x v="2"/>
    <x v="6"/>
    <x v="0"/>
  </r>
  <r>
    <x v="7"/>
    <x v="7"/>
    <x v="7"/>
    <x v="7"/>
    <x v="7"/>
    <x v="7"/>
    <x v="1"/>
    <x v="6"/>
    <x v="7"/>
    <x v="7"/>
    <x v="7"/>
    <x v="7"/>
    <x v="7"/>
    <x v="7"/>
    <x v="7"/>
    <x v="1"/>
    <x v="1"/>
    <x v="6"/>
    <x v="0"/>
    <x v="7"/>
    <x v="0"/>
  </r>
  <r>
    <x v="8"/>
    <x v="8"/>
    <x v="8"/>
    <x v="8"/>
    <x v="8"/>
    <x v="8"/>
    <x v="1"/>
    <x v="7"/>
    <x v="8"/>
    <x v="8"/>
    <x v="8"/>
    <x v="8"/>
    <x v="8"/>
    <x v="8"/>
    <x v="8"/>
    <x v="3"/>
    <x v="6"/>
    <x v="7"/>
    <x v="0"/>
    <x v="8"/>
    <x v="0"/>
  </r>
  <r>
    <x v="9"/>
    <x v="9"/>
    <x v="9"/>
    <x v="9"/>
    <x v="9"/>
    <x v="9"/>
    <x v="0"/>
    <x v="8"/>
    <x v="9"/>
    <x v="9"/>
    <x v="9"/>
    <x v="9"/>
    <x v="0"/>
    <x v="9"/>
    <x v="9"/>
    <x v="0"/>
    <x v="0"/>
    <x v="3"/>
    <x v="0"/>
    <x v="9"/>
    <x v="3"/>
  </r>
  <r>
    <x v="10"/>
    <x v="10"/>
    <x v="10"/>
    <x v="10"/>
    <x v="10"/>
    <x v="10"/>
    <x v="3"/>
    <x v="0"/>
    <x v="10"/>
    <x v="10"/>
    <x v="5"/>
    <x v="10"/>
    <x v="0"/>
    <x v="0"/>
    <x v="0"/>
    <x v="0"/>
    <x v="0"/>
    <x v="0"/>
    <x v="0"/>
    <x v="1"/>
    <x v="0"/>
  </r>
  <r>
    <x v="11"/>
    <x v="11"/>
    <x v="11"/>
    <x v="11"/>
    <x v="11"/>
    <x v="11"/>
    <x v="1"/>
    <x v="4"/>
    <x v="11"/>
    <x v="11"/>
    <x v="6"/>
    <x v="11"/>
    <x v="9"/>
    <x v="1"/>
    <x v="1"/>
    <x v="1"/>
    <x v="4"/>
    <x v="8"/>
    <x v="2"/>
    <x v="4"/>
    <x v="1"/>
  </r>
  <r>
    <x v="12"/>
    <x v="12"/>
    <x v="12"/>
    <x v="12"/>
    <x v="12"/>
    <x v="12"/>
    <x v="0"/>
    <x v="9"/>
    <x v="12"/>
    <x v="12"/>
    <x v="7"/>
    <x v="12"/>
    <x v="10"/>
    <x v="2"/>
    <x v="2"/>
    <x v="3"/>
    <x v="7"/>
    <x v="7"/>
    <x v="0"/>
    <x v="10"/>
    <x v="0"/>
  </r>
  <r>
    <x v="13"/>
    <x v="13"/>
    <x v="13"/>
    <x v="13"/>
    <x v="13"/>
    <x v="13"/>
    <x v="1"/>
    <x v="10"/>
    <x v="13"/>
    <x v="13"/>
    <x v="8"/>
    <x v="13"/>
    <x v="11"/>
    <x v="3"/>
    <x v="3"/>
    <x v="1"/>
    <x v="3"/>
    <x v="9"/>
    <x v="0"/>
    <x v="11"/>
    <x v="2"/>
  </r>
  <r>
    <x v="14"/>
    <x v="14"/>
    <x v="14"/>
    <x v="14"/>
    <x v="14"/>
    <x v="14"/>
    <x v="1"/>
    <x v="11"/>
    <x v="14"/>
    <x v="14"/>
    <x v="9"/>
    <x v="14"/>
    <x v="12"/>
    <x v="4"/>
    <x v="4"/>
    <x v="3"/>
    <x v="6"/>
    <x v="10"/>
    <x v="2"/>
    <x v="12"/>
    <x v="2"/>
  </r>
  <r>
    <x v="15"/>
    <x v="15"/>
    <x v="15"/>
    <x v="15"/>
    <x v="15"/>
    <x v="6"/>
    <x v="1"/>
    <x v="3"/>
    <x v="6"/>
    <x v="6"/>
    <x v="5"/>
    <x v="6"/>
    <x v="6"/>
    <x v="6"/>
    <x v="6"/>
    <x v="1"/>
    <x v="3"/>
    <x v="1"/>
    <x v="2"/>
    <x v="0"/>
    <x v="0"/>
  </r>
  <r>
    <x v="16"/>
    <x v="16"/>
    <x v="16"/>
    <x v="16"/>
    <x v="16"/>
    <x v="15"/>
    <x v="0"/>
    <x v="6"/>
    <x v="15"/>
    <x v="15"/>
    <x v="6"/>
    <x v="15"/>
    <x v="10"/>
    <x v="7"/>
    <x v="7"/>
    <x v="3"/>
    <x v="1"/>
    <x v="6"/>
    <x v="0"/>
    <x v="13"/>
    <x v="0"/>
  </r>
  <r>
    <x v="17"/>
    <x v="17"/>
    <x v="17"/>
    <x v="17"/>
    <x v="5"/>
    <x v="16"/>
    <x v="3"/>
    <x v="1"/>
    <x v="16"/>
    <x v="3"/>
    <x v="7"/>
    <x v="16"/>
    <x v="3"/>
    <x v="8"/>
    <x v="8"/>
    <x v="1"/>
    <x v="8"/>
    <x v="1"/>
    <x v="1"/>
    <x v="14"/>
    <x v="0"/>
  </r>
  <r>
    <x v="18"/>
    <x v="18"/>
    <x v="18"/>
    <x v="18"/>
    <x v="17"/>
    <x v="17"/>
    <x v="1"/>
    <x v="0"/>
    <x v="17"/>
    <x v="9"/>
    <x v="8"/>
    <x v="17"/>
    <x v="0"/>
    <x v="9"/>
    <x v="9"/>
    <x v="0"/>
    <x v="9"/>
    <x v="4"/>
    <x v="0"/>
    <x v="15"/>
    <x v="3"/>
  </r>
  <r>
    <x v="19"/>
    <x v="19"/>
    <x v="19"/>
    <x v="19"/>
    <x v="18"/>
    <x v="18"/>
    <x v="0"/>
    <x v="12"/>
    <x v="18"/>
    <x v="8"/>
    <x v="9"/>
    <x v="18"/>
    <x v="8"/>
    <x v="10"/>
    <x v="10"/>
    <x v="1"/>
    <x v="4"/>
    <x v="3"/>
    <x v="0"/>
    <x v="16"/>
    <x v="0"/>
  </r>
  <r>
    <x v="20"/>
    <x v="20"/>
    <x v="15"/>
    <x v="20"/>
    <x v="19"/>
    <x v="4"/>
    <x v="1"/>
    <x v="3"/>
    <x v="4"/>
    <x v="4"/>
    <x v="5"/>
    <x v="4"/>
    <x v="4"/>
    <x v="11"/>
    <x v="11"/>
    <x v="0"/>
    <x v="0"/>
    <x v="8"/>
    <x v="2"/>
    <x v="0"/>
    <x v="4"/>
  </r>
  <r>
    <x v="21"/>
    <x v="21"/>
    <x v="20"/>
    <x v="21"/>
    <x v="0"/>
    <x v="19"/>
    <x v="0"/>
    <x v="13"/>
    <x v="19"/>
    <x v="10"/>
    <x v="6"/>
    <x v="19"/>
    <x v="0"/>
    <x v="12"/>
    <x v="12"/>
    <x v="1"/>
    <x v="9"/>
    <x v="0"/>
    <x v="3"/>
    <x v="17"/>
    <x v="0"/>
  </r>
  <r>
    <x v="22"/>
    <x v="22"/>
    <x v="21"/>
    <x v="22"/>
    <x v="9"/>
    <x v="20"/>
    <x v="1"/>
    <x v="10"/>
    <x v="9"/>
    <x v="9"/>
    <x v="7"/>
    <x v="9"/>
    <x v="0"/>
    <x v="5"/>
    <x v="5"/>
    <x v="0"/>
    <x v="3"/>
    <x v="1"/>
    <x v="0"/>
    <x v="11"/>
    <x v="3"/>
  </r>
  <r>
    <x v="23"/>
    <x v="23"/>
    <x v="0"/>
    <x v="23"/>
    <x v="3"/>
    <x v="21"/>
    <x v="0"/>
    <x v="4"/>
    <x v="20"/>
    <x v="16"/>
    <x v="8"/>
    <x v="20"/>
    <x v="13"/>
    <x v="13"/>
    <x v="13"/>
    <x v="1"/>
    <x v="0"/>
    <x v="8"/>
    <x v="2"/>
    <x v="18"/>
    <x v="3"/>
  </r>
  <r>
    <x v="24"/>
    <x v="24"/>
    <x v="0"/>
    <x v="24"/>
    <x v="7"/>
    <x v="22"/>
    <x v="1"/>
    <x v="6"/>
    <x v="21"/>
    <x v="7"/>
    <x v="9"/>
    <x v="21"/>
    <x v="7"/>
    <x v="14"/>
    <x v="14"/>
    <x v="3"/>
    <x v="1"/>
    <x v="6"/>
    <x v="0"/>
    <x v="7"/>
    <x v="3"/>
  </r>
  <r>
    <x v="25"/>
    <x v="25"/>
    <x v="15"/>
    <x v="25"/>
    <x v="2"/>
    <x v="23"/>
    <x v="1"/>
    <x v="14"/>
    <x v="22"/>
    <x v="2"/>
    <x v="5"/>
    <x v="22"/>
    <x v="2"/>
    <x v="2"/>
    <x v="2"/>
    <x v="1"/>
    <x v="7"/>
    <x v="7"/>
    <x v="0"/>
    <x v="10"/>
    <x v="0"/>
  </r>
  <r>
    <x v="26"/>
    <x v="26"/>
    <x v="22"/>
    <x v="26"/>
    <x v="1"/>
    <x v="24"/>
    <x v="1"/>
    <x v="5"/>
    <x v="23"/>
    <x v="5"/>
    <x v="6"/>
    <x v="23"/>
    <x v="5"/>
    <x v="3"/>
    <x v="3"/>
    <x v="3"/>
    <x v="5"/>
    <x v="11"/>
    <x v="0"/>
    <x v="5"/>
    <x v="2"/>
  </r>
  <r>
    <x v="27"/>
    <x v="27"/>
    <x v="23"/>
    <x v="27"/>
    <x v="20"/>
    <x v="25"/>
    <x v="1"/>
    <x v="15"/>
    <x v="24"/>
    <x v="6"/>
    <x v="7"/>
    <x v="24"/>
    <x v="6"/>
    <x v="7"/>
    <x v="7"/>
    <x v="1"/>
    <x v="6"/>
    <x v="5"/>
    <x v="2"/>
    <x v="19"/>
    <x v="0"/>
  </r>
  <r>
    <x v="28"/>
    <x v="28"/>
    <x v="24"/>
    <x v="28"/>
    <x v="4"/>
    <x v="26"/>
    <x v="0"/>
    <x v="16"/>
    <x v="20"/>
    <x v="16"/>
    <x v="8"/>
    <x v="20"/>
    <x v="13"/>
    <x v="11"/>
    <x v="11"/>
    <x v="0"/>
    <x v="9"/>
    <x v="0"/>
    <x v="3"/>
    <x v="11"/>
    <x v="4"/>
  </r>
  <r>
    <x v="29"/>
    <x v="29"/>
    <x v="25"/>
    <x v="29"/>
    <x v="10"/>
    <x v="3"/>
    <x v="0"/>
    <x v="6"/>
    <x v="3"/>
    <x v="3"/>
    <x v="9"/>
    <x v="3"/>
    <x v="3"/>
    <x v="12"/>
    <x v="12"/>
    <x v="1"/>
    <x v="3"/>
    <x v="1"/>
    <x v="2"/>
    <x v="13"/>
    <x v="0"/>
  </r>
  <r>
    <x v="30"/>
    <x v="30"/>
    <x v="14"/>
    <x v="30"/>
    <x v="14"/>
    <x v="27"/>
    <x v="1"/>
    <x v="1"/>
    <x v="25"/>
    <x v="17"/>
    <x v="9"/>
    <x v="25"/>
    <x v="14"/>
    <x v="5"/>
    <x v="5"/>
    <x v="1"/>
    <x v="1"/>
    <x v="6"/>
    <x v="0"/>
    <x v="1"/>
    <x v="3"/>
  </r>
  <r>
    <x v="31"/>
    <x v="31"/>
    <x v="19"/>
    <x v="31"/>
    <x v="18"/>
    <x v="28"/>
    <x v="3"/>
    <x v="13"/>
    <x v="26"/>
    <x v="3"/>
    <x v="8"/>
    <x v="26"/>
    <x v="3"/>
    <x v="0"/>
    <x v="0"/>
    <x v="0"/>
    <x v="0"/>
    <x v="0"/>
    <x v="1"/>
    <x v="20"/>
    <x v="0"/>
  </r>
  <r>
    <x v="32"/>
    <x v="32"/>
    <x v="26"/>
    <x v="32"/>
    <x v="8"/>
    <x v="29"/>
    <x v="1"/>
    <x v="3"/>
    <x v="27"/>
    <x v="8"/>
    <x v="9"/>
    <x v="27"/>
    <x v="8"/>
    <x v="1"/>
    <x v="1"/>
    <x v="1"/>
    <x v="3"/>
    <x v="1"/>
    <x v="2"/>
    <x v="0"/>
    <x v="1"/>
  </r>
  <r>
    <x v="33"/>
    <x v="33"/>
    <x v="10"/>
    <x v="33"/>
    <x v="11"/>
    <x v="30"/>
    <x v="0"/>
    <x v="4"/>
    <x v="11"/>
    <x v="11"/>
    <x v="8"/>
    <x v="11"/>
    <x v="9"/>
    <x v="2"/>
    <x v="2"/>
    <x v="0"/>
    <x v="4"/>
    <x v="8"/>
    <x v="0"/>
    <x v="18"/>
    <x v="0"/>
  </r>
  <r>
    <x v="34"/>
    <x v="34"/>
    <x v="4"/>
    <x v="34"/>
    <x v="9"/>
    <x v="31"/>
    <x v="1"/>
    <x v="3"/>
    <x v="9"/>
    <x v="9"/>
    <x v="7"/>
    <x v="9"/>
    <x v="0"/>
    <x v="3"/>
    <x v="3"/>
    <x v="1"/>
    <x v="3"/>
    <x v="3"/>
    <x v="2"/>
    <x v="0"/>
    <x v="2"/>
  </r>
  <r>
    <x v="35"/>
    <x v="35"/>
    <x v="18"/>
    <x v="35"/>
    <x v="17"/>
    <x v="32"/>
    <x v="1"/>
    <x v="16"/>
    <x v="28"/>
    <x v="7"/>
    <x v="6"/>
    <x v="28"/>
    <x v="7"/>
    <x v="4"/>
    <x v="4"/>
    <x v="0"/>
    <x v="9"/>
    <x v="0"/>
    <x v="3"/>
    <x v="17"/>
    <x v="2"/>
  </r>
  <r>
    <x v="36"/>
    <x v="36"/>
    <x v="19"/>
    <x v="36"/>
    <x v="6"/>
    <x v="33"/>
    <x v="1"/>
    <x v="6"/>
    <x v="6"/>
    <x v="6"/>
    <x v="9"/>
    <x v="6"/>
    <x v="6"/>
    <x v="6"/>
    <x v="6"/>
    <x v="3"/>
    <x v="1"/>
    <x v="6"/>
    <x v="0"/>
    <x v="7"/>
    <x v="0"/>
  </r>
  <r>
    <x v="37"/>
    <x v="37"/>
    <x v="20"/>
    <x v="37"/>
    <x v="0"/>
    <x v="34"/>
    <x v="0"/>
    <x v="9"/>
    <x v="19"/>
    <x v="10"/>
    <x v="8"/>
    <x v="19"/>
    <x v="0"/>
    <x v="12"/>
    <x v="12"/>
    <x v="1"/>
    <x v="4"/>
    <x v="8"/>
    <x v="2"/>
    <x v="10"/>
    <x v="0"/>
  </r>
  <r>
    <x v="38"/>
    <x v="38"/>
    <x v="19"/>
    <x v="38"/>
    <x v="5"/>
    <x v="35"/>
    <x v="1"/>
    <x v="17"/>
    <x v="29"/>
    <x v="3"/>
    <x v="7"/>
    <x v="29"/>
    <x v="3"/>
    <x v="5"/>
    <x v="5"/>
    <x v="3"/>
    <x v="5"/>
    <x v="11"/>
    <x v="0"/>
    <x v="21"/>
    <x v="3"/>
  </r>
  <r>
    <x v="39"/>
    <x v="39"/>
    <x v="14"/>
    <x v="39"/>
    <x v="3"/>
    <x v="36"/>
    <x v="0"/>
    <x v="0"/>
    <x v="20"/>
    <x v="16"/>
    <x v="9"/>
    <x v="20"/>
    <x v="13"/>
    <x v="0"/>
    <x v="0"/>
    <x v="0"/>
    <x v="0"/>
    <x v="0"/>
    <x v="1"/>
    <x v="0"/>
    <x v="0"/>
  </r>
  <r>
    <x v="40"/>
    <x v="40"/>
    <x v="27"/>
    <x v="40"/>
    <x v="7"/>
    <x v="37"/>
    <x v="1"/>
    <x v="1"/>
    <x v="21"/>
    <x v="7"/>
    <x v="8"/>
    <x v="21"/>
    <x v="7"/>
    <x v="1"/>
    <x v="1"/>
    <x v="1"/>
    <x v="1"/>
    <x v="6"/>
    <x v="0"/>
    <x v="1"/>
    <x v="1"/>
  </r>
  <r>
    <x v="41"/>
    <x v="41"/>
    <x v="11"/>
    <x v="41"/>
    <x v="2"/>
    <x v="38"/>
    <x v="1"/>
    <x v="4"/>
    <x v="22"/>
    <x v="2"/>
    <x v="7"/>
    <x v="22"/>
    <x v="2"/>
    <x v="2"/>
    <x v="2"/>
    <x v="3"/>
    <x v="3"/>
    <x v="1"/>
    <x v="2"/>
    <x v="4"/>
    <x v="0"/>
  </r>
  <r>
    <x v="42"/>
    <x v="42"/>
    <x v="20"/>
    <x v="42"/>
    <x v="1"/>
    <x v="39"/>
    <x v="1"/>
    <x v="8"/>
    <x v="30"/>
    <x v="3"/>
    <x v="9"/>
    <x v="30"/>
    <x v="3"/>
    <x v="3"/>
    <x v="3"/>
    <x v="1"/>
    <x v="8"/>
    <x v="1"/>
    <x v="1"/>
    <x v="3"/>
    <x v="2"/>
  </r>
  <r>
    <x v="43"/>
    <x v="43"/>
    <x v="15"/>
    <x v="43"/>
    <x v="15"/>
    <x v="40"/>
    <x v="3"/>
    <x v="18"/>
    <x v="31"/>
    <x v="17"/>
    <x v="8"/>
    <x v="31"/>
    <x v="14"/>
    <x v="4"/>
    <x v="4"/>
    <x v="0"/>
    <x v="9"/>
    <x v="4"/>
    <x v="3"/>
    <x v="17"/>
    <x v="2"/>
  </r>
  <r>
    <x v="44"/>
    <x v="44"/>
    <x v="28"/>
    <x v="44"/>
    <x v="16"/>
    <x v="41"/>
    <x v="1"/>
    <x v="6"/>
    <x v="15"/>
    <x v="15"/>
    <x v="7"/>
    <x v="15"/>
    <x v="10"/>
    <x v="6"/>
    <x v="6"/>
    <x v="1"/>
    <x v="1"/>
    <x v="6"/>
    <x v="0"/>
    <x v="7"/>
    <x v="0"/>
  </r>
  <r>
    <x v="45"/>
    <x v="45"/>
    <x v="27"/>
    <x v="45"/>
    <x v="9"/>
    <x v="42"/>
    <x v="0"/>
    <x v="1"/>
    <x v="9"/>
    <x v="9"/>
    <x v="9"/>
    <x v="9"/>
    <x v="0"/>
    <x v="2"/>
    <x v="2"/>
    <x v="3"/>
    <x v="3"/>
    <x v="3"/>
    <x v="2"/>
    <x v="3"/>
    <x v="0"/>
  </r>
  <r>
    <x v="46"/>
    <x v="46"/>
    <x v="14"/>
    <x v="46"/>
    <x v="17"/>
    <x v="43"/>
    <x v="3"/>
    <x v="19"/>
    <x v="28"/>
    <x v="7"/>
    <x v="8"/>
    <x v="28"/>
    <x v="7"/>
    <x v="3"/>
    <x v="3"/>
    <x v="0"/>
    <x v="2"/>
    <x v="12"/>
    <x v="3"/>
    <x v="22"/>
    <x v="2"/>
  </r>
  <r>
    <x v="47"/>
    <x v="47"/>
    <x v="15"/>
    <x v="47"/>
    <x v="20"/>
    <x v="44"/>
    <x v="1"/>
    <x v="14"/>
    <x v="24"/>
    <x v="6"/>
    <x v="7"/>
    <x v="24"/>
    <x v="6"/>
    <x v="0"/>
    <x v="0"/>
    <x v="1"/>
    <x v="6"/>
    <x v="5"/>
    <x v="0"/>
    <x v="10"/>
    <x v="0"/>
  </r>
  <r>
    <x v="48"/>
    <x v="48"/>
    <x v="14"/>
    <x v="48"/>
    <x v="0"/>
    <x v="45"/>
    <x v="1"/>
    <x v="14"/>
    <x v="32"/>
    <x v="10"/>
    <x v="9"/>
    <x v="32"/>
    <x v="0"/>
    <x v="1"/>
    <x v="1"/>
    <x v="3"/>
    <x v="7"/>
    <x v="7"/>
    <x v="0"/>
    <x v="10"/>
    <x v="1"/>
  </r>
  <r>
    <x v="49"/>
    <x v="49"/>
    <x v="15"/>
    <x v="49"/>
    <x v="18"/>
    <x v="46"/>
    <x v="0"/>
    <x v="13"/>
    <x v="3"/>
    <x v="3"/>
    <x v="8"/>
    <x v="3"/>
    <x v="3"/>
    <x v="2"/>
    <x v="2"/>
    <x v="0"/>
    <x v="0"/>
    <x v="0"/>
    <x v="1"/>
    <x v="17"/>
    <x v="0"/>
  </r>
  <r>
    <x v="50"/>
    <x v="41"/>
    <x v="11"/>
    <x v="41"/>
    <x v="2"/>
    <x v="47"/>
    <x v="1"/>
    <x v="9"/>
    <x v="33"/>
    <x v="2"/>
    <x v="7"/>
    <x v="33"/>
    <x v="2"/>
    <x v="5"/>
    <x v="5"/>
    <x v="1"/>
    <x v="7"/>
    <x v="7"/>
    <x v="0"/>
    <x v="6"/>
    <x v="3"/>
  </r>
  <r>
    <x v="51"/>
    <x v="32"/>
    <x v="26"/>
    <x v="32"/>
    <x v="8"/>
    <x v="48"/>
    <x v="1"/>
    <x v="15"/>
    <x v="8"/>
    <x v="8"/>
    <x v="9"/>
    <x v="8"/>
    <x v="8"/>
    <x v="0"/>
    <x v="0"/>
    <x v="3"/>
    <x v="6"/>
    <x v="5"/>
    <x v="2"/>
    <x v="19"/>
    <x v="0"/>
  </r>
  <r>
    <x v="52"/>
    <x v="34"/>
    <x v="4"/>
    <x v="34"/>
    <x v="9"/>
    <x v="9"/>
    <x v="1"/>
    <x v="8"/>
    <x v="9"/>
    <x v="9"/>
    <x v="8"/>
    <x v="9"/>
    <x v="0"/>
    <x v="6"/>
    <x v="6"/>
    <x v="1"/>
    <x v="3"/>
    <x v="3"/>
    <x v="2"/>
    <x v="3"/>
    <x v="0"/>
  </r>
  <r>
    <x v="53"/>
    <x v="35"/>
    <x v="18"/>
    <x v="35"/>
    <x v="17"/>
    <x v="17"/>
    <x v="1"/>
    <x v="0"/>
    <x v="17"/>
    <x v="13"/>
    <x v="6"/>
    <x v="34"/>
    <x v="11"/>
    <x v="2"/>
    <x v="2"/>
    <x v="0"/>
    <x v="9"/>
    <x v="4"/>
    <x v="0"/>
    <x v="15"/>
    <x v="0"/>
  </r>
  <r>
    <x v="54"/>
    <x v="36"/>
    <x v="19"/>
    <x v="36"/>
    <x v="6"/>
    <x v="6"/>
    <x v="0"/>
    <x v="3"/>
    <x v="6"/>
    <x v="6"/>
    <x v="9"/>
    <x v="6"/>
    <x v="6"/>
    <x v="3"/>
    <x v="3"/>
    <x v="3"/>
    <x v="1"/>
    <x v="6"/>
    <x v="0"/>
    <x v="6"/>
    <x v="2"/>
  </r>
  <r>
    <x v="55"/>
    <x v="37"/>
    <x v="20"/>
    <x v="37"/>
    <x v="0"/>
    <x v="0"/>
    <x v="1"/>
    <x v="4"/>
    <x v="19"/>
    <x v="10"/>
    <x v="8"/>
    <x v="19"/>
    <x v="0"/>
    <x v="0"/>
    <x v="0"/>
    <x v="1"/>
    <x v="0"/>
    <x v="0"/>
    <x v="1"/>
    <x v="4"/>
    <x v="0"/>
  </r>
  <r>
    <x v="56"/>
    <x v="38"/>
    <x v="19"/>
    <x v="38"/>
    <x v="5"/>
    <x v="5"/>
    <x v="1"/>
    <x v="20"/>
    <x v="5"/>
    <x v="5"/>
    <x v="7"/>
    <x v="5"/>
    <x v="5"/>
    <x v="6"/>
    <x v="6"/>
    <x v="3"/>
    <x v="5"/>
    <x v="11"/>
    <x v="0"/>
    <x v="23"/>
    <x v="0"/>
  </r>
  <r>
    <x v="57"/>
    <x v="39"/>
    <x v="14"/>
    <x v="39"/>
    <x v="3"/>
    <x v="21"/>
    <x v="0"/>
    <x v="4"/>
    <x v="20"/>
    <x v="16"/>
    <x v="9"/>
    <x v="20"/>
    <x v="13"/>
    <x v="2"/>
    <x v="2"/>
    <x v="0"/>
    <x v="0"/>
    <x v="0"/>
    <x v="1"/>
    <x v="18"/>
    <x v="0"/>
  </r>
  <r>
    <x v="58"/>
    <x v="40"/>
    <x v="27"/>
    <x v="40"/>
    <x v="7"/>
    <x v="7"/>
    <x v="1"/>
    <x v="14"/>
    <x v="7"/>
    <x v="7"/>
    <x v="8"/>
    <x v="7"/>
    <x v="7"/>
    <x v="3"/>
    <x v="3"/>
    <x v="1"/>
    <x v="3"/>
    <x v="3"/>
    <x v="2"/>
    <x v="10"/>
    <x v="2"/>
  </r>
  <r>
    <x v="59"/>
    <x v="41"/>
    <x v="11"/>
    <x v="41"/>
    <x v="2"/>
    <x v="49"/>
    <x v="1"/>
    <x v="8"/>
    <x v="22"/>
    <x v="2"/>
    <x v="7"/>
    <x v="22"/>
    <x v="2"/>
    <x v="4"/>
    <x v="4"/>
    <x v="3"/>
    <x v="1"/>
    <x v="6"/>
    <x v="0"/>
    <x v="3"/>
    <x v="2"/>
  </r>
  <r>
    <x v="60"/>
    <x v="48"/>
    <x v="14"/>
    <x v="48"/>
    <x v="1"/>
    <x v="4"/>
    <x v="1"/>
    <x v="14"/>
    <x v="4"/>
    <x v="4"/>
    <x v="9"/>
    <x v="4"/>
    <x v="4"/>
    <x v="1"/>
    <x v="1"/>
    <x v="1"/>
    <x v="1"/>
    <x v="6"/>
    <x v="0"/>
    <x v="10"/>
    <x v="1"/>
  </r>
  <r>
    <x v="61"/>
    <x v="47"/>
    <x v="15"/>
    <x v="47"/>
    <x v="20"/>
    <x v="1"/>
    <x v="1"/>
    <x v="17"/>
    <x v="1"/>
    <x v="1"/>
    <x v="8"/>
    <x v="1"/>
    <x v="1"/>
    <x v="2"/>
    <x v="2"/>
    <x v="3"/>
    <x v="5"/>
    <x v="11"/>
    <x v="0"/>
    <x v="21"/>
    <x v="0"/>
  </r>
  <r>
    <x v="62"/>
    <x v="46"/>
    <x v="14"/>
    <x v="46"/>
    <x v="17"/>
    <x v="50"/>
    <x v="1"/>
    <x v="1"/>
    <x v="2"/>
    <x v="2"/>
    <x v="7"/>
    <x v="2"/>
    <x v="2"/>
    <x v="5"/>
    <x v="5"/>
    <x v="1"/>
    <x v="7"/>
    <x v="7"/>
    <x v="0"/>
    <x v="1"/>
    <x v="3"/>
  </r>
  <r>
    <x v="63"/>
    <x v="43"/>
    <x v="15"/>
    <x v="43"/>
    <x v="15"/>
    <x v="51"/>
    <x v="3"/>
    <x v="18"/>
    <x v="31"/>
    <x v="17"/>
    <x v="9"/>
    <x v="31"/>
    <x v="14"/>
    <x v="0"/>
    <x v="0"/>
    <x v="0"/>
    <x v="9"/>
    <x v="4"/>
    <x v="3"/>
    <x v="17"/>
    <x v="0"/>
  </r>
  <r>
    <x v="64"/>
    <x v="44"/>
    <x v="28"/>
    <x v="44"/>
    <x v="16"/>
    <x v="52"/>
    <x v="1"/>
    <x v="6"/>
    <x v="15"/>
    <x v="15"/>
    <x v="8"/>
    <x v="15"/>
    <x v="10"/>
    <x v="6"/>
    <x v="6"/>
    <x v="1"/>
    <x v="1"/>
    <x v="6"/>
    <x v="0"/>
    <x v="7"/>
    <x v="0"/>
  </r>
  <r>
    <x v="65"/>
    <x v="45"/>
    <x v="27"/>
    <x v="45"/>
    <x v="9"/>
    <x v="20"/>
    <x v="0"/>
    <x v="10"/>
    <x v="9"/>
    <x v="9"/>
    <x v="7"/>
    <x v="9"/>
    <x v="0"/>
    <x v="2"/>
    <x v="2"/>
    <x v="3"/>
    <x v="3"/>
    <x v="3"/>
    <x v="2"/>
    <x v="24"/>
    <x v="0"/>
  </r>
  <r>
    <x v="66"/>
    <x v="46"/>
    <x v="14"/>
    <x v="46"/>
    <x v="17"/>
    <x v="43"/>
    <x v="3"/>
    <x v="19"/>
    <x v="28"/>
    <x v="7"/>
    <x v="8"/>
    <x v="28"/>
    <x v="7"/>
    <x v="3"/>
    <x v="3"/>
    <x v="0"/>
    <x v="2"/>
    <x v="12"/>
    <x v="3"/>
    <x v="22"/>
    <x v="2"/>
  </r>
  <r>
    <x v="67"/>
    <x v="47"/>
    <x v="15"/>
    <x v="47"/>
    <x v="20"/>
    <x v="44"/>
    <x v="1"/>
    <x v="14"/>
    <x v="24"/>
    <x v="6"/>
    <x v="7"/>
    <x v="24"/>
    <x v="6"/>
    <x v="0"/>
    <x v="0"/>
    <x v="1"/>
    <x v="6"/>
    <x v="5"/>
    <x v="0"/>
    <x v="10"/>
    <x v="0"/>
  </r>
  <r>
    <x v="68"/>
    <x v="48"/>
    <x v="14"/>
    <x v="48"/>
    <x v="0"/>
    <x v="45"/>
    <x v="1"/>
    <x v="14"/>
    <x v="32"/>
    <x v="10"/>
    <x v="9"/>
    <x v="32"/>
    <x v="0"/>
    <x v="1"/>
    <x v="1"/>
    <x v="3"/>
    <x v="7"/>
    <x v="7"/>
    <x v="0"/>
    <x v="10"/>
    <x v="1"/>
  </r>
  <r>
    <x v="69"/>
    <x v="49"/>
    <x v="15"/>
    <x v="49"/>
    <x v="18"/>
    <x v="46"/>
    <x v="0"/>
    <x v="13"/>
    <x v="3"/>
    <x v="3"/>
    <x v="8"/>
    <x v="3"/>
    <x v="3"/>
    <x v="2"/>
    <x v="2"/>
    <x v="0"/>
    <x v="0"/>
    <x v="0"/>
    <x v="1"/>
    <x v="17"/>
    <x v="0"/>
  </r>
  <r>
    <x v="70"/>
    <x v="50"/>
    <x v="20"/>
    <x v="50"/>
    <x v="1"/>
    <x v="7"/>
    <x v="1"/>
    <x v="6"/>
    <x v="7"/>
    <x v="7"/>
    <x v="8"/>
    <x v="7"/>
    <x v="7"/>
    <x v="3"/>
    <x v="3"/>
    <x v="1"/>
    <x v="3"/>
    <x v="3"/>
    <x v="2"/>
    <x v="7"/>
    <x v="2"/>
  </r>
  <r>
    <x v="71"/>
    <x v="34"/>
    <x v="4"/>
    <x v="34"/>
    <x v="9"/>
    <x v="53"/>
    <x v="1"/>
    <x v="0"/>
    <x v="34"/>
    <x v="5"/>
    <x v="7"/>
    <x v="35"/>
    <x v="5"/>
    <x v="4"/>
    <x v="4"/>
    <x v="3"/>
    <x v="0"/>
    <x v="8"/>
    <x v="0"/>
    <x v="15"/>
    <x v="2"/>
  </r>
  <r>
    <x v="72"/>
    <x v="35"/>
    <x v="18"/>
    <x v="35"/>
    <x v="2"/>
    <x v="54"/>
    <x v="1"/>
    <x v="4"/>
    <x v="22"/>
    <x v="2"/>
    <x v="8"/>
    <x v="22"/>
    <x v="2"/>
    <x v="6"/>
    <x v="6"/>
    <x v="1"/>
    <x v="1"/>
    <x v="6"/>
    <x v="0"/>
    <x v="4"/>
    <x v="0"/>
  </r>
  <r>
    <x v="73"/>
    <x v="36"/>
    <x v="19"/>
    <x v="36"/>
    <x v="3"/>
    <x v="36"/>
    <x v="0"/>
    <x v="0"/>
    <x v="20"/>
    <x v="16"/>
    <x v="9"/>
    <x v="20"/>
    <x v="13"/>
    <x v="2"/>
    <x v="2"/>
    <x v="0"/>
    <x v="9"/>
    <x v="0"/>
    <x v="1"/>
    <x v="0"/>
    <x v="0"/>
  </r>
  <r>
    <x v="74"/>
    <x v="37"/>
    <x v="20"/>
    <x v="37"/>
    <x v="7"/>
    <x v="37"/>
    <x v="1"/>
    <x v="1"/>
    <x v="21"/>
    <x v="7"/>
    <x v="8"/>
    <x v="21"/>
    <x v="7"/>
    <x v="3"/>
    <x v="3"/>
    <x v="1"/>
    <x v="1"/>
    <x v="6"/>
    <x v="2"/>
    <x v="1"/>
    <x v="2"/>
  </r>
  <r>
    <x v="75"/>
    <x v="38"/>
    <x v="19"/>
    <x v="38"/>
    <x v="5"/>
    <x v="16"/>
    <x v="1"/>
    <x v="1"/>
    <x v="16"/>
    <x v="3"/>
    <x v="7"/>
    <x v="16"/>
    <x v="3"/>
    <x v="0"/>
    <x v="0"/>
    <x v="3"/>
    <x v="8"/>
    <x v="1"/>
    <x v="1"/>
    <x v="1"/>
    <x v="0"/>
  </r>
  <r>
    <x v="76"/>
    <x v="39"/>
    <x v="14"/>
    <x v="39"/>
    <x v="1"/>
    <x v="1"/>
    <x v="1"/>
    <x v="17"/>
    <x v="1"/>
    <x v="1"/>
    <x v="8"/>
    <x v="1"/>
    <x v="1"/>
    <x v="6"/>
    <x v="6"/>
    <x v="3"/>
    <x v="5"/>
    <x v="11"/>
    <x v="0"/>
    <x v="21"/>
    <x v="0"/>
  </r>
  <r>
    <x v="77"/>
    <x v="40"/>
    <x v="27"/>
    <x v="40"/>
    <x v="2"/>
    <x v="55"/>
    <x v="0"/>
    <x v="3"/>
    <x v="22"/>
    <x v="2"/>
    <x v="7"/>
    <x v="22"/>
    <x v="2"/>
    <x v="2"/>
    <x v="2"/>
    <x v="0"/>
    <x v="3"/>
    <x v="3"/>
    <x v="2"/>
    <x v="6"/>
    <x v="0"/>
  </r>
  <r>
    <x v="78"/>
    <x v="41"/>
    <x v="11"/>
    <x v="41"/>
    <x v="9"/>
    <x v="9"/>
    <x v="1"/>
    <x v="8"/>
    <x v="9"/>
    <x v="9"/>
    <x v="8"/>
    <x v="9"/>
    <x v="0"/>
    <x v="3"/>
    <x v="3"/>
    <x v="1"/>
    <x v="3"/>
    <x v="3"/>
    <x v="2"/>
    <x v="3"/>
    <x v="2"/>
  </r>
  <r>
    <x v="79"/>
    <x v="48"/>
    <x v="14"/>
    <x v="48"/>
    <x v="11"/>
    <x v="11"/>
    <x v="1"/>
    <x v="9"/>
    <x v="11"/>
    <x v="11"/>
    <x v="9"/>
    <x v="11"/>
    <x v="9"/>
    <x v="7"/>
    <x v="7"/>
    <x v="1"/>
    <x v="1"/>
    <x v="6"/>
    <x v="0"/>
    <x v="6"/>
    <x v="0"/>
  </r>
  <r>
    <x v="80"/>
    <x v="47"/>
    <x v="15"/>
    <x v="47"/>
    <x v="6"/>
    <x v="56"/>
    <x v="1"/>
    <x v="11"/>
    <x v="6"/>
    <x v="6"/>
    <x v="7"/>
    <x v="6"/>
    <x v="6"/>
    <x v="11"/>
    <x v="11"/>
    <x v="3"/>
    <x v="7"/>
    <x v="7"/>
    <x v="0"/>
    <x v="12"/>
    <x v="4"/>
  </r>
  <r>
    <x v="81"/>
    <x v="46"/>
    <x v="14"/>
    <x v="46"/>
    <x v="0"/>
    <x v="19"/>
    <x v="0"/>
    <x v="16"/>
    <x v="19"/>
    <x v="10"/>
    <x v="8"/>
    <x v="19"/>
    <x v="0"/>
    <x v="2"/>
    <x v="2"/>
    <x v="0"/>
    <x v="0"/>
    <x v="0"/>
    <x v="1"/>
    <x v="11"/>
    <x v="0"/>
  </r>
  <r>
    <x v="82"/>
    <x v="43"/>
    <x v="15"/>
    <x v="43"/>
    <x v="9"/>
    <x v="57"/>
    <x v="1"/>
    <x v="9"/>
    <x v="7"/>
    <x v="7"/>
    <x v="9"/>
    <x v="7"/>
    <x v="7"/>
    <x v="3"/>
    <x v="3"/>
    <x v="1"/>
    <x v="3"/>
    <x v="3"/>
    <x v="2"/>
    <x v="6"/>
    <x v="2"/>
  </r>
  <r>
    <x v="83"/>
    <x v="44"/>
    <x v="28"/>
    <x v="44"/>
    <x v="2"/>
    <x v="58"/>
    <x v="1"/>
    <x v="1"/>
    <x v="35"/>
    <x v="15"/>
    <x v="7"/>
    <x v="36"/>
    <x v="10"/>
    <x v="7"/>
    <x v="7"/>
    <x v="1"/>
    <x v="8"/>
    <x v="1"/>
    <x v="1"/>
    <x v="1"/>
    <x v="0"/>
  </r>
  <r>
    <x v="84"/>
    <x v="45"/>
    <x v="27"/>
    <x v="45"/>
    <x v="3"/>
    <x v="59"/>
    <x v="0"/>
    <x v="0"/>
    <x v="20"/>
    <x v="16"/>
    <x v="8"/>
    <x v="20"/>
    <x v="13"/>
    <x v="11"/>
    <x v="11"/>
    <x v="0"/>
    <x v="9"/>
    <x v="0"/>
    <x v="1"/>
    <x v="0"/>
    <x v="4"/>
  </r>
  <r>
    <x v="85"/>
    <x v="49"/>
    <x v="15"/>
    <x v="49"/>
    <x v="1"/>
    <x v="7"/>
    <x v="1"/>
    <x v="6"/>
    <x v="7"/>
    <x v="7"/>
    <x v="9"/>
    <x v="7"/>
    <x v="7"/>
    <x v="2"/>
    <x v="2"/>
    <x v="1"/>
    <x v="3"/>
    <x v="3"/>
    <x v="2"/>
    <x v="7"/>
    <x v="0"/>
  </r>
  <r>
    <x v="86"/>
    <x v="50"/>
    <x v="20"/>
    <x v="50"/>
    <x v="7"/>
    <x v="60"/>
    <x v="1"/>
    <x v="0"/>
    <x v="21"/>
    <x v="7"/>
    <x v="8"/>
    <x v="21"/>
    <x v="7"/>
    <x v="3"/>
    <x v="3"/>
    <x v="0"/>
    <x v="9"/>
    <x v="0"/>
    <x v="3"/>
    <x v="15"/>
    <x v="2"/>
  </r>
  <r>
    <x v="87"/>
    <x v="51"/>
    <x v="13"/>
    <x v="51"/>
    <x v="2"/>
    <x v="61"/>
    <x v="1"/>
    <x v="3"/>
    <x v="22"/>
    <x v="2"/>
    <x v="7"/>
    <x v="22"/>
    <x v="2"/>
    <x v="0"/>
    <x v="0"/>
    <x v="1"/>
    <x v="3"/>
    <x v="3"/>
    <x v="2"/>
    <x v="0"/>
    <x v="0"/>
  </r>
  <r>
    <x v="88"/>
    <x v="52"/>
    <x v="1"/>
    <x v="1"/>
    <x v="3"/>
    <x v="59"/>
    <x v="1"/>
    <x v="0"/>
    <x v="20"/>
    <x v="16"/>
    <x v="8"/>
    <x v="20"/>
    <x v="13"/>
    <x v="1"/>
    <x v="1"/>
    <x v="0"/>
    <x v="9"/>
    <x v="0"/>
    <x v="1"/>
    <x v="15"/>
    <x v="1"/>
  </r>
  <r>
    <x v="89"/>
    <x v="53"/>
    <x v="6"/>
    <x v="6"/>
    <x v="3"/>
    <x v="36"/>
    <x v="1"/>
    <x v="0"/>
    <x v="20"/>
    <x v="16"/>
    <x v="8"/>
    <x v="20"/>
    <x v="13"/>
    <x v="2"/>
    <x v="2"/>
    <x v="0"/>
    <x v="9"/>
    <x v="0"/>
    <x v="1"/>
    <x v="15"/>
    <x v="0"/>
  </r>
  <r>
    <x v="90"/>
    <x v="54"/>
    <x v="8"/>
    <x v="8"/>
    <x v="1"/>
    <x v="62"/>
    <x v="1"/>
    <x v="14"/>
    <x v="4"/>
    <x v="4"/>
    <x v="9"/>
    <x v="4"/>
    <x v="4"/>
    <x v="4"/>
    <x v="4"/>
    <x v="1"/>
    <x v="1"/>
    <x v="6"/>
    <x v="0"/>
    <x v="10"/>
    <x v="2"/>
  </r>
  <r>
    <x v="91"/>
    <x v="55"/>
    <x v="5"/>
    <x v="5"/>
    <x v="2"/>
    <x v="47"/>
    <x v="1"/>
    <x v="9"/>
    <x v="33"/>
    <x v="2"/>
    <x v="7"/>
    <x v="33"/>
    <x v="2"/>
    <x v="3"/>
    <x v="3"/>
    <x v="1"/>
    <x v="7"/>
    <x v="7"/>
    <x v="0"/>
    <x v="6"/>
    <x v="2"/>
  </r>
  <r>
    <x v="92"/>
    <x v="56"/>
    <x v="4"/>
    <x v="4"/>
    <x v="2"/>
    <x v="55"/>
    <x v="1"/>
    <x v="1"/>
    <x v="22"/>
    <x v="2"/>
    <x v="7"/>
    <x v="22"/>
    <x v="2"/>
    <x v="0"/>
    <x v="0"/>
    <x v="0"/>
    <x v="4"/>
    <x v="8"/>
    <x v="1"/>
    <x v="1"/>
    <x v="0"/>
  </r>
  <r>
    <x v="93"/>
    <x v="57"/>
    <x v="19"/>
    <x v="19"/>
    <x v="1"/>
    <x v="7"/>
    <x v="1"/>
    <x v="8"/>
    <x v="7"/>
    <x v="7"/>
    <x v="9"/>
    <x v="7"/>
    <x v="7"/>
    <x v="6"/>
    <x v="6"/>
    <x v="1"/>
    <x v="3"/>
    <x v="3"/>
    <x v="2"/>
    <x v="3"/>
    <x v="0"/>
  </r>
  <r>
    <x v="94"/>
    <x v="58"/>
    <x v="14"/>
    <x v="14"/>
    <x v="10"/>
    <x v="3"/>
    <x v="1"/>
    <x v="14"/>
    <x v="26"/>
    <x v="3"/>
    <x v="8"/>
    <x v="26"/>
    <x v="3"/>
    <x v="12"/>
    <x v="12"/>
    <x v="3"/>
    <x v="1"/>
    <x v="6"/>
    <x v="0"/>
    <x v="10"/>
    <x v="0"/>
  </r>
  <r>
    <x v="95"/>
    <x v="59"/>
    <x v="28"/>
    <x v="44"/>
    <x v="2"/>
    <x v="63"/>
    <x v="1"/>
    <x v="21"/>
    <x v="36"/>
    <x v="13"/>
    <x v="7"/>
    <x v="37"/>
    <x v="11"/>
    <x v="5"/>
    <x v="5"/>
    <x v="3"/>
    <x v="7"/>
    <x v="7"/>
    <x v="0"/>
    <x v="9"/>
    <x v="3"/>
  </r>
  <r>
    <x v="96"/>
    <x v="60"/>
    <x v="29"/>
    <x v="52"/>
    <x v="2"/>
    <x v="49"/>
    <x v="1"/>
    <x v="22"/>
    <x v="22"/>
    <x v="2"/>
    <x v="7"/>
    <x v="22"/>
    <x v="2"/>
    <x v="4"/>
    <x v="4"/>
    <x v="1"/>
    <x v="8"/>
    <x v="1"/>
    <x v="1"/>
    <x v="13"/>
    <x v="2"/>
  </r>
  <r>
    <x v="97"/>
    <x v="61"/>
    <x v="15"/>
    <x v="53"/>
    <x v="3"/>
    <x v="21"/>
    <x v="1"/>
    <x v="4"/>
    <x v="20"/>
    <x v="16"/>
    <x v="8"/>
    <x v="20"/>
    <x v="13"/>
    <x v="1"/>
    <x v="1"/>
    <x v="0"/>
    <x v="0"/>
    <x v="0"/>
    <x v="1"/>
    <x v="4"/>
    <x v="1"/>
  </r>
  <r>
    <x v="98"/>
    <x v="62"/>
    <x v="30"/>
    <x v="54"/>
    <x v="3"/>
    <x v="36"/>
    <x v="1"/>
    <x v="0"/>
    <x v="20"/>
    <x v="16"/>
    <x v="8"/>
    <x v="20"/>
    <x v="13"/>
    <x v="2"/>
    <x v="2"/>
    <x v="0"/>
    <x v="9"/>
    <x v="0"/>
    <x v="1"/>
    <x v="15"/>
    <x v="0"/>
  </r>
  <r>
    <x v="99"/>
    <x v="63"/>
    <x v="12"/>
    <x v="12"/>
    <x v="1"/>
    <x v="62"/>
    <x v="1"/>
    <x v="14"/>
    <x v="4"/>
    <x v="4"/>
    <x v="9"/>
    <x v="4"/>
    <x v="4"/>
    <x v="4"/>
    <x v="4"/>
    <x v="1"/>
    <x v="1"/>
    <x v="6"/>
    <x v="0"/>
    <x v="10"/>
    <x v="2"/>
  </r>
  <r>
    <x v="100"/>
    <x v="64"/>
    <x v="3"/>
    <x v="3"/>
    <x v="3"/>
    <x v="21"/>
    <x v="1"/>
    <x v="4"/>
    <x v="20"/>
    <x v="16"/>
    <x v="8"/>
    <x v="20"/>
    <x v="13"/>
    <x v="1"/>
    <x v="1"/>
    <x v="0"/>
    <x v="0"/>
    <x v="0"/>
    <x v="1"/>
    <x v="4"/>
    <x v="1"/>
  </r>
  <r>
    <x v="101"/>
    <x v="52"/>
    <x v="1"/>
    <x v="1"/>
    <x v="1"/>
    <x v="7"/>
    <x v="1"/>
    <x v="8"/>
    <x v="7"/>
    <x v="7"/>
    <x v="9"/>
    <x v="7"/>
    <x v="7"/>
    <x v="6"/>
    <x v="6"/>
    <x v="1"/>
    <x v="3"/>
    <x v="3"/>
    <x v="2"/>
    <x v="3"/>
    <x v="0"/>
  </r>
  <r>
    <x v="102"/>
    <x v="53"/>
    <x v="6"/>
    <x v="6"/>
    <x v="2"/>
    <x v="47"/>
    <x v="1"/>
    <x v="9"/>
    <x v="33"/>
    <x v="2"/>
    <x v="7"/>
    <x v="33"/>
    <x v="2"/>
    <x v="3"/>
    <x v="3"/>
    <x v="1"/>
    <x v="7"/>
    <x v="7"/>
    <x v="0"/>
    <x v="6"/>
    <x v="2"/>
  </r>
  <r>
    <x v="103"/>
    <x v="54"/>
    <x v="8"/>
    <x v="8"/>
    <x v="3"/>
    <x v="36"/>
    <x v="1"/>
    <x v="0"/>
    <x v="20"/>
    <x v="16"/>
    <x v="8"/>
    <x v="20"/>
    <x v="13"/>
    <x v="2"/>
    <x v="2"/>
    <x v="0"/>
    <x v="9"/>
    <x v="0"/>
    <x v="1"/>
    <x v="15"/>
    <x v="0"/>
  </r>
  <r>
    <x v="104"/>
    <x v="55"/>
    <x v="5"/>
    <x v="5"/>
    <x v="1"/>
    <x v="62"/>
    <x v="1"/>
    <x v="14"/>
    <x v="4"/>
    <x v="4"/>
    <x v="9"/>
    <x v="4"/>
    <x v="4"/>
    <x v="4"/>
    <x v="4"/>
    <x v="1"/>
    <x v="1"/>
    <x v="6"/>
    <x v="0"/>
    <x v="10"/>
    <x v="2"/>
  </r>
  <r>
    <x v="105"/>
    <x v="60"/>
    <x v="29"/>
    <x v="52"/>
    <x v="10"/>
    <x v="3"/>
    <x v="1"/>
    <x v="14"/>
    <x v="26"/>
    <x v="3"/>
    <x v="8"/>
    <x v="26"/>
    <x v="3"/>
    <x v="12"/>
    <x v="12"/>
    <x v="3"/>
    <x v="1"/>
    <x v="6"/>
    <x v="0"/>
    <x v="10"/>
    <x v="0"/>
  </r>
  <r>
    <x v="106"/>
    <x v="61"/>
    <x v="15"/>
    <x v="53"/>
    <x v="2"/>
    <x v="63"/>
    <x v="1"/>
    <x v="21"/>
    <x v="36"/>
    <x v="13"/>
    <x v="7"/>
    <x v="37"/>
    <x v="11"/>
    <x v="5"/>
    <x v="5"/>
    <x v="3"/>
    <x v="7"/>
    <x v="7"/>
    <x v="0"/>
    <x v="9"/>
    <x v="3"/>
  </r>
  <r>
    <x v="107"/>
    <x v="62"/>
    <x v="30"/>
    <x v="54"/>
    <x v="2"/>
    <x v="49"/>
    <x v="1"/>
    <x v="22"/>
    <x v="22"/>
    <x v="2"/>
    <x v="7"/>
    <x v="22"/>
    <x v="2"/>
    <x v="4"/>
    <x v="4"/>
    <x v="1"/>
    <x v="8"/>
    <x v="1"/>
    <x v="1"/>
    <x v="13"/>
    <x v="2"/>
  </r>
  <r>
    <x v="108"/>
    <x v="63"/>
    <x v="12"/>
    <x v="12"/>
    <x v="3"/>
    <x v="59"/>
    <x v="1"/>
    <x v="0"/>
    <x v="20"/>
    <x v="16"/>
    <x v="8"/>
    <x v="20"/>
    <x v="13"/>
    <x v="1"/>
    <x v="1"/>
    <x v="0"/>
    <x v="9"/>
    <x v="0"/>
    <x v="1"/>
    <x v="15"/>
    <x v="1"/>
  </r>
  <r>
    <x v="109"/>
    <x v="65"/>
    <x v="13"/>
    <x v="13"/>
    <x v="3"/>
    <x v="36"/>
    <x v="1"/>
    <x v="0"/>
    <x v="20"/>
    <x v="16"/>
    <x v="8"/>
    <x v="20"/>
    <x v="13"/>
    <x v="2"/>
    <x v="2"/>
    <x v="0"/>
    <x v="9"/>
    <x v="0"/>
    <x v="1"/>
    <x v="15"/>
    <x v="0"/>
  </r>
  <r>
    <x v="110"/>
    <x v="64"/>
    <x v="3"/>
    <x v="3"/>
    <x v="1"/>
    <x v="62"/>
    <x v="1"/>
    <x v="14"/>
    <x v="4"/>
    <x v="4"/>
    <x v="9"/>
    <x v="4"/>
    <x v="4"/>
    <x v="4"/>
    <x v="4"/>
    <x v="1"/>
    <x v="1"/>
    <x v="6"/>
    <x v="0"/>
    <x v="10"/>
    <x v="2"/>
  </r>
  <r>
    <x v="111"/>
    <x v="52"/>
    <x v="1"/>
    <x v="1"/>
    <x v="10"/>
    <x v="3"/>
    <x v="1"/>
    <x v="14"/>
    <x v="26"/>
    <x v="3"/>
    <x v="8"/>
    <x v="26"/>
    <x v="3"/>
    <x v="12"/>
    <x v="12"/>
    <x v="3"/>
    <x v="1"/>
    <x v="6"/>
    <x v="0"/>
    <x v="10"/>
    <x v="0"/>
  </r>
  <r>
    <x v="112"/>
    <x v="53"/>
    <x v="6"/>
    <x v="6"/>
    <x v="3"/>
    <x v="21"/>
    <x v="1"/>
    <x v="4"/>
    <x v="20"/>
    <x v="16"/>
    <x v="8"/>
    <x v="20"/>
    <x v="13"/>
    <x v="1"/>
    <x v="1"/>
    <x v="0"/>
    <x v="0"/>
    <x v="0"/>
    <x v="1"/>
    <x v="4"/>
    <x v="1"/>
  </r>
  <r>
    <x v="113"/>
    <x v="54"/>
    <x v="8"/>
    <x v="8"/>
    <x v="2"/>
    <x v="47"/>
    <x v="1"/>
    <x v="9"/>
    <x v="33"/>
    <x v="2"/>
    <x v="7"/>
    <x v="33"/>
    <x v="2"/>
    <x v="3"/>
    <x v="3"/>
    <x v="1"/>
    <x v="7"/>
    <x v="7"/>
    <x v="0"/>
    <x v="6"/>
    <x v="2"/>
  </r>
  <r>
    <x v="114"/>
    <x v="55"/>
    <x v="5"/>
    <x v="5"/>
    <x v="1"/>
    <x v="7"/>
    <x v="1"/>
    <x v="8"/>
    <x v="7"/>
    <x v="7"/>
    <x v="9"/>
    <x v="7"/>
    <x v="7"/>
    <x v="6"/>
    <x v="6"/>
    <x v="1"/>
    <x v="3"/>
    <x v="3"/>
    <x v="2"/>
    <x v="3"/>
    <x v="0"/>
  </r>
  <r>
    <x v="115"/>
    <x v="60"/>
    <x v="29"/>
    <x v="52"/>
    <x v="3"/>
    <x v="36"/>
    <x v="1"/>
    <x v="0"/>
    <x v="20"/>
    <x v="16"/>
    <x v="8"/>
    <x v="20"/>
    <x v="13"/>
    <x v="2"/>
    <x v="2"/>
    <x v="0"/>
    <x v="9"/>
    <x v="0"/>
    <x v="1"/>
    <x v="15"/>
    <x v="0"/>
  </r>
  <r>
    <x v="116"/>
    <x v="61"/>
    <x v="15"/>
    <x v="53"/>
    <x v="1"/>
    <x v="24"/>
    <x v="1"/>
    <x v="23"/>
    <x v="37"/>
    <x v="3"/>
    <x v="8"/>
    <x v="38"/>
    <x v="5"/>
    <x v="15"/>
    <x v="15"/>
    <x v="4"/>
    <x v="6"/>
    <x v="5"/>
    <x v="0"/>
    <x v="25"/>
    <x v="3"/>
  </r>
  <r>
    <x v="117"/>
    <x v="62"/>
    <x v="30"/>
    <x v="54"/>
    <x v="10"/>
    <x v="10"/>
    <x v="1"/>
    <x v="3"/>
    <x v="38"/>
    <x v="18"/>
    <x v="7"/>
    <x v="39"/>
    <x v="0"/>
    <x v="0"/>
    <x v="0"/>
    <x v="1"/>
    <x v="4"/>
    <x v="3"/>
    <x v="0"/>
    <x v="0"/>
    <x v="0"/>
  </r>
  <r>
    <x v="118"/>
    <x v="63"/>
    <x v="12"/>
    <x v="12"/>
    <x v="2"/>
    <x v="49"/>
    <x v="1"/>
    <x v="22"/>
    <x v="22"/>
    <x v="2"/>
    <x v="7"/>
    <x v="22"/>
    <x v="2"/>
    <x v="4"/>
    <x v="4"/>
    <x v="1"/>
    <x v="8"/>
    <x v="1"/>
    <x v="1"/>
    <x v="13"/>
    <x v="2"/>
  </r>
  <r>
    <x v="119"/>
    <x v="65"/>
    <x v="13"/>
    <x v="13"/>
    <x v="3"/>
    <x v="59"/>
    <x v="1"/>
    <x v="0"/>
    <x v="20"/>
    <x v="16"/>
    <x v="8"/>
    <x v="20"/>
    <x v="13"/>
    <x v="1"/>
    <x v="1"/>
    <x v="0"/>
    <x v="9"/>
    <x v="0"/>
    <x v="1"/>
    <x v="15"/>
    <x v="1"/>
  </r>
  <r>
    <x v="120"/>
    <x v="64"/>
    <x v="3"/>
    <x v="3"/>
    <x v="10"/>
    <x v="10"/>
    <x v="1"/>
    <x v="3"/>
    <x v="38"/>
    <x v="18"/>
    <x v="7"/>
    <x v="39"/>
    <x v="0"/>
    <x v="0"/>
    <x v="0"/>
    <x v="1"/>
    <x v="4"/>
    <x v="3"/>
    <x v="0"/>
    <x v="0"/>
    <x v="0"/>
  </r>
  <r>
    <x v="121"/>
    <x v="52"/>
    <x v="1"/>
    <x v="1"/>
    <x v="2"/>
    <x v="49"/>
    <x v="1"/>
    <x v="22"/>
    <x v="22"/>
    <x v="2"/>
    <x v="7"/>
    <x v="22"/>
    <x v="2"/>
    <x v="4"/>
    <x v="4"/>
    <x v="1"/>
    <x v="8"/>
    <x v="1"/>
    <x v="1"/>
    <x v="13"/>
    <x v="2"/>
  </r>
  <r>
    <x v="122"/>
    <x v="53"/>
    <x v="6"/>
    <x v="6"/>
    <x v="3"/>
    <x v="21"/>
    <x v="1"/>
    <x v="4"/>
    <x v="20"/>
    <x v="16"/>
    <x v="8"/>
    <x v="20"/>
    <x v="13"/>
    <x v="1"/>
    <x v="1"/>
    <x v="0"/>
    <x v="0"/>
    <x v="0"/>
    <x v="1"/>
    <x v="4"/>
    <x v="1"/>
  </r>
  <r>
    <x v="123"/>
    <x v="54"/>
    <x v="8"/>
    <x v="8"/>
    <x v="1"/>
    <x v="62"/>
    <x v="1"/>
    <x v="14"/>
    <x v="4"/>
    <x v="4"/>
    <x v="9"/>
    <x v="4"/>
    <x v="4"/>
    <x v="4"/>
    <x v="4"/>
    <x v="1"/>
    <x v="1"/>
    <x v="6"/>
    <x v="0"/>
    <x v="10"/>
    <x v="2"/>
  </r>
  <r>
    <x v="124"/>
    <x v="55"/>
    <x v="5"/>
    <x v="5"/>
    <x v="2"/>
    <x v="47"/>
    <x v="1"/>
    <x v="9"/>
    <x v="33"/>
    <x v="2"/>
    <x v="7"/>
    <x v="33"/>
    <x v="2"/>
    <x v="3"/>
    <x v="3"/>
    <x v="1"/>
    <x v="7"/>
    <x v="7"/>
    <x v="0"/>
    <x v="6"/>
    <x v="2"/>
  </r>
  <r>
    <x v="125"/>
    <x v="60"/>
    <x v="29"/>
    <x v="52"/>
    <x v="3"/>
    <x v="36"/>
    <x v="1"/>
    <x v="0"/>
    <x v="20"/>
    <x v="16"/>
    <x v="8"/>
    <x v="20"/>
    <x v="13"/>
    <x v="2"/>
    <x v="2"/>
    <x v="0"/>
    <x v="9"/>
    <x v="0"/>
    <x v="1"/>
    <x v="15"/>
    <x v="0"/>
  </r>
  <r>
    <x v="126"/>
    <x v="61"/>
    <x v="15"/>
    <x v="53"/>
    <x v="1"/>
    <x v="24"/>
    <x v="1"/>
    <x v="23"/>
    <x v="37"/>
    <x v="3"/>
    <x v="8"/>
    <x v="38"/>
    <x v="5"/>
    <x v="15"/>
    <x v="15"/>
    <x v="4"/>
    <x v="6"/>
    <x v="5"/>
    <x v="0"/>
    <x v="25"/>
    <x v="3"/>
  </r>
  <r>
    <x v="127"/>
    <x v="62"/>
    <x v="30"/>
    <x v="54"/>
    <x v="10"/>
    <x v="3"/>
    <x v="1"/>
    <x v="14"/>
    <x v="26"/>
    <x v="3"/>
    <x v="8"/>
    <x v="26"/>
    <x v="3"/>
    <x v="12"/>
    <x v="12"/>
    <x v="3"/>
    <x v="1"/>
    <x v="6"/>
    <x v="0"/>
    <x v="10"/>
    <x v="0"/>
  </r>
  <r>
    <x v="128"/>
    <x v="63"/>
    <x v="12"/>
    <x v="12"/>
    <x v="3"/>
    <x v="59"/>
    <x v="1"/>
    <x v="0"/>
    <x v="20"/>
    <x v="16"/>
    <x v="8"/>
    <x v="20"/>
    <x v="13"/>
    <x v="1"/>
    <x v="1"/>
    <x v="0"/>
    <x v="9"/>
    <x v="0"/>
    <x v="1"/>
    <x v="15"/>
    <x v="1"/>
  </r>
  <r>
    <x v="129"/>
    <x v="65"/>
    <x v="13"/>
    <x v="13"/>
    <x v="3"/>
    <x v="36"/>
    <x v="1"/>
    <x v="0"/>
    <x v="20"/>
    <x v="16"/>
    <x v="8"/>
    <x v="20"/>
    <x v="13"/>
    <x v="2"/>
    <x v="2"/>
    <x v="0"/>
    <x v="9"/>
    <x v="0"/>
    <x v="1"/>
    <x v="15"/>
    <x v="0"/>
  </r>
  <r>
    <x v="130"/>
    <x v="64"/>
    <x v="3"/>
    <x v="3"/>
    <x v="1"/>
    <x v="62"/>
    <x v="1"/>
    <x v="14"/>
    <x v="4"/>
    <x v="4"/>
    <x v="9"/>
    <x v="4"/>
    <x v="4"/>
    <x v="4"/>
    <x v="4"/>
    <x v="1"/>
    <x v="1"/>
    <x v="6"/>
    <x v="0"/>
    <x v="10"/>
    <x v="2"/>
  </r>
  <r>
    <x v="131"/>
    <x v="52"/>
    <x v="1"/>
    <x v="1"/>
    <x v="10"/>
    <x v="3"/>
    <x v="1"/>
    <x v="14"/>
    <x v="26"/>
    <x v="3"/>
    <x v="8"/>
    <x v="26"/>
    <x v="3"/>
    <x v="12"/>
    <x v="12"/>
    <x v="3"/>
    <x v="1"/>
    <x v="6"/>
    <x v="0"/>
    <x v="10"/>
    <x v="0"/>
  </r>
  <r>
    <x v="132"/>
    <x v="53"/>
    <x v="6"/>
    <x v="6"/>
    <x v="3"/>
    <x v="21"/>
    <x v="1"/>
    <x v="4"/>
    <x v="20"/>
    <x v="16"/>
    <x v="8"/>
    <x v="20"/>
    <x v="13"/>
    <x v="1"/>
    <x v="1"/>
    <x v="0"/>
    <x v="0"/>
    <x v="0"/>
    <x v="1"/>
    <x v="4"/>
    <x v="1"/>
  </r>
  <r>
    <x v="133"/>
    <x v="54"/>
    <x v="8"/>
    <x v="8"/>
    <x v="2"/>
    <x v="47"/>
    <x v="1"/>
    <x v="9"/>
    <x v="33"/>
    <x v="2"/>
    <x v="7"/>
    <x v="33"/>
    <x v="2"/>
    <x v="3"/>
    <x v="3"/>
    <x v="1"/>
    <x v="7"/>
    <x v="7"/>
    <x v="0"/>
    <x v="6"/>
    <x v="2"/>
  </r>
  <r>
    <x v="134"/>
    <x v="55"/>
    <x v="5"/>
    <x v="5"/>
    <x v="1"/>
    <x v="7"/>
    <x v="1"/>
    <x v="8"/>
    <x v="7"/>
    <x v="7"/>
    <x v="9"/>
    <x v="7"/>
    <x v="7"/>
    <x v="6"/>
    <x v="6"/>
    <x v="1"/>
    <x v="3"/>
    <x v="3"/>
    <x v="2"/>
    <x v="3"/>
    <x v="0"/>
  </r>
  <r>
    <x v="135"/>
    <x v="60"/>
    <x v="29"/>
    <x v="52"/>
    <x v="3"/>
    <x v="36"/>
    <x v="1"/>
    <x v="0"/>
    <x v="20"/>
    <x v="16"/>
    <x v="8"/>
    <x v="20"/>
    <x v="13"/>
    <x v="2"/>
    <x v="2"/>
    <x v="0"/>
    <x v="9"/>
    <x v="0"/>
    <x v="1"/>
    <x v="15"/>
    <x v="0"/>
  </r>
  <r>
    <x v="136"/>
    <x v="61"/>
    <x v="15"/>
    <x v="53"/>
    <x v="1"/>
    <x v="24"/>
    <x v="1"/>
    <x v="23"/>
    <x v="37"/>
    <x v="3"/>
    <x v="8"/>
    <x v="38"/>
    <x v="5"/>
    <x v="15"/>
    <x v="15"/>
    <x v="4"/>
    <x v="6"/>
    <x v="5"/>
    <x v="0"/>
    <x v="25"/>
    <x v="3"/>
  </r>
  <r>
    <x v="137"/>
    <x v="62"/>
    <x v="30"/>
    <x v="54"/>
    <x v="10"/>
    <x v="10"/>
    <x v="1"/>
    <x v="3"/>
    <x v="38"/>
    <x v="18"/>
    <x v="7"/>
    <x v="39"/>
    <x v="0"/>
    <x v="0"/>
    <x v="0"/>
    <x v="1"/>
    <x v="4"/>
    <x v="3"/>
    <x v="0"/>
    <x v="0"/>
    <x v="0"/>
  </r>
  <r>
    <x v="138"/>
    <x v="63"/>
    <x v="12"/>
    <x v="12"/>
    <x v="2"/>
    <x v="49"/>
    <x v="1"/>
    <x v="22"/>
    <x v="22"/>
    <x v="2"/>
    <x v="7"/>
    <x v="22"/>
    <x v="2"/>
    <x v="4"/>
    <x v="4"/>
    <x v="1"/>
    <x v="8"/>
    <x v="1"/>
    <x v="1"/>
    <x v="13"/>
    <x v="2"/>
  </r>
  <r>
    <x v="139"/>
    <x v="65"/>
    <x v="13"/>
    <x v="13"/>
    <x v="3"/>
    <x v="59"/>
    <x v="1"/>
    <x v="0"/>
    <x v="20"/>
    <x v="16"/>
    <x v="8"/>
    <x v="20"/>
    <x v="13"/>
    <x v="1"/>
    <x v="1"/>
    <x v="0"/>
    <x v="9"/>
    <x v="0"/>
    <x v="1"/>
    <x v="15"/>
    <x v="1"/>
  </r>
  <r>
    <x v="140"/>
    <x v="64"/>
    <x v="3"/>
    <x v="3"/>
    <x v="3"/>
    <x v="36"/>
    <x v="1"/>
    <x v="0"/>
    <x v="20"/>
    <x v="16"/>
    <x v="8"/>
    <x v="20"/>
    <x v="13"/>
    <x v="2"/>
    <x v="2"/>
    <x v="0"/>
    <x v="9"/>
    <x v="0"/>
    <x v="1"/>
    <x v="15"/>
    <x v="0"/>
  </r>
  <r>
    <x v="141"/>
    <x v="52"/>
    <x v="1"/>
    <x v="1"/>
    <x v="1"/>
    <x v="62"/>
    <x v="1"/>
    <x v="14"/>
    <x v="4"/>
    <x v="4"/>
    <x v="9"/>
    <x v="4"/>
    <x v="4"/>
    <x v="4"/>
    <x v="4"/>
    <x v="1"/>
    <x v="1"/>
    <x v="6"/>
    <x v="0"/>
    <x v="10"/>
    <x v="2"/>
  </r>
  <r>
    <x v="142"/>
    <x v="53"/>
    <x v="6"/>
    <x v="6"/>
    <x v="2"/>
    <x v="47"/>
    <x v="1"/>
    <x v="9"/>
    <x v="33"/>
    <x v="2"/>
    <x v="7"/>
    <x v="33"/>
    <x v="2"/>
    <x v="3"/>
    <x v="3"/>
    <x v="1"/>
    <x v="7"/>
    <x v="7"/>
    <x v="0"/>
    <x v="6"/>
    <x v="2"/>
  </r>
  <r>
    <x v="143"/>
    <x v="54"/>
    <x v="8"/>
    <x v="8"/>
    <x v="3"/>
    <x v="21"/>
    <x v="1"/>
    <x v="4"/>
    <x v="20"/>
    <x v="16"/>
    <x v="8"/>
    <x v="20"/>
    <x v="13"/>
    <x v="1"/>
    <x v="1"/>
    <x v="0"/>
    <x v="0"/>
    <x v="0"/>
    <x v="1"/>
    <x v="4"/>
    <x v="1"/>
  </r>
  <r>
    <x v="144"/>
    <x v="55"/>
    <x v="5"/>
    <x v="5"/>
    <x v="10"/>
    <x v="3"/>
    <x v="1"/>
    <x v="14"/>
    <x v="26"/>
    <x v="3"/>
    <x v="8"/>
    <x v="26"/>
    <x v="3"/>
    <x v="12"/>
    <x v="12"/>
    <x v="3"/>
    <x v="1"/>
    <x v="6"/>
    <x v="0"/>
    <x v="10"/>
    <x v="0"/>
  </r>
  <r>
    <x v="145"/>
    <x v="60"/>
    <x v="29"/>
    <x v="52"/>
    <x v="1"/>
    <x v="24"/>
    <x v="1"/>
    <x v="23"/>
    <x v="37"/>
    <x v="3"/>
    <x v="8"/>
    <x v="38"/>
    <x v="5"/>
    <x v="15"/>
    <x v="15"/>
    <x v="4"/>
    <x v="6"/>
    <x v="5"/>
    <x v="0"/>
    <x v="25"/>
    <x v="3"/>
  </r>
  <r>
    <x v="146"/>
    <x v="61"/>
    <x v="15"/>
    <x v="53"/>
    <x v="10"/>
    <x v="10"/>
    <x v="1"/>
    <x v="3"/>
    <x v="38"/>
    <x v="18"/>
    <x v="7"/>
    <x v="39"/>
    <x v="0"/>
    <x v="0"/>
    <x v="0"/>
    <x v="1"/>
    <x v="4"/>
    <x v="3"/>
    <x v="0"/>
    <x v="0"/>
    <x v="0"/>
  </r>
  <r>
    <x v="147"/>
    <x v="62"/>
    <x v="30"/>
    <x v="54"/>
    <x v="2"/>
    <x v="49"/>
    <x v="1"/>
    <x v="22"/>
    <x v="22"/>
    <x v="2"/>
    <x v="7"/>
    <x v="22"/>
    <x v="2"/>
    <x v="4"/>
    <x v="4"/>
    <x v="1"/>
    <x v="8"/>
    <x v="1"/>
    <x v="1"/>
    <x v="13"/>
    <x v="2"/>
  </r>
  <r>
    <x v="148"/>
    <x v="63"/>
    <x v="12"/>
    <x v="12"/>
    <x v="3"/>
    <x v="59"/>
    <x v="1"/>
    <x v="0"/>
    <x v="20"/>
    <x v="16"/>
    <x v="8"/>
    <x v="20"/>
    <x v="13"/>
    <x v="1"/>
    <x v="1"/>
    <x v="0"/>
    <x v="9"/>
    <x v="0"/>
    <x v="1"/>
    <x v="15"/>
    <x v="1"/>
  </r>
  <r>
    <x v="149"/>
    <x v="65"/>
    <x v="13"/>
    <x v="13"/>
    <x v="3"/>
    <x v="36"/>
    <x v="1"/>
    <x v="0"/>
    <x v="20"/>
    <x v="16"/>
    <x v="8"/>
    <x v="20"/>
    <x v="13"/>
    <x v="2"/>
    <x v="2"/>
    <x v="0"/>
    <x v="9"/>
    <x v="0"/>
    <x v="1"/>
    <x v="15"/>
    <x v="0"/>
  </r>
  <r>
    <x v="150"/>
    <x v="64"/>
    <x v="3"/>
    <x v="3"/>
    <x v="1"/>
    <x v="7"/>
    <x v="1"/>
    <x v="8"/>
    <x v="7"/>
    <x v="7"/>
    <x v="9"/>
    <x v="7"/>
    <x v="7"/>
    <x v="6"/>
    <x v="6"/>
    <x v="1"/>
    <x v="3"/>
    <x v="3"/>
    <x v="2"/>
    <x v="3"/>
    <x v="0"/>
  </r>
  <r>
    <x v="151"/>
    <x v="52"/>
    <x v="1"/>
    <x v="1"/>
    <x v="2"/>
    <x v="47"/>
    <x v="1"/>
    <x v="9"/>
    <x v="33"/>
    <x v="2"/>
    <x v="7"/>
    <x v="33"/>
    <x v="2"/>
    <x v="3"/>
    <x v="3"/>
    <x v="1"/>
    <x v="7"/>
    <x v="7"/>
    <x v="0"/>
    <x v="6"/>
    <x v="2"/>
  </r>
  <r>
    <x v="152"/>
    <x v="53"/>
    <x v="6"/>
    <x v="6"/>
    <x v="3"/>
    <x v="21"/>
    <x v="1"/>
    <x v="4"/>
    <x v="20"/>
    <x v="16"/>
    <x v="8"/>
    <x v="20"/>
    <x v="13"/>
    <x v="1"/>
    <x v="1"/>
    <x v="0"/>
    <x v="0"/>
    <x v="0"/>
    <x v="1"/>
    <x v="4"/>
    <x v="1"/>
  </r>
  <r>
    <x v="153"/>
    <x v="54"/>
    <x v="8"/>
    <x v="8"/>
    <x v="2"/>
    <x v="63"/>
    <x v="1"/>
    <x v="21"/>
    <x v="36"/>
    <x v="13"/>
    <x v="7"/>
    <x v="37"/>
    <x v="11"/>
    <x v="5"/>
    <x v="5"/>
    <x v="3"/>
    <x v="7"/>
    <x v="7"/>
    <x v="0"/>
    <x v="9"/>
    <x v="3"/>
  </r>
  <r>
    <x v="154"/>
    <x v="55"/>
    <x v="5"/>
    <x v="5"/>
    <x v="1"/>
    <x v="1"/>
    <x v="1"/>
    <x v="5"/>
    <x v="39"/>
    <x v="0"/>
    <x v="5"/>
    <x v="40"/>
    <x v="0"/>
    <x v="16"/>
    <x v="16"/>
    <x v="4"/>
    <x v="5"/>
    <x v="11"/>
    <x v="0"/>
    <x v="5"/>
    <x v="5"/>
  </r>
  <r>
    <x v="155"/>
    <x v="60"/>
    <x v="29"/>
    <x v="52"/>
    <x v="3"/>
    <x v="59"/>
    <x v="1"/>
    <x v="0"/>
    <x v="20"/>
    <x v="16"/>
    <x v="8"/>
    <x v="20"/>
    <x v="13"/>
    <x v="2"/>
    <x v="2"/>
    <x v="0"/>
    <x v="9"/>
    <x v="0"/>
    <x v="1"/>
    <x v="15"/>
    <x v="0"/>
  </r>
  <r>
    <x v="156"/>
    <x v="61"/>
    <x v="15"/>
    <x v="53"/>
    <x v="10"/>
    <x v="10"/>
    <x v="1"/>
    <x v="3"/>
    <x v="38"/>
    <x v="18"/>
    <x v="7"/>
    <x v="39"/>
    <x v="0"/>
    <x v="0"/>
    <x v="0"/>
    <x v="1"/>
    <x v="4"/>
    <x v="3"/>
    <x v="0"/>
    <x v="0"/>
    <x v="0"/>
  </r>
  <r>
    <x v="157"/>
    <x v="62"/>
    <x v="30"/>
    <x v="54"/>
    <x v="2"/>
    <x v="49"/>
    <x v="1"/>
    <x v="22"/>
    <x v="22"/>
    <x v="2"/>
    <x v="7"/>
    <x v="22"/>
    <x v="2"/>
    <x v="4"/>
    <x v="4"/>
    <x v="1"/>
    <x v="8"/>
    <x v="1"/>
    <x v="1"/>
    <x v="13"/>
    <x v="2"/>
  </r>
  <r>
    <x v="158"/>
    <x v="63"/>
    <x v="12"/>
    <x v="12"/>
    <x v="3"/>
    <x v="21"/>
    <x v="1"/>
    <x v="4"/>
    <x v="20"/>
    <x v="16"/>
    <x v="8"/>
    <x v="20"/>
    <x v="13"/>
    <x v="1"/>
    <x v="1"/>
    <x v="0"/>
    <x v="0"/>
    <x v="0"/>
    <x v="1"/>
    <x v="4"/>
    <x v="1"/>
  </r>
  <r>
    <x v="159"/>
    <x v="65"/>
    <x v="13"/>
    <x v="13"/>
    <x v="3"/>
    <x v="36"/>
    <x v="1"/>
    <x v="0"/>
    <x v="20"/>
    <x v="16"/>
    <x v="8"/>
    <x v="20"/>
    <x v="13"/>
    <x v="2"/>
    <x v="2"/>
    <x v="0"/>
    <x v="9"/>
    <x v="0"/>
    <x v="1"/>
    <x v="15"/>
    <x v="0"/>
  </r>
  <r>
    <x v="160"/>
    <x v="64"/>
    <x v="3"/>
    <x v="3"/>
    <x v="1"/>
    <x v="7"/>
    <x v="4"/>
    <x v="8"/>
    <x v="7"/>
    <x v="7"/>
    <x v="9"/>
    <x v="7"/>
    <x v="7"/>
    <x v="6"/>
    <x v="6"/>
    <x v="1"/>
    <x v="3"/>
    <x v="3"/>
    <x v="2"/>
    <x v="26"/>
    <x v="0"/>
  </r>
  <r>
    <x v="161"/>
    <x v="52"/>
    <x v="1"/>
    <x v="1"/>
    <x v="3"/>
    <x v="21"/>
    <x v="2"/>
    <x v="4"/>
    <x v="20"/>
    <x v="16"/>
    <x v="8"/>
    <x v="20"/>
    <x v="13"/>
    <x v="1"/>
    <x v="1"/>
    <x v="0"/>
    <x v="0"/>
    <x v="0"/>
    <x v="1"/>
    <x v="10"/>
    <x v="1"/>
  </r>
  <r>
    <x v="162"/>
    <x v="53"/>
    <x v="6"/>
    <x v="6"/>
    <x v="2"/>
    <x v="63"/>
    <x v="3"/>
    <x v="21"/>
    <x v="36"/>
    <x v="13"/>
    <x v="7"/>
    <x v="37"/>
    <x v="11"/>
    <x v="5"/>
    <x v="5"/>
    <x v="3"/>
    <x v="7"/>
    <x v="7"/>
    <x v="0"/>
    <x v="27"/>
    <x v="3"/>
  </r>
  <r>
    <x v="163"/>
    <x v="54"/>
    <x v="8"/>
    <x v="8"/>
    <x v="10"/>
    <x v="10"/>
    <x v="0"/>
    <x v="3"/>
    <x v="38"/>
    <x v="18"/>
    <x v="7"/>
    <x v="39"/>
    <x v="0"/>
    <x v="0"/>
    <x v="0"/>
    <x v="1"/>
    <x v="4"/>
    <x v="3"/>
    <x v="0"/>
    <x v="6"/>
    <x v="0"/>
  </r>
  <r>
    <x v="164"/>
    <x v="55"/>
    <x v="5"/>
    <x v="5"/>
    <x v="2"/>
    <x v="49"/>
    <x v="1"/>
    <x v="22"/>
    <x v="22"/>
    <x v="2"/>
    <x v="7"/>
    <x v="22"/>
    <x v="2"/>
    <x v="4"/>
    <x v="4"/>
    <x v="1"/>
    <x v="8"/>
    <x v="1"/>
    <x v="1"/>
    <x v="13"/>
    <x v="2"/>
  </r>
  <r>
    <x v="165"/>
    <x v="60"/>
    <x v="29"/>
    <x v="52"/>
    <x v="1"/>
    <x v="1"/>
    <x v="5"/>
    <x v="5"/>
    <x v="39"/>
    <x v="0"/>
    <x v="5"/>
    <x v="40"/>
    <x v="0"/>
    <x v="16"/>
    <x v="16"/>
    <x v="4"/>
    <x v="5"/>
    <x v="11"/>
    <x v="0"/>
    <x v="28"/>
    <x v="5"/>
  </r>
  <r>
    <x v="166"/>
    <x v="61"/>
    <x v="15"/>
    <x v="53"/>
    <x v="3"/>
    <x v="59"/>
    <x v="6"/>
    <x v="0"/>
    <x v="20"/>
    <x v="16"/>
    <x v="8"/>
    <x v="20"/>
    <x v="13"/>
    <x v="1"/>
    <x v="1"/>
    <x v="0"/>
    <x v="9"/>
    <x v="0"/>
    <x v="1"/>
    <x v="6"/>
    <x v="1"/>
  </r>
  <r>
    <x v="167"/>
    <x v="62"/>
    <x v="30"/>
    <x v="54"/>
    <x v="1"/>
    <x v="24"/>
    <x v="7"/>
    <x v="23"/>
    <x v="37"/>
    <x v="3"/>
    <x v="8"/>
    <x v="38"/>
    <x v="5"/>
    <x v="15"/>
    <x v="15"/>
    <x v="4"/>
    <x v="6"/>
    <x v="5"/>
    <x v="0"/>
    <x v="29"/>
    <x v="3"/>
  </r>
  <r>
    <x v="168"/>
    <x v="63"/>
    <x v="12"/>
    <x v="12"/>
    <x v="10"/>
    <x v="10"/>
    <x v="8"/>
    <x v="3"/>
    <x v="38"/>
    <x v="18"/>
    <x v="7"/>
    <x v="39"/>
    <x v="0"/>
    <x v="0"/>
    <x v="0"/>
    <x v="1"/>
    <x v="4"/>
    <x v="3"/>
    <x v="0"/>
    <x v="9"/>
    <x v="0"/>
  </r>
  <r>
    <x v="169"/>
    <x v="65"/>
    <x v="13"/>
    <x v="13"/>
    <x v="3"/>
    <x v="21"/>
    <x v="9"/>
    <x v="4"/>
    <x v="20"/>
    <x v="16"/>
    <x v="8"/>
    <x v="20"/>
    <x v="13"/>
    <x v="1"/>
    <x v="1"/>
    <x v="0"/>
    <x v="0"/>
    <x v="0"/>
    <x v="1"/>
    <x v="30"/>
    <x v="1"/>
  </r>
  <r>
    <x v="170"/>
    <x v="64"/>
    <x v="3"/>
    <x v="3"/>
    <x v="10"/>
    <x v="3"/>
    <x v="3"/>
    <x v="14"/>
    <x v="26"/>
    <x v="3"/>
    <x v="8"/>
    <x v="26"/>
    <x v="3"/>
    <x v="12"/>
    <x v="12"/>
    <x v="3"/>
    <x v="1"/>
    <x v="6"/>
    <x v="0"/>
    <x v="31"/>
    <x v="0"/>
  </r>
  <r>
    <x v="171"/>
    <x v="52"/>
    <x v="1"/>
    <x v="1"/>
    <x v="3"/>
    <x v="36"/>
    <x v="6"/>
    <x v="0"/>
    <x v="20"/>
    <x v="16"/>
    <x v="8"/>
    <x v="20"/>
    <x v="13"/>
    <x v="2"/>
    <x v="2"/>
    <x v="0"/>
    <x v="9"/>
    <x v="0"/>
    <x v="1"/>
    <x v="6"/>
    <x v="0"/>
  </r>
  <r>
    <x v="172"/>
    <x v="53"/>
    <x v="6"/>
    <x v="6"/>
    <x v="1"/>
    <x v="7"/>
    <x v="0"/>
    <x v="8"/>
    <x v="7"/>
    <x v="7"/>
    <x v="9"/>
    <x v="7"/>
    <x v="7"/>
    <x v="6"/>
    <x v="6"/>
    <x v="1"/>
    <x v="3"/>
    <x v="3"/>
    <x v="2"/>
    <x v="9"/>
    <x v="0"/>
  </r>
  <r>
    <x v="173"/>
    <x v="54"/>
    <x v="8"/>
    <x v="8"/>
    <x v="2"/>
    <x v="47"/>
    <x v="4"/>
    <x v="9"/>
    <x v="33"/>
    <x v="2"/>
    <x v="7"/>
    <x v="33"/>
    <x v="2"/>
    <x v="3"/>
    <x v="3"/>
    <x v="1"/>
    <x v="7"/>
    <x v="7"/>
    <x v="0"/>
    <x v="32"/>
    <x v="2"/>
  </r>
  <r>
    <x v="174"/>
    <x v="55"/>
    <x v="5"/>
    <x v="5"/>
    <x v="1"/>
    <x v="1"/>
    <x v="1"/>
    <x v="5"/>
    <x v="39"/>
    <x v="0"/>
    <x v="5"/>
    <x v="40"/>
    <x v="0"/>
    <x v="16"/>
    <x v="16"/>
    <x v="4"/>
    <x v="5"/>
    <x v="11"/>
    <x v="0"/>
    <x v="5"/>
    <x v="5"/>
  </r>
  <r>
    <x v="175"/>
    <x v="60"/>
    <x v="29"/>
    <x v="52"/>
    <x v="3"/>
    <x v="59"/>
    <x v="2"/>
    <x v="0"/>
    <x v="20"/>
    <x v="16"/>
    <x v="8"/>
    <x v="20"/>
    <x v="13"/>
    <x v="1"/>
    <x v="1"/>
    <x v="0"/>
    <x v="0"/>
    <x v="0"/>
    <x v="1"/>
    <x v="7"/>
    <x v="1"/>
  </r>
  <r>
    <x v="176"/>
    <x v="61"/>
    <x v="15"/>
    <x v="53"/>
    <x v="10"/>
    <x v="10"/>
    <x v="5"/>
    <x v="3"/>
    <x v="38"/>
    <x v="18"/>
    <x v="7"/>
    <x v="39"/>
    <x v="0"/>
    <x v="0"/>
    <x v="0"/>
    <x v="1"/>
    <x v="4"/>
    <x v="3"/>
    <x v="0"/>
    <x v="25"/>
    <x v="0"/>
  </r>
  <r>
    <x v="177"/>
    <x v="62"/>
    <x v="30"/>
    <x v="54"/>
    <x v="2"/>
    <x v="49"/>
    <x v="3"/>
    <x v="22"/>
    <x v="22"/>
    <x v="2"/>
    <x v="7"/>
    <x v="22"/>
    <x v="2"/>
    <x v="4"/>
    <x v="4"/>
    <x v="1"/>
    <x v="8"/>
    <x v="1"/>
    <x v="1"/>
    <x v="33"/>
    <x v="2"/>
  </r>
  <r>
    <x v="178"/>
    <x v="63"/>
    <x v="12"/>
    <x v="12"/>
    <x v="3"/>
    <x v="21"/>
    <x v="0"/>
    <x v="4"/>
    <x v="20"/>
    <x v="16"/>
    <x v="8"/>
    <x v="20"/>
    <x v="13"/>
    <x v="1"/>
    <x v="1"/>
    <x v="0"/>
    <x v="0"/>
    <x v="0"/>
    <x v="1"/>
    <x v="18"/>
    <x v="1"/>
  </r>
  <r>
    <x v="179"/>
    <x v="65"/>
    <x v="13"/>
    <x v="13"/>
    <x v="1"/>
    <x v="62"/>
    <x v="8"/>
    <x v="14"/>
    <x v="4"/>
    <x v="4"/>
    <x v="9"/>
    <x v="4"/>
    <x v="4"/>
    <x v="4"/>
    <x v="4"/>
    <x v="1"/>
    <x v="1"/>
    <x v="6"/>
    <x v="0"/>
    <x v="34"/>
    <x v="2"/>
  </r>
  <r>
    <x v="180"/>
    <x v="66"/>
    <x v="10"/>
    <x v="10"/>
    <x v="2"/>
    <x v="47"/>
    <x v="2"/>
    <x v="9"/>
    <x v="33"/>
    <x v="2"/>
    <x v="7"/>
    <x v="33"/>
    <x v="2"/>
    <x v="3"/>
    <x v="3"/>
    <x v="1"/>
    <x v="7"/>
    <x v="7"/>
    <x v="0"/>
    <x v="35"/>
    <x v="2"/>
  </r>
  <r>
    <x v="181"/>
    <x v="67"/>
    <x v="22"/>
    <x v="55"/>
    <x v="3"/>
    <x v="59"/>
    <x v="3"/>
    <x v="0"/>
    <x v="20"/>
    <x v="16"/>
    <x v="8"/>
    <x v="20"/>
    <x v="13"/>
    <x v="0"/>
    <x v="0"/>
    <x v="0"/>
    <x v="9"/>
    <x v="0"/>
    <x v="1"/>
    <x v="1"/>
    <x v="0"/>
  </r>
  <r>
    <x v="182"/>
    <x v="68"/>
    <x v="11"/>
    <x v="11"/>
    <x v="1"/>
    <x v="24"/>
    <x v="1"/>
    <x v="23"/>
    <x v="37"/>
    <x v="3"/>
    <x v="8"/>
    <x v="38"/>
    <x v="5"/>
    <x v="15"/>
    <x v="15"/>
    <x v="4"/>
    <x v="6"/>
    <x v="5"/>
    <x v="0"/>
    <x v="25"/>
    <x v="3"/>
  </r>
  <r>
    <x v="183"/>
    <x v="69"/>
    <x v="19"/>
    <x v="19"/>
    <x v="10"/>
    <x v="10"/>
    <x v="8"/>
    <x v="3"/>
    <x v="38"/>
    <x v="18"/>
    <x v="7"/>
    <x v="39"/>
    <x v="0"/>
    <x v="0"/>
    <x v="0"/>
    <x v="1"/>
    <x v="4"/>
    <x v="3"/>
    <x v="0"/>
    <x v="9"/>
    <x v="0"/>
  </r>
  <r>
    <x v="184"/>
    <x v="70"/>
    <x v="23"/>
    <x v="27"/>
    <x v="2"/>
    <x v="49"/>
    <x v="6"/>
    <x v="22"/>
    <x v="22"/>
    <x v="2"/>
    <x v="7"/>
    <x v="22"/>
    <x v="2"/>
    <x v="4"/>
    <x v="4"/>
    <x v="1"/>
    <x v="8"/>
    <x v="1"/>
    <x v="1"/>
    <x v="5"/>
    <x v="2"/>
  </r>
  <r>
    <x v="185"/>
    <x v="71"/>
    <x v="31"/>
    <x v="56"/>
    <x v="3"/>
    <x v="21"/>
    <x v="4"/>
    <x v="4"/>
    <x v="20"/>
    <x v="16"/>
    <x v="8"/>
    <x v="20"/>
    <x v="13"/>
    <x v="1"/>
    <x v="1"/>
    <x v="0"/>
    <x v="0"/>
    <x v="0"/>
    <x v="1"/>
    <x v="36"/>
    <x v="1"/>
  </r>
  <r>
    <x v="186"/>
    <x v="72"/>
    <x v="25"/>
    <x v="29"/>
    <x v="1"/>
    <x v="1"/>
    <x v="0"/>
    <x v="5"/>
    <x v="39"/>
    <x v="0"/>
    <x v="5"/>
    <x v="40"/>
    <x v="0"/>
    <x v="16"/>
    <x v="16"/>
    <x v="4"/>
    <x v="5"/>
    <x v="11"/>
    <x v="0"/>
    <x v="37"/>
    <x v="5"/>
  </r>
  <r>
    <x v="187"/>
    <x v="73"/>
    <x v="22"/>
    <x v="26"/>
    <x v="3"/>
    <x v="36"/>
    <x v="2"/>
    <x v="0"/>
    <x v="20"/>
    <x v="16"/>
    <x v="8"/>
    <x v="20"/>
    <x v="13"/>
    <x v="6"/>
    <x v="6"/>
    <x v="0"/>
    <x v="9"/>
    <x v="0"/>
    <x v="1"/>
    <x v="7"/>
    <x v="0"/>
  </r>
  <r>
    <x v="188"/>
    <x v="74"/>
    <x v="27"/>
    <x v="57"/>
    <x v="10"/>
    <x v="3"/>
    <x v="3"/>
    <x v="14"/>
    <x v="26"/>
    <x v="3"/>
    <x v="8"/>
    <x v="26"/>
    <x v="3"/>
    <x v="12"/>
    <x v="12"/>
    <x v="3"/>
    <x v="1"/>
    <x v="6"/>
    <x v="0"/>
    <x v="31"/>
    <x v="0"/>
  </r>
  <r>
    <x v="189"/>
    <x v="75"/>
    <x v="4"/>
    <x v="4"/>
    <x v="3"/>
    <x v="64"/>
    <x v="8"/>
    <x v="4"/>
    <x v="20"/>
    <x v="16"/>
    <x v="8"/>
    <x v="20"/>
    <x v="13"/>
    <x v="1"/>
    <x v="1"/>
    <x v="0"/>
    <x v="0"/>
    <x v="0"/>
    <x v="1"/>
    <x v="38"/>
    <x v="1"/>
  </r>
  <r>
    <x v="190"/>
    <x v="76"/>
    <x v="17"/>
    <x v="17"/>
    <x v="1"/>
    <x v="7"/>
    <x v="6"/>
    <x v="8"/>
    <x v="7"/>
    <x v="7"/>
    <x v="9"/>
    <x v="7"/>
    <x v="7"/>
    <x v="17"/>
    <x v="17"/>
    <x v="1"/>
    <x v="3"/>
    <x v="3"/>
    <x v="2"/>
    <x v="31"/>
    <x v="4"/>
  </r>
  <r>
    <x v="191"/>
    <x v="77"/>
    <x v="2"/>
    <x v="2"/>
    <x v="10"/>
    <x v="10"/>
    <x v="4"/>
    <x v="3"/>
    <x v="38"/>
    <x v="18"/>
    <x v="7"/>
    <x v="39"/>
    <x v="0"/>
    <x v="7"/>
    <x v="7"/>
    <x v="1"/>
    <x v="4"/>
    <x v="3"/>
    <x v="0"/>
    <x v="19"/>
    <x v="0"/>
  </r>
  <r>
    <x v="192"/>
    <x v="78"/>
    <x v="18"/>
    <x v="18"/>
    <x v="3"/>
    <x v="59"/>
    <x v="0"/>
    <x v="0"/>
    <x v="20"/>
    <x v="16"/>
    <x v="8"/>
    <x v="20"/>
    <x v="13"/>
    <x v="11"/>
    <x v="11"/>
    <x v="0"/>
    <x v="9"/>
    <x v="0"/>
    <x v="1"/>
    <x v="0"/>
    <x v="4"/>
  </r>
  <r>
    <x v="193"/>
    <x v="79"/>
    <x v="10"/>
    <x v="58"/>
    <x v="1"/>
    <x v="24"/>
    <x v="2"/>
    <x v="23"/>
    <x v="37"/>
    <x v="3"/>
    <x v="8"/>
    <x v="38"/>
    <x v="5"/>
    <x v="4"/>
    <x v="4"/>
    <x v="4"/>
    <x v="6"/>
    <x v="5"/>
    <x v="0"/>
    <x v="37"/>
    <x v="2"/>
  </r>
  <r>
    <x v="194"/>
    <x v="80"/>
    <x v="32"/>
    <x v="59"/>
    <x v="2"/>
    <x v="49"/>
    <x v="3"/>
    <x v="22"/>
    <x v="22"/>
    <x v="2"/>
    <x v="7"/>
    <x v="22"/>
    <x v="2"/>
    <x v="10"/>
    <x v="10"/>
    <x v="1"/>
    <x v="8"/>
    <x v="1"/>
    <x v="1"/>
    <x v="33"/>
    <x v="0"/>
  </r>
  <r>
    <x v="195"/>
    <x v="81"/>
    <x v="16"/>
    <x v="16"/>
    <x v="3"/>
    <x v="21"/>
    <x v="8"/>
    <x v="4"/>
    <x v="20"/>
    <x v="16"/>
    <x v="8"/>
    <x v="20"/>
    <x v="13"/>
    <x v="1"/>
    <x v="1"/>
    <x v="0"/>
    <x v="0"/>
    <x v="0"/>
    <x v="1"/>
    <x v="38"/>
    <x v="1"/>
  </r>
  <r>
    <x v="196"/>
    <x v="82"/>
    <x v="9"/>
    <x v="9"/>
    <x v="10"/>
    <x v="3"/>
    <x v="0"/>
    <x v="14"/>
    <x v="26"/>
    <x v="3"/>
    <x v="8"/>
    <x v="26"/>
    <x v="3"/>
    <x v="12"/>
    <x v="12"/>
    <x v="3"/>
    <x v="1"/>
    <x v="6"/>
    <x v="0"/>
    <x v="25"/>
    <x v="0"/>
  </r>
  <r>
    <x v="197"/>
    <x v="83"/>
    <x v="4"/>
    <x v="60"/>
    <x v="1"/>
    <x v="1"/>
    <x v="1"/>
    <x v="5"/>
    <x v="39"/>
    <x v="0"/>
    <x v="5"/>
    <x v="40"/>
    <x v="0"/>
    <x v="16"/>
    <x v="16"/>
    <x v="4"/>
    <x v="5"/>
    <x v="11"/>
    <x v="0"/>
    <x v="5"/>
    <x v="5"/>
  </r>
  <r>
    <x v="198"/>
    <x v="84"/>
    <x v="20"/>
    <x v="21"/>
    <x v="3"/>
    <x v="36"/>
    <x v="6"/>
    <x v="0"/>
    <x v="20"/>
    <x v="16"/>
    <x v="8"/>
    <x v="20"/>
    <x v="13"/>
    <x v="6"/>
    <x v="6"/>
    <x v="0"/>
    <x v="9"/>
    <x v="0"/>
    <x v="1"/>
    <x v="6"/>
    <x v="0"/>
  </r>
  <r>
    <x v="199"/>
    <x v="85"/>
    <x v="26"/>
    <x v="32"/>
    <x v="10"/>
    <x v="10"/>
    <x v="5"/>
    <x v="3"/>
    <x v="38"/>
    <x v="18"/>
    <x v="7"/>
    <x v="39"/>
    <x v="0"/>
    <x v="0"/>
    <x v="0"/>
    <x v="1"/>
    <x v="4"/>
    <x v="3"/>
    <x v="0"/>
    <x v="25"/>
    <x v="0"/>
  </r>
  <r>
    <x v="200"/>
    <x v="62"/>
    <x v="30"/>
    <x v="54"/>
    <x v="1"/>
    <x v="7"/>
    <x v="8"/>
    <x v="8"/>
    <x v="7"/>
    <x v="7"/>
    <x v="9"/>
    <x v="7"/>
    <x v="7"/>
    <x v="6"/>
    <x v="6"/>
    <x v="1"/>
    <x v="3"/>
    <x v="3"/>
    <x v="2"/>
    <x v="27"/>
    <x v="0"/>
  </r>
  <r>
    <x v="201"/>
    <x v="86"/>
    <x v="7"/>
    <x v="7"/>
    <x v="3"/>
    <x v="21"/>
    <x v="3"/>
    <x v="4"/>
    <x v="20"/>
    <x v="16"/>
    <x v="8"/>
    <x v="20"/>
    <x v="13"/>
    <x v="1"/>
    <x v="1"/>
    <x v="0"/>
    <x v="0"/>
    <x v="0"/>
    <x v="1"/>
    <x v="24"/>
    <x v="1"/>
  </r>
  <r>
    <x v="202"/>
    <x v="87"/>
    <x v="33"/>
    <x v="61"/>
    <x v="2"/>
    <x v="63"/>
    <x v="6"/>
    <x v="21"/>
    <x v="36"/>
    <x v="13"/>
    <x v="7"/>
    <x v="37"/>
    <x v="11"/>
    <x v="5"/>
    <x v="5"/>
    <x v="3"/>
    <x v="7"/>
    <x v="7"/>
    <x v="0"/>
    <x v="34"/>
    <x v="3"/>
  </r>
  <r>
    <x v="203"/>
    <x v="88"/>
    <x v="14"/>
    <x v="14"/>
    <x v="10"/>
    <x v="10"/>
    <x v="2"/>
    <x v="3"/>
    <x v="38"/>
    <x v="18"/>
    <x v="7"/>
    <x v="39"/>
    <x v="0"/>
    <x v="0"/>
    <x v="0"/>
    <x v="1"/>
    <x v="4"/>
    <x v="3"/>
    <x v="0"/>
    <x v="13"/>
    <x v="0"/>
  </r>
  <r>
    <x v="204"/>
    <x v="89"/>
    <x v="21"/>
    <x v="22"/>
    <x v="2"/>
    <x v="49"/>
    <x v="0"/>
    <x v="22"/>
    <x v="22"/>
    <x v="2"/>
    <x v="7"/>
    <x v="22"/>
    <x v="2"/>
    <x v="4"/>
    <x v="4"/>
    <x v="1"/>
    <x v="8"/>
    <x v="1"/>
    <x v="1"/>
    <x v="35"/>
    <x v="2"/>
  </r>
  <r>
    <x v="205"/>
    <x v="90"/>
    <x v="34"/>
    <x v="62"/>
    <x v="1"/>
    <x v="24"/>
    <x v="5"/>
    <x v="23"/>
    <x v="37"/>
    <x v="3"/>
    <x v="8"/>
    <x v="38"/>
    <x v="5"/>
    <x v="15"/>
    <x v="15"/>
    <x v="4"/>
    <x v="6"/>
    <x v="5"/>
    <x v="0"/>
    <x v="39"/>
    <x v="3"/>
  </r>
  <r>
    <x v="206"/>
    <x v="73"/>
    <x v="22"/>
    <x v="26"/>
    <x v="3"/>
    <x v="59"/>
    <x v="3"/>
    <x v="0"/>
    <x v="20"/>
    <x v="16"/>
    <x v="8"/>
    <x v="20"/>
    <x v="13"/>
    <x v="11"/>
    <x v="11"/>
    <x v="0"/>
    <x v="9"/>
    <x v="0"/>
    <x v="1"/>
    <x v="1"/>
    <x v="4"/>
  </r>
  <r>
    <x v="207"/>
    <x v="80"/>
    <x v="32"/>
    <x v="59"/>
    <x v="1"/>
    <x v="7"/>
    <x v="8"/>
    <x v="8"/>
    <x v="7"/>
    <x v="7"/>
    <x v="9"/>
    <x v="7"/>
    <x v="7"/>
    <x v="17"/>
    <x v="17"/>
    <x v="1"/>
    <x v="3"/>
    <x v="3"/>
    <x v="2"/>
    <x v="27"/>
    <x v="4"/>
  </r>
  <r>
    <x v="208"/>
    <x v="72"/>
    <x v="25"/>
    <x v="29"/>
    <x v="10"/>
    <x v="3"/>
    <x v="0"/>
    <x v="14"/>
    <x v="26"/>
    <x v="3"/>
    <x v="8"/>
    <x v="26"/>
    <x v="3"/>
    <x v="12"/>
    <x v="12"/>
    <x v="3"/>
    <x v="1"/>
    <x v="6"/>
    <x v="0"/>
    <x v="25"/>
    <x v="0"/>
  </r>
  <r>
    <x v="209"/>
    <x v="91"/>
    <x v="33"/>
    <x v="63"/>
    <x v="3"/>
    <x v="36"/>
    <x v="6"/>
    <x v="0"/>
    <x v="20"/>
    <x v="16"/>
    <x v="8"/>
    <x v="20"/>
    <x v="13"/>
    <x v="6"/>
    <x v="6"/>
    <x v="0"/>
    <x v="9"/>
    <x v="0"/>
    <x v="1"/>
    <x v="6"/>
    <x v="0"/>
  </r>
  <r>
    <x v="210"/>
    <x v="76"/>
    <x v="17"/>
    <x v="17"/>
    <x v="2"/>
    <x v="47"/>
    <x v="3"/>
    <x v="9"/>
    <x v="33"/>
    <x v="2"/>
    <x v="7"/>
    <x v="33"/>
    <x v="2"/>
    <x v="3"/>
    <x v="3"/>
    <x v="1"/>
    <x v="7"/>
    <x v="7"/>
    <x v="0"/>
    <x v="9"/>
    <x v="2"/>
  </r>
  <r>
    <x v="211"/>
    <x v="86"/>
    <x v="7"/>
    <x v="7"/>
    <x v="1"/>
    <x v="1"/>
    <x v="0"/>
    <x v="5"/>
    <x v="39"/>
    <x v="0"/>
    <x v="5"/>
    <x v="40"/>
    <x v="0"/>
    <x v="16"/>
    <x v="16"/>
    <x v="4"/>
    <x v="5"/>
    <x v="11"/>
    <x v="0"/>
    <x v="37"/>
    <x v="5"/>
  </r>
  <r>
    <x v="212"/>
    <x v="87"/>
    <x v="33"/>
    <x v="61"/>
    <x v="3"/>
    <x v="21"/>
    <x v="2"/>
    <x v="4"/>
    <x v="20"/>
    <x v="16"/>
    <x v="8"/>
    <x v="20"/>
    <x v="13"/>
    <x v="1"/>
    <x v="1"/>
    <x v="0"/>
    <x v="0"/>
    <x v="0"/>
    <x v="1"/>
    <x v="10"/>
    <x v="1"/>
  </r>
  <r>
    <x v="213"/>
    <x v="88"/>
    <x v="14"/>
    <x v="14"/>
    <x v="10"/>
    <x v="10"/>
    <x v="8"/>
    <x v="3"/>
    <x v="38"/>
    <x v="18"/>
    <x v="7"/>
    <x v="39"/>
    <x v="0"/>
    <x v="0"/>
    <x v="0"/>
    <x v="1"/>
    <x v="4"/>
    <x v="3"/>
    <x v="0"/>
    <x v="9"/>
    <x v="0"/>
  </r>
  <r>
    <x v="214"/>
    <x v="89"/>
    <x v="21"/>
    <x v="22"/>
    <x v="3"/>
    <x v="36"/>
    <x v="3"/>
    <x v="0"/>
    <x v="20"/>
    <x v="16"/>
    <x v="8"/>
    <x v="20"/>
    <x v="13"/>
    <x v="6"/>
    <x v="6"/>
    <x v="0"/>
    <x v="9"/>
    <x v="0"/>
    <x v="1"/>
    <x v="1"/>
    <x v="0"/>
  </r>
  <r>
    <x v="215"/>
    <x v="90"/>
    <x v="34"/>
    <x v="62"/>
    <x v="2"/>
    <x v="49"/>
    <x v="6"/>
    <x v="22"/>
    <x v="22"/>
    <x v="2"/>
    <x v="7"/>
    <x v="22"/>
    <x v="2"/>
    <x v="4"/>
    <x v="4"/>
    <x v="1"/>
    <x v="8"/>
    <x v="1"/>
    <x v="1"/>
    <x v="5"/>
    <x v="2"/>
  </r>
  <r>
    <x v="216"/>
    <x v="73"/>
    <x v="22"/>
    <x v="26"/>
    <x v="1"/>
    <x v="7"/>
    <x v="0"/>
    <x v="8"/>
    <x v="7"/>
    <x v="7"/>
    <x v="9"/>
    <x v="7"/>
    <x v="7"/>
    <x v="17"/>
    <x v="17"/>
    <x v="1"/>
    <x v="3"/>
    <x v="3"/>
    <x v="2"/>
    <x v="9"/>
    <x v="4"/>
  </r>
  <r>
    <x v="217"/>
    <x v="80"/>
    <x v="32"/>
    <x v="59"/>
    <x v="10"/>
    <x v="3"/>
    <x v="2"/>
    <x v="14"/>
    <x v="26"/>
    <x v="3"/>
    <x v="8"/>
    <x v="26"/>
    <x v="3"/>
    <x v="12"/>
    <x v="12"/>
    <x v="3"/>
    <x v="1"/>
    <x v="6"/>
    <x v="0"/>
    <x v="5"/>
    <x v="0"/>
  </r>
  <r>
    <x v="218"/>
    <x v="72"/>
    <x v="25"/>
    <x v="29"/>
    <x v="3"/>
    <x v="59"/>
    <x v="3"/>
    <x v="0"/>
    <x v="20"/>
    <x v="16"/>
    <x v="8"/>
    <x v="20"/>
    <x v="13"/>
    <x v="11"/>
    <x v="11"/>
    <x v="0"/>
    <x v="9"/>
    <x v="0"/>
    <x v="1"/>
    <x v="1"/>
    <x v="4"/>
  </r>
  <r>
    <x v="219"/>
    <x v="91"/>
    <x v="33"/>
    <x v="63"/>
    <x v="1"/>
    <x v="24"/>
    <x v="4"/>
    <x v="23"/>
    <x v="37"/>
    <x v="3"/>
    <x v="8"/>
    <x v="38"/>
    <x v="5"/>
    <x v="15"/>
    <x v="15"/>
    <x v="4"/>
    <x v="6"/>
    <x v="5"/>
    <x v="0"/>
    <x v="40"/>
    <x v="3"/>
  </r>
  <r>
    <x v="220"/>
    <x v="78"/>
    <x v="18"/>
    <x v="18"/>
    <x v="2"/>
    <x v="47"/>
    <x v="6"/>
    <x v="9"/>
    <x v="33"/>
    <x v="2"/>
    <x v="7"/>
    <x v="33"/>
    <x v="2"/>
    <x v="18"/>
    <x v="6"/>
    <x v="1"/>
    <x v="7"/>
    <x v="7"/>
    <x v="0"/>
    <x v="25"/>
    <x v="2"/>
  </r>
  <r>
    <x v="221"/>
    <x v="62"/>
    <x v="30"/>
    <x v="54"/>
    <x v="10"/>
    <x v="10"/>
    <x v="0"/>
    <x v="3"/>
    <x v="38"/>
    <x v="18"/>
    <x v="7"/>
    <x v="39"/>
    <x v="0"/>
    <x v="19"/>
    <x v="18"/>
    <x v="1"/>
    <x v="4"/>
    <x v="3"/>
    <x v="0"/>
    <x v="6"/>
    <x v="3"/>
  </r>
  <r>
    <x v="222"/>
    <x v="86"/>
    <x v="7"/>
    <x v="7"/>
    <x v="1"/>
    <x v="1"/>
    <x v="3"/>
    <x v="5"/>
    <x v="39"/>
    <x v="0"/>
    <x v="5"/>
    <x v="40"/>
    <x v="0"/>
    <x v="20"/>
    <x v="9"/>
    <x v="4"/>
    <x v="5"/>
    <x v="11"/>
    <x v="0"/>
    <x v="41"/>
    <x v="5"/>
  </r>
  <r>
    <x v="223"/>
    <x v="87"/>
    <x v="33"/>
    <x v="61"/>
    <x v="3"/>
    <x v="21"/>
    <x v="8"/>
    <x v="4"/>
    <x v="20"/>
    <x v="16"/>
    <x v="8"/>
    <x v="20"/>
    <x v="13"/>
    <x v="21"/>
    <x v="1"/>
    <x v="0"/>
    <x v="0"/>
    <x v="0"/>
    <x v="1"/>
    <x v="38"/>
    <x v="3"/>
  </r>
  <r>
    <x v="224"/>
    <x v="88"/>
    <x v="14"/>
    <x v="14"/>
    <x v="10"/>
    <x v="3"/>
    <x v="6"/>
    <x v="14"/>
    <x v="26"/>
    <x v="3"/>
    <x v="8"/>
    <x v="26"/>
    <x v="3"/>
    <x v="8"/>
    <x v="8"/>
    <x v="3"/>
    <x v="1"/>
    <x v="6"/>
    <x v="0"/>
    <x v="42"/>
    <x v="0"/>
  </r>
  <r>
    <x v="225"/>
    <x v="89"/>
    <x v="21"/>
    <x v="22"/>
    <x v="3"/>
    <x v="36"/>
    <x v="0"/>
    <x v="0"/>
    <x v="20"/>
    <x v="16"/>
    <x v="8"/>
    <x v="20"/>
    <x v="13"/>
    <x v="16"/>
    <x v="6"/>
    <x v="0"/>
    <x v="9"/>
    <x v="0"/>
    <x v="1"/>
    <x v="0"/>
    <x v="4"/>
  </r>
  <r>
    <x v="226"/>
    <x v="90"/>
    <x v="34"/>
    <x v="62"/>
    <x v="2"/>
    <x v="49"/>
    <x v="2"/>
    <x v="22"/>
    <x v="22"/>
    <x v="2"/>
    <x v="7"/>
    <x v="22"/>
    <x v="2"/>
    <x v="0"/>
    <x v="0"/>
    <x v="1"/>
    <x v="8"/>
    <x v="1"/>
    <x v="1"/>
    <x v="23"/>
    <x v="0"/>
  </r>
  <r>
    <x v="227"/>
    <x v="73"/>
    <x v="22"/>
    <x v="26"/>
    <x v="1"/>
    <x v="7"/>
    <x v="3"/>
    <x v="8"/>
    <x v="7"/>
    <x v="7"/>
    <x v="9"/>
    <x v="7"/>
    <x v="7"/>
    <x v="10"/>
    <x v="10"/>
    <x v="1"/>
    <x v="3"/>
    <x v="3"/>
    <x v="2"/>
    <x v="43"/>
    <x v="0"/>
  </r>
  <r>
    <x v="228"/>
    <x v="80"/>
    <x v="32"/>
    <x v="59"/>
    <x v="10"/>
    <x v="10"/>
    <x v="8"/>
    <x v="3"/>
    <x v="38"/>
    <x v="18"/>
    <x v="7"/>
    <x v="39"/>
    <x v="0"/>
    <x v="4"/>
    <x v="4"/>
    <x v="1"/>
    <x v="4"/>
    <x v="3"/>
    <x v="0"/>
    <x v="9"/>
    <x v="2"/>
  </r>
  <r>
    <x v="229"/>
    <x v="72"/>
    <x v="25"/>
    <x v="29"/>
    <x v="3"/>
    <x v="59"/>
    <x v="6"/>
    <x v="0"/>
    <x v="20"/>
    <x v="16"/>
    <x v="8"/>
    <x v="20"/>
    <x v="13"/>
    <x v="6"/>
    <x v="6"/>
    <x v="0"/>
    <x v="9"/>
    <x v="0"/>
    <x v="1"/>
    <x v="6"/>
    <x v="0"/>
  </r>
  <r>
    <x v="230"/>
    <x v="91"/>
    <x v="33"/>
    <x v="63"/>
    <x v="2"/>
    <x v="47"/>
    <x v="0"/>
    <x v="9"/>
    <x v="33"/>
    <x v="2"/>
    <x v="7"/>
    <x v="33"/>
    <x v="2"/>
    <x v="3"/>
    <x v="3"/>
    <x v="1"/>
    <x v="7"/>
    <x v="7"/>
    <x v="0"/>
    <x v="10"/>
    <x v="2"/>
  </r>
  <r>
    <x v="231"/>
    <x v="78"/>
    <x v="18"/>
    <x v="18"/>
    <x v="1"/>
    <x v="1"/>
    <x v="1"/>
    <x v="5"/>
    <x v="39"/>
    <x v="0"/>
    <x v="5"/>
    <x v="40"/>
    <x v="0"/>
    <x v="16"/>
    <x v="16"/>
    <x v="4"/>
    <x v="5"/>
    <x v="11"/>
    <x v="0"/>
    <x v="5"/>
    <x v="5"/>
  </r>
  <r>
    <x v="232"/>
    <x v="62"/>
    <x v="30"/>
    <x v="54"/>
    <x v="3"/>
    <x v="21"/>
    <x v="3"/>
    <x v="4"/>
    <x v="20"/>
    <x v="16"/>
    <x v="8"/>
    <x v="20"/>
    <x v="13"/>
    <x v="1"/>
    <x v="1"/>
    <x v="0"/>
    <x v="0"/>
    <x v="0"/>
    <x v="1"/>
    <x v="24"/>
    <x v="1"/>
  </r>
  <r>
    <x v="233"/>
    <x v="86"/>
    <x v="7"/>
    <x v="7"/>
    <x v="10"/>
    <x v="10"/>
    <x v="6"/>
    <x v="3"/>
    <x v="38"/>
    <x v="18"/>
    <x v="7"/>
    <x v="39"/>
    <x v="0"/>
    <x v="0"/>
    <x v="0"/>
    <x v="1"/>
    <x v="4"/>
    <x v="3"/>
    <x v="0"/>
    <x v="10"/>
    <x v="0"/>
  </r>
  <r>
    <x v="234"/>
    <x v="87"/>
    <x v="33"/>
    <x v="61"/>
    <x v="3"/>
    <x v="36"/>
    <x v="2"/>
    <x v="0"/>
    <x v="20"/>
    <x v="16"/>
    <x v="8"/>
    <x v="20"/>
    <x v="13"/>
    <x v="6"/>
    <x v="6"/>
    <x v="0"/>
    <x v="9"/>
    <x v="0"/>
    <x v="1"/>
    <x v="7"/>
    <x v="0"/>
  </r>
  <r>
    <x v="235"/>
    <x v="88"/>
    <x v="14"/>
    <x v="14"/>
    <x v="1"/>
    <x v="7"/>
    <x v="0"/>
    <x v="8"/>
    <x v="7"/>
    <x v="7"/>
    <x v="9"/>
    <x v="7"/>
    <x v="7"/>
    <x v="17"/>
    <x v="17"/>
    <x v="1"/>
    <x v="3"/>
    <x v="3"/>
    <x v="2"/>
    <x v="9"/>
    <x v="4"/>
  </r>
  <r>
    <x v="236"/>
    <x v="89"/>
    <x v="21"/>
    <x v="22"/>
    <x v="2"/>
    <x v="49"/>
    <x v="3"/>
    <x v="22"/>
    <x v="22"/>
    <x v="2"/>
    <x v="7"/>
    <x v="22"/>
    <x v="2"/>
    <x v="4"/>
    <x v="4"/>
    <x v="1"/>
    <x v="8"/>
    <x v="1"/>
    <x v="1"/>
    <x v="33"/>
    <x v="2"/>
  </r>
  <r>
    <x v="237"/>
    <x v="90"/>
    <x v="34"/>
    <x v="62"/>
    <x v="10"/>
    <x v="3"/>
    <x v="2"/>
    <x v="14"/>
    <x v="26"/>
    <x v="3"/>
    <x v="8"/>
    <x v="26"/>
    <x v="3"/>
    <x v="12"/>
    <x v="12"/>
    <x v="3"/>
    <x v="1"/>
    <x v="6"/>
    <x v="0"/>
    <x v="5"/>
    <x v="0"/>
  </r>
  <r>
    <x v="238"/>
    <x v="73"/>
    <x v="22"/>
    <x v="26"/>
    <x v="3"/>
    <x v="59"/>
    <x v="3"/>
    <x v="0"/>
    <x v="20"/>
    <x v="16"/>
    <x v="8"/>
    <x v="20"/>
    <x v="13"/>
    <x v="11"/>
    <x v="11"/>
    <x v="0"/>
    <x v="9"/>
    <x v="0"/>
    <x v="1"/>
    <x v="1"/>
    <x v="4"/>
  </r>
  <r>
    <x v="239"/>
    <x v="80"/>
    <x v="32"/>
    <x v="59"/>
    <x v="1"/>
    <x v="24"/>
    <x v="4"/>
    <x v="23"/>
    <x v="37"/>
    <x v="3"/>
    <x v="8"/>
    <x v="38"/>
    <x v="5"/>
    <x v="15"/>
    <x v="15"/>
    <x v="4"/>
    <x v="6"/>
    <x v="5"/>
    <x v="0"/>
    <x v="40"/>
    <x v="3"/>
  </r>
  <r>
    <x v="240"/>
    <x v="72"/>
    <x v="25"/>
    <x v="29"/>
    <x v="2"/>
    <x v="47"/>
    <x v="6"/>
    <x v="9"/>
    <x v="33"/>
    <x v="2"/>
    <x v="7"/>
    <x v="33"/>
    <x v="2"/>
    <x v="18"/>
    <x v="6"/>
    <x v="1"/>
    <x v="7"/>
    <x v="7"/>
    <x v="0"/>
    <x v="25"/>
    <x v="2"/>
  </r>
  <r>
    <x v="241"/>
    <x v="91"/>
    <x v="33"/>
    <x v="63"/>
    <x v="1"/>
    <x v="1"/>
    <x v="0"/>
    <x v="5"/>
    <x v="39"/>
    <x v="0"/>
    <x v="5"/>
    <x v="40"/>
    <x v="0"/>
    <x v="20"/>
    <x v="9"/>
    <x v="4"/>
    <x v="5"/>
    <x v="11"/>
    <x v="0"/>
    <x v="37"/>
    <x v="5"/>
  </r>
  <r>
    <x v="242"/>
    <x v="78"/>
    <x v="18"/>
    <x v="18"/>
    <x v="3"/>
    <x v="21"/>
    <x v="3"/>
    <x v="4"/>
    <x v="20"/>
    <x v="16"/>
    <x v="8"/>
    <x v="20"/>
    <x v="13"/>
    <x v="0"/>
    <x v="0"/>
    <x v="0"/>
    <x v="0"/>
    <x v="0"/>
    <x v="1"/>
    <x v="24"/>
    <x v="0"/>
  </r>
  <r>
    <x v="243"/>
    <x v="62"/>
    <x v="30"/>
    <x v="54"/>
    <x v="10"/>
    <x v="10"/>
    <x v="0"/>
    <x v="3"/>
    <x v="38"/>
    <x v="18"/>
    <x v="7"/>
    <x v="39"/>
    <x v="0"/>
    <x v="19"/>
    <x v="18"/>
    <x v="1"/>
    <x v="4"/>
    <x v="3"/>
    <x v="0"/>
    <x v="6"/>
    <x v="3"/>
  </r>
  <r>
    <x v="244"/>
    <x v="86"/>
    <x v="7"/>
    <x v="7"/>
    <x v="1"/>
    <x v="7"/>
    <x v="3"/>
    <x v="8"/>
    <x v="7"/>
    <x v="7"/>
    <x v="9"/>
    <x v="7"/>
    <x v="7"/>
    <x v="10"/>
    <x v="10"/>
    <x v="1"/>
    <x v="3"/>
    <x v="3"/>
    <x v="2"/>
    <x v="43"/>
    <x v="0"/>
  </r>
  <r>
    <x v="245"/>
    <x v="87"/>
    <x v="33"/>
    <x v="61"/>
    <x v="3"/>
    <x v="36"/>
    <x v="6"/>
    <x v="0"/>
    <x v="20"/>
    <x v="16"/>
    <x v="8"/>
    <x v="20"/>
    <x v="13"/>
    <x v="16"/>
    <x v="6"/>
    <x v="0"/>
    <x v="9"/>
    <x v="0"/>
    <x v="1"/>
    <x v="6"/>
    <x v="4"/>
  </r>
  <r>
    <x v="246"/>
    <x v="88"/>
    <x v="14"/>
    <x v="14"/>
    <x v="2"/>
    <x v="49"/>
    <x v="2"/>
    <x v="22"/>
    <x v="22"/>
    <x v="2"/>
    <x v="7"/>
    <x v="22"/>
    <x v="2"/>
    <x v="0"/>
    <x v="0"/>
    <x v="1"/>
    <x v="8"/>
    <x v="1"/>
    <x v="1"/>
    <x v="23"/>
    <x v="0"/>
  </r>
  <r>
    <x v="247"/>
    <x v="89"/>
    <x v="21"/>
    <x v="22"/>
    <x v="10"/>
    <x v="3"/>
    <x v="0"/>
    <x v="14"/>
    <x v="26"/>
    <x v="3"/>
    <x v="8"/>
    <x v="26"/>
    <x v="3"/>
    <x v="12"/>
    <x v="12"/>
    <x v="3"/>
    <x v="1"/>
    <x v="6"/>
    <x v="0"/>
    <x v="25"/>
    <x v="0"/>
  </r>
  <r>
    <x v="248"/>
    <x v="90"/>
    <x v="34"/>
    <x v="62"/>
    <x v="3"/>
    <x v="59"/>
    <x v="3"/>
    <x v="0"/>
    <x v="20"/>
    <x v="16"/>
    <x v="8"/>
    <x v="20"/>
    <x v="13"/>
    <x v="11"/>
    <x v="11"/>
    <x v="0"/>
    <x v="9"/>
    <x v="0"/>
    <x v="1"/>
    <x v="1"/>
    <x v="4"/>
  </r>
  <r>
    <x v="249"/>
    <x v="73"/>
    <x v="22"/>
    <x v="26"/>
    <x v="1"/>
    <x v="24"/>
    <x v="4"/>
    <x v="23"/>
    <x v="37"/>
    <x v="3"/>
    <x v="8"/>
    <x v="38"/>
    <x v="5"/>
    <x v="15"/>
    <x v="15"/>
    <x v="4"/>
    <x v="6"/>
    <x v="5"/>
    <x v="0"/>
    <x v="40"/>
    <x v="3"/>
  </r>
  <r>
    <x v="250"/>
    <x v="80"/>
    <x v="32"/>
    <x v="59"/>
    <x v="2"/>
    <x v="47"/>
    <x v="6"/>
    <x v="9"/>
    <x v="33"/>
    <x v="2"/>
    <x v="7"/>
    <x v="33"/>
    <x v="2"/>
    <x v="18"/>
    <x v="6"/>
    <x v="1"/>
    <x v="7"/>
    <x v="7"/>
    <x v="0"/>
    <x v="25"/>
    <x v="2"/>
  </r>
  <r>
    <x v="251"/>
    <x v="72"/>
    <x v="25"/>
    <x v="29"/>
    <x v="10"/>
    <x v="10"/>
    <x v="0"/>
    <x v="3"/>
    <x v="38"/>
    <x v="18"/>
    <x v="7"/>
    <x v="39"/>
    <x v="0"/>
    <x v="19"/>
    <x v="18"/>
    <x v="1"/>
    <x v="4"/>
    <x v="3"/>
    <x v="0"/>
    <x v="6"/>
    <x v="3"/>
  </r>
  <r>
    <x v="252"/>
    <x v="91"/>
    <x v="33"/>
    <x v="63"/>
    <x v="1"/>
    <x v="7"/>
    <x v="3"/>
    <x v="8"/>
    <x v="7"/>
    <x v="7"/>
    <x v="9"/>
    <x v="7"/>
    <x v="7"/>
    <x v="17"/>
    <x v="17"/>
    <x v="1"/>
    <x v="3"/>
    <x v="3"/>
    <x v="2"/>
    <x v="43"/>
    <x v="4"/>
  </r>
  <r>
    <x v="253"/>
    <x v="78"/>
    <x v="18"/>
    <x v="18"/>
    <x v="2"/>
    <x v="49"/>
    <x v="6"/>
    <x v="22"/>
    <x v="22"/>
    <x v="2"/>
    <x v="7"/>
    <x v="22"/>
    <x v="2"/>
    <x v="4"/>
    <x v="4"/>
    <x v="1"/>
    <x v="8"/>
    <x v="1"/>
    <x v="1"/>
    <x v="5"/>
    <x v="2"/>
  </r>
  <r>
    <x v="254"/>
    <x v="62"/>
    <x v="30"/>
    <x v="54"/>
    <x v="3"/>
    <x v="36"/>
    <x v="2"/>
    <x v="0"/>
    <x v="20"/>
    <x v="16"/>
    <x v="8"/>
    <x v="20"/>
    <x v="13"/>
    <x v="6"/>
    <x v="6"/>
    <x v="0"/>
    <x v="9"/>
    <x v="0"/>
    <x v="1"/>
    <x v="7"/>
    <x v="0"/>
  </r>
  <r>
    <x v="255"/>
    <x v="86"/>
    <x v="7"/>
    <x v="7"/>
    <x v="10"/>
    <x v="3"/>
    <x v="3"/>
    <x v="14"/>
    <x v="26"/>
    <x v="3"/>
    <x v="8"/>
    <x v="26"/>
    <x v="3"/>
    <x v="12"/>
    <x v="12"/>
    <x v="3"/>
    <x v="1"/>
    <x v="6"/>
    <x v="0"/>
    <x v="31"/>
    <x v="0"/>
  </r>
  <r>
    <x v="256"/>
    <x v="87"/>
    <x v="33"/>
    <x v="61"/>
    <x v="3"/>
    <x v="59"/>
    <x v="6"/>
    <x v="0"/>
    <x v="20"/>
    <x v="16"/>
    <x v="8"/>
    <x v="20"/>
    <x v="13"/>
    <x v="11"/>
    <x v="11"/>
    <x v="0"/>
    <x v="9"/>
    <x v="0"/>
    <x v="1"/>
    <x v="6"/>
    <x v="4"/>
  </r>
  <r>
    <x v="257"/>
    <x v="88"/>
    <x v="14"/>
    <x v="14"/>
    <x v="1"/>
    <x v="24"/>
    <x v="4"/>
    <x v="23"/>
    <x v="37"/>
    <x v="3"/>
    <x v="8"/>
    <x v="38"/>
    <x v="5"/>
    <x v="15"/>
    <x v="15"/>
    <x v="4"/>
    <x v="6"/>
    <x v="5"/>
    <x v="0"/>
    <x v="40"/>
    <x v="3"/>
  </r>
  <r>
    <x v="258"/>
    <x v="89"/>
    <x v="21"/>
    <x v="22"/>
    <x v="2"/>
    <x v="47"/>
    <x v="0"/>
    <x v="9"/>
    <x v="33"/>
    <x v="2"/>
    <x v="7"/>
    <x v="33"/>
    <x v="2"/>
    <x v="18"/>
    <x v="6"/>
    <x v="1"/>
    <x v="7"/>
    <x v="7"/>
    <x v="0"/>
    <x v="10"/>
    <x v="2"/>
  </r>
  <r>
    <x v="259"/>
    <x v="90"/>
    <x v="34"/>
    <x v="62"/>
    <x v="10"/>
    <x v="10"/>
    <x v="3"/>
    <x v="3"/>
    <x v="38"/>
    <x v="18"/>
    <x v="7"/>
    <x v="39"/>
    <x v="0"/>
    <x v="19"/>
    <x v="18"/>
    <x v="1"/>
    <x v="4"/>
    <x v="3"/>
    <x v="0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8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 chartFormat="6">
  <location ref="A16:B22" firstHeaderRow="1" firstDataRow="1" firstDataCol="1"/>
  <pivotFields count="21">
    <pivotField showAll="0">
      <items count="2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axis="axisRow" measureFilter="1" sortType="ascending" showAll="0">
      <items count="110">
        <item x="83"/>
        <item x="101"/>
        <item x="32"/>
        <item x="14"/>
        <item x="104"/>
        <item x="58"/>
        <item x="52"/>
        <item x="74"/>
        <item x="65"/>
        <item x="1"/>
        <item x="21"/>
        <item x="100"/>
        <item x="90"/>
        <item x="95"/>
        <item x="22"/>
        <item x="105"/>
        <item x="29"/>
        <item x="88"/>
        <item x="102"/>
        <item x="7"/>
        <item x="84"/>
        <item x="11"/>
        <item x="28"/>
        <item x="106"/>
        <item x="38"/>
        <item x="6"/>
        <item x="53"/>
        <item x="75"/>
        <item x="66"/>
        <item x="23"/>
        <item x="86"/>
        <item x="27"/>
        <item x="96"/>
        <item x="4"/>
        <item x="91"/>
        <item x="56"/>
        <item x="40"/>
        <item x="25"/>
        <item x="39"/>
        <item x="48"/>
        <item x="30"/>
        <item x="42"/>
        <item x="45"/>
        <item x="24"/>
        <item x="43"/>
        <item x="41"/>
        <item x="51"/>
        <item x="46"/>
        <item x="20"/>
        <item x="49"/>
        <item x="44"/>
        <item x="59"/>
        <item x="50"/>
        <item x="47"/>
        <item x="34"/>
        <item x="87"/>
        <item x="9"/>
        <item x="98"/>
        <item x="5"/>
        <item x="55"/>
        <item x="77"/>
        <item x="68"/>
        <item x="2"/>
        <item x="93"/>
        <item x="108"/>
        <item x="103"/>
        <item x="0"/>
        <item x="57"/>
        <item x="19"/>
        <item x="85"/>
        <item x="17"/>
        <item x="92"/>
        <item x="94"/>
        <item x="18"/>
        <item x="60"/>
        <item x="37"/>
        <item x="36"/>
        <item x="99"/>
        <item x="31"/>
        <item x="61"/>
        <item x="78"/>
        <item x="69"/>
        <item x="15"/>
        <item x="35"/>
        <item x="54"/>
        <item x="76"/>
        <item x="67"/>
        <item x="8"/>
        <item x="3"/>
        <item x="73"/>
        <item x="64"/>
        <item x="33"/>
        <item x="63"/>
        <item x="80"/>
        <item x="71"/>
        <item x="12"/>
        <item x="107"/>
        <item x="89"/>
        <item x="26"/>
        <item x="81"/>
        <item x="72"/>
        <item x="13"/>
        <item x="10"/>
        <item x="82"/>
        <item x="62"/>
        <item x="79"/>
        <item x="70"/>
        <item x="97"/>
        <item x="1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0">
        <item x="24"/>
        <item x="65"/>
        <item x="54"/>
        <item x="1"/>
        <item x="44"/>
        <item x="61"/>
        <item x="16"/>
        <item x="13"/>
        <item x="43"/>
        <item x="21"/>
        <item x="27"/>
        <item x="67"/>
        <item x="57"/>
        <item x="68"/>
        <item x="50"/>
        <item x="18"/>
        <item x="36"/>
        <item x="17"/>
        <item x="58"/>
        <item x="11"/>
        <item x="33"/>
        <item x="10"/>
        <item x="53"/>
        <item x="28"/>
        <item x="34"/>
        <item x="7"/>
        <item x="62"/>
        <item x="20"/>
        <item x="31"/>
        <item x="42"/>
        <item x="6"/>
        <item x="45"/>
        <item x="25"/>
        <item x="55"/>
        <item x="8"/>
        <item x="46"/>
        <item x="64"/>
        <item x="5"/>
        <item x="47"/>
        <item x="2"/>
        <item x="59"/>
        <item x="19"/>
        <item x="37"/>
        <item x="48"/>
        <item x="32"/>
        <item x="41"/>
        <item x="0"/>
        <item x="22"/>
        <item x="63"/>
        <item x="49"/>
        <item x="14"/>
        <item x="38"/>
        <item x="30"/>
        <item x="39"/>
        <item x="23"/>
        <item x="15"/>
        <item x="40"/>
        <item x="4"/>
        <item x="29"/>
        <item x="35"/>
        <item x="9"/>
        <item x="3"/>
        <item x="52"/>
        <item x="12"/>
        <item x="51"/>
        <item x="56"/>
        <item x="26"/>
        <item x="66"/>
        <item x="60"/>
        <item t="default"/>
      </items>
    </pivotField>
    <pivotField showAll="0">
      <items count="90">
        <item x="67"/>
        <item x="32"/>
        <item x="83"/>
        <item x="14"/>
        <item x="58"/>
        <item x="1"/>
        <item x="52"/>
        <item x="21"/>
        <item x="82"/>
        <item x="73"/>
        <item x="77"/>
        <item x="22"/>
        <item x="86"/>
        <item x="29"/>
        <item x="71"/>
        <item x="7"/>
        <item x="84"/>
        <item x="11"/>
        <item x="68"/>
        <item x="28"/>
        <item x="87"/>
        <item x="38"/>
        <item x="6"/>
        <item x="53"/>
        <item x="23"/>
        <item x="27"/>
        <item x="69"/>
        <item x="78"/>
        <item x="4"/>
        <item x="56"/>
        <item x="40"/>
        <item x="25"/>
        <item x="39"/>
        <item x="48"/>
        <item x="30"/>
        <item x="42"/>
        <item x="45"/>
        <item x="24"/>
        <item x="43"/>
        <item x="41"/>
        <item x="51"/>
        <item x="46"/>
        <item x="20"/>
        <item x="49"/>
        <item x="44"/>
        <item x="59"/>
        <item x="50"/>
        <item x="47"/>
        <item x="34"/>
        <item x="70"/>
        <item x="80"/>
        <item x="9"/>
        <item x="5"/>
        <item x="55"/>
        <item x="2"/>
        <item x="75"/>
        <item x="88"/>
        <item x="85"/>
        <item x="0"/>
        <item x="19"/>
        <item x="57"/>
        <item x="17"/>
        <item x="74"/>
        <item x="18"/>
        <item x="76"/>
        <item x="60"/>
        <item x="37"/>
        <item x="36"/>
        <item x="81"/>
        <item x="31"/>
        <item x="61"/>
        <item x="15"/>
        <item x="35"/>
        <item x="8"/>
        <item x="54"/>
        <item x="3"/>
        <item x="64"/>
        <item x="33"/>
        <item x="12"/>
        <item x="63"/>
        <item x="26"/>
        <item x="72"/>
        <item x="13"/>
        <item x="65"/>
        <item x="10"/>
        <item x="66"/>
        <item x="62"/>
        <item x="16"/>
        <item x="79"/>
        <item t="default"/>
      </items>
    </pivotField>
    <pivotField showAll="0">
      <items count="45">
        <item x="0"/>
        <item x="36"/>
        <item x="21"/>
        <item x="29"/>
        <item x="14"/>
        <item x="10"/>
        <item x="34"/>
        <item x="18"/>
        <item x="16"/>
        <item x="32"/>
        <item x="11"/>
        <item x="9"/>
        <item x="33"/>
        <item x="22"/>
        <item x="12"/>
        <item x="6"/>
        <item x="35"/>
        <item x="43"/>
        <item x="27"/>
        <item x="4"/>
        <item x="28"/>
        <item x="5"/>
        <item x="37"/>
        <item x="17"/>
        <item x="13"/>
        <item x="7"/>
        <item x="39"/>
        <item x="24"/>
        <item x="3"/>
        <item x="38"/>
        <item x="23"/>
        <item x="42"/>
        <item x="15"/>
        <item x="30"/>
        <item x="19"/>
        <item x="1"/>
        <item x="41"/>
        <item x="26"/>
        <item x="20"/>
        <item x="2"/>
        <item x="40"/>
        <item x="25"/>
        <item x="8"/>
        <item x="31"/>
        <item t="default"/>
      </items>
    </pivotField>
    <pivotField showAll="0">
      <items count="100">
        <item x="50"/>
        <item x="86"/>
        <item x="18"/>
        <item x="53"/>
        <item x="45"/>
        <item x="68"/>
        <item x="24"/>
        <item x="90"/>
        <item x="27"/>
        <item x="81"/>
        <item x="69"/>
        <item x="17"/>
        <item x="72"/>
        <item x="22"/>
        <item x="44"/>
        <item x="74"/>
        <item x="11"/>
        <item x="49"/>
        <item x="67"/>
        <item x="30"/>
        <item x="26"/>
        <item x="95"/>
        <item x="32"/>
        <item x="10"/>
        <item x="96"/>
        <item x="12"/>
        <item x="0"/>
        <item x="54"/>
        <item x="48"/>
        <item x="66"/>
        <item x="6"/>
        <item x="15"/>
        <item x="41"/>
        <item x="36"/>
        <item x="61"/>
        <item x="16"/>
        <item x="28"/>
        <item x="13"/>
        <item x="63"/>
        <item x="9"/>
        <item x="52"/>
        <item x="34"/>
        <item x="21"/>
        <item x="76"/>
        <item x="33"/>
        <item x="98"/>
        <item x="23"/>
        <item x="56"/>
        <item x="79"/>
        <item x="94"/>
        <item x="83"/>
        <item x="14"/>
        <item x="38"/>
        <item x="51"/>
        <item x="8"/>
        <item x="42"/>
        <item x="77"/>
        <item x="1"/>
        <item x="60"/>
        <item x="97"/>
        <item x="47"/>
        <item x="65"/>
        <item x="58"/>
        <item x="91"/>
        <item x="46"/>
        <item x="64"/>
        <item x="31"/>
        <item x="39"/>
        <item x="70"/>
        <item x="92"/>
        <item x="84"/>
        <item x="43"/>
        <item x="62"/>
        <item x="5"/>
        <item x="55"/>
        <item x="35"/>
        <item x="19"/>
        <item x="78"/>
        <item x="37"/>
        <item x="73"/>
        <item x="87"/>
        <item x="25"/>
        <item x="82"/>
        <item x="2"/>
        <item x="75"/>
        <item x="40"/>
        <item x="71"/>
        <item x="4"/>
        <item x="20"/>
        <item x="59"/>
        <item x="93"/>
        <item x="85"/>
        <item x="3"/>
        <item x="29"/>
        <item x="89"/>
        <item x="7"/>
        <item x="80"/>
        <item x="57"/>
        <item x="88"/>
        <item t="default"/>
      </items>
    </pivotField>
    <pivotField showAll="0">
      <items count="11">
        <item x="1"/>
        <item x="0"/>
        <item x="3"/>
        <item x="6"/>
        <item x="2"/>
        <item x="8"/>
        <item x="4"/>
        <item x="5"/>
        <item x="9"/>
        <item x="7"/>
        <item t="default"/>
      </items>
    </pivotField>
    <pivotField showAll="0">
      <items count="25">
        <item x="2"/>
        <item x="19"/>
        <item x="18"/>
        <item x="13"/>
        <item x="0"/>
        <item x="16"/>
        <item x="12"/>
        <item x="4"/>
        <item x="3"/>
        <item x="10"/>
        <item x="1"/>
        <item x="9"/>
        <item x="6"/>
        <item x="8"/>
        <item x="11"/>
        <item x="14"/>
        <item x="22"/>
        <item x="21"/>
        <item x="15"/>
        <item x="7"/>
        <item x="23"/>
        <item x="5"/>
        <item x="20"/>
        <item x="17"/>
        <item t="default"/>
      </items>
    </pivotField>
    <pivotField showAll="0">
      <items count="63">
        <item x="47"/>
        <item x="55"/>
        <item x="60"/>
        <item x="21"/>
        <item x="36"/>
        <item x="45"/>
        <item x="29"/>
        <item x="14"/>
        <item x="34"/>
        <item x="13"/>
        <item x="58"/>
        <item x="16"/>
        <item x="43"/>
        <item x="11"/>
        <item x="32"/>
        <item x="18"/>
        <item x="49"/>
        <item x="9"/>
        <item x="22"/>
        <item x="33"/>
        <item x="1"/>
        <item x="53"/>
        <item x="10"/>
        <item x="41"/>
        <item x="7"/>
        <item x="51"/>
        <item x="0"/>
        <item x="61"/>
        <item x="23"/>
        <item x="38"/>
        <item x="12"/>
        <item x="27"/>
        <item x="44"/>
        <item x="6"/>
        <item x="15"/>
        <item x="35"/>
        <item x="17"/>
        <item x="56"/>
        <item x="37"/>
        <item x="24"/>
        <item x="39"/>
        <item x="42"/>
        <item x="19"/>
        <item x="26"/>
        <item x="5"/>
        <item x="50"/>
        <item x="3"/>
        <item x="28"/>
        <item x="46"/>
        <item x="30"/>
        <item x="59"/>
        <item x="4"/>
        <item x="20"/>
        <item x="52"/>
        <item x="57"/>
        <item x="25"/>
        <item x="40"/>
        <item x="2"/>
        <item x="54"/>
        <item x="8"/>
        <item x="48"/>
        <item x="31"/>
        <item t="default"/>
      </items>
    </pivotField>
    <pivotField showAll="0">
      <items count="21">
        <item x="2"/>
        <item x="14"/>
        <item x="7"/>
        <item x="9"/>
        <item x="3"/>
        <item x="10"/>
        <item x="8"/>
        <item x="12"/>
        <item x="16"/>
        <item x="1"/>
        <item x="17"/>
        <item x="0"/>
        <item x="5"/>
        <item x="11"/>
        <item x="19"/>
        <item x="4"/>
        <item x="6"/>
        <item x="15"/>
        <item x="18"/>
        <item x="13"/>
        <item t="default"/>
      </items>
    </pivotField>
    <pivotField showAll="0">
      <items count="11">
        <item x="5"/>
        <item x="0"/>
        <item x="2"/>
        <item x="7"/>
        <item x="3"/>
        <item x="4"/>
        <item x="9"/>
        <item x="8"/>
        <item x="1"/>
        <item x="6"/>
        <item t="default"/>
      </items>
    </pivotField>
    <pivotField showAll="0">
      <items count="69">
        <item x="60"/>
        <item x="47"/>
        <item x="14"/>
        <item x="61"/>
        <item x="40"/>
        <item x="25"/>
        <item x="2"/>
        <item x="54"/>
        <item x="34"/>
        <item x="7"/>
        <item x="62"/>
        <item x="51"/>
        <item x="39"/>
        <item x="24"/>
        <item x="18"/>
        <item x="9"/>
        <item x="33"/>
        <item x="22"/>
        <item x="41"/>
        <item x="56"/>
        <item x="17"/>
        <item x="37"/>
        <item x="3"/>
        <item x="46"/>
        <item x="28"/>
        <item x="63"/>
        <item x="30"/>
        <item x="65"/>
        <item x="36"/>
        <item x="21"/>
        <item x="45"/>
        <item x="10"/>
        <item x="19"/>
        <item x="8"/>
        <item x="48"/>
        <item x="31"/>
        <item x="43"/>
        <item x="16"/>
        <item x="12"/>
        <item x="57"/>
        <item x="1"/>
        <item x="53"/>
        <item x="58"/>
        <item x="38"/>
        <item x="23"/>
        <item x="0"/>
        <item x="67"/>
        <item x="55"/>
        <item x="32"/>
        <item x="11"/>
        <item x="26"/>
        <item x="5"/>
        <item x="50"/>
        <item x="66"/>
        <item x="4"/>
        <item x="59"/>
        <item x="52"/>
        <item x="20"/>
        <item x="44"/>
        <item x="27"/>
        <item x="6"/>
        <item x="35"/>
        <item x="15"/>
        <item x="29"/>
        <item x="42"/>
        <item x="13"/>
        <item x="64"/>
        <item x="49"/>
        <item t="default"/>
      </items>
    </pivotField>
    <pivotField showAll="0">
      <items count="16">
        <item x="13"/>
        <item x="3"/>
        <item x="12"/>
        <item x="7"/>
        <item x="5"/>
        <item x="8"/>
        <item x="4"/>
        <item x="9"/>
        <item x="10"/>
        <item x="14"/>
        <item x="6"/>
        <item x="11"/>
        <item x="2"/>
        <item x="1"/>
        <item x="0"/>
        <item t="default"/>
      </items>
    </pivotField>
    <pivotField showAll="0">
      <items count="23">
        <item x="2"/>
        <item x="12"/>
        <item x="8"/>
        <item x="14"/>
        <item x="17"/>
        <item x="11"/>
        <item x="1"/>
        <item x="21"/>
        <item x="6"/>
        <item x="16"/>
        <item x="18"/>
        <item x="4"/>
        <item x="10"/>
        <item x="0"/>
        <item x="19"/>
        <item x="7"/>
        <item x="13"/>
        <item x="20"/>
        <item x="3"/>
        <item x="9"/>
        <item x="5"/>
        <item x="15"/>
        <item t="default"/>
      </items>
    </pivotField>
    <pivotField showAll="0">
      <items count="20">
        <item x="2"/>
        <item x="12"/>
        <item x="8"/>
        <item x="14"/>
        <item x="17"/>
        <item x="11"/>
        <item x="1"/>
        <item x="6"/>
        <item x="4"/>
        <item x="16"/>
        <item x="10"/>
        <item x="0"/>
        <item x="18"/>
        <item x="7"/>
        <item x="13"/>
        <item x="3"/>
        <item x="9"/>
        <item x="5"/>
        <item x="15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>
      <items count="11">
        <item x="2"/>
        <item x="9"/>
        <item x="0"/>
        <item x="4"/>
        <item x="3"/>
        <item x="8"/>
        <item x="1"/>
        <item x="7"/>
        <item x="6"/>
        <item x="5"/>
        <item t="default"/>
      </items>
    </pivotField>
    <pivotField showAll="0">
      <items count="14">
        <item x="2"/>
        <item x="12"/>
        <item x="0"/>
        <item x="4"/>
        <item x="8"/>
        <item x="3"/>
        <item x="9"/>
        <item x="1"/>
        <item x="6"/>
        <item x="7"/>
        <item x="10"/>
        <item x="5"/>
        <item x="11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dataField="1" numFmtId="2" showAll="0">
      <items count="45">
        <item x="2"/>
        <item x="22"/>
        <item x="15"/>
        <item x="17"/>
        <item x="4"/>
        <item x="20"/>
        <item x="0"/>
        <item x="11"/>
        <item x="16"/>
        <item x="1"/>
        <item x="18"/>
        <item x="6"/>
        <item x="24"/>
        <item x="7"/>
        <item x="3"/>
        <item x="12"/>
        <item x="10"/>
        <item x="14"/>
        <item x="38"/>
        <item x="13"/>
        <item x="36"/>
        <item x="9"/>
        <item x="19"/>
        <item x="30"/>
        <item x="8"/>
        <item x="25"/>
        <item x="43"/>
        <item x="35"/>
        <item x="31"/>
        <item x="32"/>
        <item x="33"/>
        <item x="42"/>
        <item x="27"/>
        <item x="5"/>
        <item x="26"/>
        <item x="34"/>
        <item x="23"/>
        <item x="37"/>
        <item x="21"/>
        <item x="40"/>
        <item x="41"/>
        <item x="39"/>
        <item x="29"/>
        <item x="28"/>
        <item t="default"/>
      </items>
    </pivotField>
    <pivotField numFmtId="2" showAll="0">
      <items count="45">
        <item x="2"/>
        <item x="22"/>
        <item x="15"/>
        <item x="17"/>
        <item x="4"/>
        <item x="20"/>
        <item x="0"/>
        <item x="11"/>
        <item x="16"/>
        <item x="1"/>
        <item x="18"/>
        <item x="6"/>
        <item x="24"/>
        <item x="7"/>
        <item x="3"/>
        <item x="12"/>
        <item x="10"/>
        <item x="14"/>
        <item x="38"/>
        <item x="13"/>
        <item x="36"/>
        <item x="9"/>
        <item x="19"/>
        <item x="30"/>
        <item x="8"/>
        <item x="25"/>
        <item x="43"/>
        <item x="35"/>
        <item x="31"/>
        <item x="32"/>
        <item x="33"/>
        <item x="42"/>
        <item x="27"/>
        <item x="5"/>
        <item x="26"/>
        <item x="34"/>
        <item x="23"/>
        <item x="37"/>
        <item x="21"/>
        <item x="40"/>
        <item x="41"/>
        <item x="39"/>
        <item x="29"/>
        <item x="28"/>
        <item t="default"/>
      </items>
    </pivotField>
  </pivotFields>
  <rowFields count="1">
    <field x="1"/>
  </rowFields>
  <rowItems count="6">
    <i>
      <x v="32"/>
    </i>
    <i>
      <x v="18"/>
    </i>
    <i>
      <x v="23"/>
    </i>
    <i>
      <x v="105"/>
    </i>
    <i>
      <x v="74"/>
    </i>
    <i t="grand">
      <x/>
    </i>
  </rowItems>
  <colItems count="1">
    <i/>
  </colItems>
  <dataFields count="1">
    <dataField name="Sum of Procurement" fld="19" baseField="0" baseItem="0" numFmtId="183"/>
  </dataFields>
  <formats count="19">
    <format dxfId="0">
      <pivotArea outline="0" collapsedLevelsAreSubtotals="1" fieldPosition="0"/>
    </format>
    <format dxfId="1">
      <pivotArea outline="0" collapsedLevelsAreSubtotals="1" fieldPosition="0"/>
    </format>
    <format dxfId="2">
      <pivotArea outline="0" collapsedLevelsAreSubtotals="1" fieldPosition="0"/>
    </format>
    <format dxfId="3">
      <pivotArea outline="0" collapsedLevelsAreSubtotals="1" fieldPosition="0"/>
    </format>
    <format dxfId="4">
      <pivotArea outline="0" collapsedLevelsAreSubtotals="1" fieldPosition="0"/>
    </format>
    <format dxfId="5">
      <pivotArea outline="0" collapsedLevelsAreSubtotals="1" fieldPosition="0"/>
    </format>
    <format dxfId="6">
      <pivotArea outline="0" collapsedLevelsAreSubtotals="1" fieldPosition="0"/>
    </format>
    <format dxfId="7">
      <pivotArea outline="0" collapsedLevelsAreSubtotals="1" fieldPosition="0"/>
    </format>
    <format dxfId="8">
      <pivotArea outline="0" collapsedLevelsAreSubtotals="1" fieldPosition="0"/>
    </format>
    <format dxfId="9">
      <pivotArea outline="0" collapsedLevelsAreSubtotals="1" fieldPosition="0"/>
    </format>
    <format dxfId="10">
      <pivotArea outline="0" collapsedLevelsAreSubtotals="1" fieldPosition="0"/>
    </format>
    <format dxfId="11">
      <pivotArea outline="0" collapsedLevelsAreSubtotals="1" fieldPosition="0"/>
    </format>
    <format dxfId="12">
      <pivotArea outline="0" collapsedLevelsAreSubtotals="1" fieldPosition="0"/>
    </format>
    <format dxfId="13">
      <pivotArea outline="0" collapsedLevelsAreSubtotals="1" fieldPosition="0"/>
    </format>
    <format dxfId="14">
      <pivotArea outline="0" collapsedLevelsAreSubtotals="1" fieldPosition="0"/>
    </format>
    <format dxfId="15">
      <pivotArea outline="0" collapsedLevelsAreSubtotals="1" fieldPosition="0"/>
    </format>
    <format dxfId="16">
      <pivotArea outline="0" collapsedLevelsAreSubtotals="1" fieldPosition="0"/>
    </format>
    <format dxfId="17">
      <pivotArea collapsedLevelsAreSubtotals="1" fieldPosition="0"/>
    </format>
    <format dxfId="18">
      <pivotArea collapsedLevelsAreSubtotals="1" fieldPosition="0"/>
    </format>
  </formats>
  <pivotTableStyleInfo name="PivotStyleLight16" showRowHeaders="1" showColHeaders="1" showLastColumn="1"/>
  <filters count="1">
    <filter evalOrder="-1" fld="1" iMeasureFld="0" id="2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compact="0" indent="0" outline="1" compactData="0" outlineData="1" showDrill="1" multipleFieldFilters="0" chartFormat="4">
  <location ref="A73:B79" firstHeaderRow="1" firstDataRow="1" firstDataCol="1"/>
  <pivotFields count="21">
    <pivotField compact="0" showAll="0">
      <items count="2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compact="0" showAll="0">
      <items count="110">
        <item x="83"/>
        <item x="101"/>
        <item x="32"/>
        <item x="14"/>
        <item x="104"/>
        <item x="58"/>
        <item x="52"/>
        <item x="74"/>
        <item x="65"/>
        <item x="1"/>
        <item x="21"/>
        <item x="100"/>
        <item x="90"/>
        <item x="95"/>
        <item x="22"/>
        <item x="105"/>
        <item x="29"/>
        <item x="88"/>
        <item x="102"/>
        <item x="7"/>
        <item x="84"/>
        <item x="11"/>
        <item x="28"/>
        <item x="106"/>
        <item x="38"/>
        <item x="6"/>
        <item x="53"/>
        <item x="75"/>
        <item x="66"/>
        <item x="23"/>
        <item x="86"/>
        <item x="27"/>
        <item x="96"/>
        <item x="4"/>
        <item x="91"/>
        <item x="56"/>
        <item x="40"/>
        <item x="25"/>
        <item x="39"/>
        <item x="48"/>
        <item x="30"/>
        <item x="42"/>
        <item x="45"/>
        <item x="24"/>
        <item x="43"/>
        <item x="41"/>
        <item x="51"/>
        <item x="46"/>
        <item x="20"/>
        <item x="49"/>
        <item x="44"/>
        <item x="59"/>
        <item x="50"/>
        <item x="47"/>
        <item x="34"/>
        <item x="87"/>
        <item x="9"/>
        <item x="98"/>
        <item x="5"/>
        <item x="55"/>
        <item x="77"/>
        <item x="68"/>
        <item x="2"/>
        <item x="93"/>
        <item x="108"/>
        <item x="103"/>
        <item x="0"/>
        <item x="57"/>
        <item x="19"/>
        <item x="85"/>
        <item x="17"/>
        <item x="92"/>
        <item x="94"/>
        <item x="18"/>
        <item x="60"/>
        <item x="37"/>
        <item x="36"/>
        <item x="99"/>
        <item x="31"/>
        <item x="61"/>
        <item x="78"/>
        <item x="69"/>
        <item x="15"/>
        <item x="35"/>
        <item x="54"/>
        <item x="76"/>
        <item x="67"/>
        <item x="8"/>
        <item x="3"/>
        <item x="73"/>
        <item x="64"/>
        <item x="33"/>
        <item x="63"/>
        <item x="80"/>
        <item x="71"/>
        <item x="12"/>
        <item x="107"/>
        <item x="89"/>
        <item x="26"/>
        <item x="81"/>
        <item x="72"/>
        <item x="13"/>
        <item x="10"/>
        <item x="82"/>
        <item x="62"/>
        <item x="79"/>
        <item x="70"/>
        <item x="97"/>
        <item x="16"/>
        <item t="default"/>
      </items>
    </pivotField>
    <pivotField axis="axisRow" measureFilter="1" compact="0" showAll="0">
      <items count="70">
        <item x="24"/>
        <item x="65"/>
        <item x="54"/>
        <item x="1"/>
        <item x="44"/>
        <item x="61"/>
        <item x="16"/>
        <item x="13"/>
        <item x="43"/>
        <item x="21"/>
        <item x="27"/>
        <item x="67"/>
        <item x="57"/>
        <item x="68"/>
        <item x="50"/>
        <item x="18"/>
        <item x="36"/>
        <item x="17"/>
        <item x="58"/>
        <item x="11"/>
        <item x="33"/>
        <item x="10"/>
        <item x="53"/>
        <item x="28"/>
        <item x="34"/>
        <item x="7"/>
        <item x="62"/>
        <item x="20"/>
        <item x="31"/>
        <item x="42"/>
        <item x="6"/>
        <item x="45"/>
        <item x="25"/>
        <item x="55"/>
        <item x="8"/>
        <item x="46"/>
        <item x="64"/>
        <item x="5"/>
        <item x="47"/>
        <item x="2"/>
        <item x="59"/>
        <item x="19"/>
        <item x="37"/>
        <item x="48"/>
        <item x="32"/>
        <item x="41"/>
        <item x="0"/>
        <item x="22"/>
        <item x="63"/>
        <item x="49"/>
        <item x="14"/>
        <item x="38"/>
        <item x="30"/>
        <item x="39"/>
        <item x="23"/>
        <item x="15"/>
        <item x="40"/>
        <item x="4"/>
        <item x="29"/>
        <item x="35"/>
        <item x="9"/>
        <item x="3"/>
        <item x="52"/>
        <item x="12"/>
        <item x="51"/>
        <item x="56"/>
        <item x="26"/>
        <item x="66"/>
        <item x="60"/>
        <item t="default"/>
      </items>
    </pivotField>
    <pivotField compact="0" showAll="0">
      <items count="90">
        <item x="67"/>
        <item x="32"/>
        <item x="83"/>
        <item x="14"/>
        <item x="58"/>
        <item x="1"/>
        <item x="52"/>
        <item x="21"/>
        <item x="82"/>
        <item x="73"/>
        <item x="77"/>
        <item x="22"/>
        <item x="86"/>
        <item x="29"/>
        <item x="71"/>
        <item x="7"/>
        <item x="84"/>
        <item x="11"/>
        <item x="68"/>
        <item x="28"/>
        <item x="87"/>
        <item x="38"/>
        <item x="6"/>
        <item x="53"/>
        <item x="23"/>
        <item x="27"/>
        <item x="69"/>
        <item x="78"/>
        <item x="4"/>
        <item x="56"/>
        <item x="40"/>
        <item x="25"/>
        <item x="39"/>
        <item x="48"/>
        <item x="30"/>
        <item x="42"/>
        <item x="45"/>
        <item x="24"/>
        <item x="43"/>
        <item x="41"/>
        <item x="51"/>
        <item x="46"/>
        <item x="20"/>
        <item x="49"/>
        <item x="44"/>
        <item x="59"/>
        <item x="50"/>
        <item x="47"/>
        <item x="34"/>
        <item x="70"/>
        <item x="80"/>
        <item x="9"/>
        <item x="5"/>
        <item x="55"/>
        <item x="2"/>
        <item x="75"/>
        <item x="88"/>
        <item x="85"/>
        <item x="0"/>
        <item x="19"/>
        <item x="57"/>
        <item x="17"/>
        <item x="74"/>
        <item x="18"/>
        <item x="76"/>
        <item x="60"/>
        <item x="37"/>
        <item x="36"/>
        <item x="81"/>
        <item x="31"/>
        <item x="61"/>
        <item x="15"/>
        <item x="35"/>
        <item x="8"/>
        <item x="54"/>
        <item x="3"/>
        <item x="64"/>
        <item x="33"/>
        <item x="12"/>
        <item x="63"/>
        <item x="26"/>
        <item x="72"/>
        <item x="13"/>
        <item x="65"/>
        <item x="10"/>
        <item x="66"/>
        <item x="62"/>
        <item x="16"/>
        <item x="79"/>
        <item t="default"/>
      </items>
    </pivotField>
    <pivotField compact="0" showAll="0">
      <items count="45">
        <item x="0"/>
        <item x="36"/>
        <item x="21"/>
        <item x="29"/>
        <item x="14"/>
        <item x="10"/>
        <item x="34"/>
        <item x="18"/>
        <item x="16"/>
        <item x="32"/>
        <item x="11"/>
        <item x="9"/>
        <item x="33"/>
        <item x="22"/>
        <item x="12"/>
        <item x="6"/>
        <item x="35"/>
        <item x="43"/>
        <item x="27"/>
        <item x="4"/>
        <item x="28"/>
        <item x="5"/>
        <item x="37"/>
        <item x="17"/>
        <item x="13"/>
        <item x="7"/>
        <item x="39"/>
        <item x="24"/>
        <item x="3"/>
        <item x="38"/>
        <item x="23"/>
        <item x="42"/>
        <item x="15"/>
        <item x="30"/>
        <item x="19"/>
        <item x="1"/>
        <item x="41"/>
        <item x="26"/>
        <item x="20"/>
        <item x="2"/>
        <item x="40"/>
        <item x="25"/>
        <item x="8"/>
        <item x="31"/>
        <item t="default"/>
      </items>
    </pivotField>
    <pivotField compact="0" showAll="0">
      <items count="100">
        <item x="50"/>
        <item x="86"/>
        <item x="18"/>
        <item x="53"/>
        <item x="45"/>
        <item x="68"/>
        <item x="24"/>
        <item x="90"/>
        <item x="27"/>
        <item x="81"/>
        <item x="69"/>
        <item x="17"/>
        <item x="72"/>
        <item x="22"/>
        <item x="44"/>
        <item x="74"/>
        <item x="11"/>
        <item x="49"/>
        <item x="67"/>
        <item x="30"/>
        <item x="26"/>
        <item x="95"/>
        <item x="32"/>
        <item x="10"/>
        <item x="96"/>
        <item x="12"/>
        <item x="0"/>
        <item x="54"/>
        <item x="48"/>
        <item x="66"/>
        <item x="6"/>
        <item x="15"/>
        <item x="41"/>
        <item x="36"/>
        <item x="61"/>
        <item x="16"/>
        <item x="28"/>
        <item x="13"/>
        <item x="63"/>
        <item x="9"/>
        <item x="52"/>
        <item x="34"/>
        <item x="21"/>
        <item x="76"/>
        <item x="33"/>
        <item x="98"/>
        <item x="23"/>
        <item x="56"/>
        <item x="79"/>
        <item x="94"/>
        <item x="83"/>
        <item x="14"/>
        <item x="38"/>
        <item x="51"/>
        <item x="8"/>
        <item x="42"/>
        <item x="77"/>
        <item x="1"/>
        <item x="60"/>
        <item x="97"/>
        <item x="47"/>
        <item x="65"/>
        <item x="58"/>
        <item x="91"/>
        <item x="46"/>
        <item x="64"/>
        <item x="31"/>
        <item x="39"/>
        <item x="70"/>
        <item x="92"/>
        <item x="84"/>
        <item x="43"/>
        <item x="62"/>
        <item x="5"/>
        <item x="55"/>
        <item x="35"/>
        <item x="19"/>
        <item x="78"/>
        <item x="37"/>
        <item x="73"/>
        <item x="87"/>
        <item x="25"/>
        <item x="82"/>
        <item x="2"/>
        <item x="75"/>
        <item x="40"/>
        <item x="71"/>
        <item x="4"/>
        <item x="20"/>
        <item x="59"/>
        <item x="93"/>
        <item x="85"/>
        <item x="3"/>
        <item x="29"/>
        <item x="89"/>
        <item x="7"/>
        <item x="80"/>
        <item x="57"/>
        <item x="88"/>
        <item t="default"/>
      </items>
    </pivotField>
    <pivotField compact="0" showAll="0">
      <items count="11">
        <item x="1"/>
        <item x="0"/>
        <item x="3"/>
        <item x="6"/>
        <item x="2"/>
        <item x="8"/>
        <item x="4"/>
        <item x="5"/>
        <item x="9"/>
        <item x="7"/>
        <item t="default"/>
      </items>
    </pivotField>
    <pivotField compact="0" showAll="0">
      <items count="25">
        <item x="2"/>
        <item x="19"/>
        <item x="18"/>
        <item x="13"/>
        <item x="0"/>
        <item x="16"/>
        <item x="12"/>
        <item x="4"/>
        <item x="3"/>
        <item x="10"/>
        <item x="1"/>
        <item x="9"/>
        <item x="6"/>
        <item x="8"/>
        <item x="11"/>
        <item x="14"/>
        <item x="22"/>
        <item x="21"/>
        <item x="15"/>
        <item x="7"/>
        <item x="23"/>
        <item x="5"/>
        <item x="20"/>
        <item x="17"/>
        <item t="default"/>
      </items>
    </pivotField>
    <pivotField compact="0" showAll="0">
      <items count="63">
        <item x="47"/>
        <item x="55"/>
        <item x="60"/>
        <item x="21"/>
        <item x="36"/>
        <item x="45"/>
        <item x="29"/>
        <item x="14"/>
        <item x="34"/>
        <item x="13"/>
        <item x="58"/>
        <item x="16"/>
        <item x="43"/>
        <item x="11"/>
        <item x="32"/>
        <item x="18"/>
        <item x="49"/>
        <item x="9"/>
        <item x="22"/>
        <item x="33"/>
        <item x="1"/>
        <item x="53"/>
        <item x="10"/>
        <item x="41"/>
        <item x="7"/>
        <item x="51"/>
        <item x="0"/>
        <item x="61"/>
        <item x="23"/>
        <item x="38"/>
        <item x="12"/>
        <item x="27"/>
        <item x="44"/>
        <item x="6"/>
        <item x="15"/>
        <item x="35"/>
        <item x="17"/>
        <item x="56"/>
        <item x="37"/>
        <item x="24"/>
        <item x="39"/>
        <item x="42"/>
        <item x="19"/>
        <item x="26"/>
        <item x="5"/>
        <item x="50"/>
        <item x="3"/>
        <item x="28"/>
        <item x="46"/>
        <item x="30"/>
        <item x="59"/>
        <item x="4"/>
        <item x="20"/>
        <item x="52"/>
        <item x="57"/>
        <item x="25"/>
        <item x="40"/>
        <item x="2"/>
        <item x="54"/>
        <item x="8"/>
        <item x="48"/>
        <item x="31"/>
        <item t="default"/>
      </items>
    </pivotField>
    <pivotField compact="0" showAll="0">
      <items count="21">
        <item x="2"/>
        <item x="14"/>
        <item x="7"/>
        <item x="9"/>
        <item x="3"/>
        <item x="10"/>
        <item x="8"/>
        <item x="12"/>
        <item x="16"/>
        <item x="1"/>
        <item x="17"/>
        <item x="0"/>
        <item x="5"/>
        <item x="11"/>
        <item x="19"/>
        <item x="4"/>
        <item x="6"/>
        <item x="15"/>
        <item x="18"/>
        <item x="13"/>
        <item t="default"/>
      </items>
    </pivotField>
    <pivotField compact="0" showAll="0">
      <items count="11">
        <item x="5"/>
        <item x="0"/>
        <item x="2"/>
        <item x="7"/>
        <item x="3"/>
        <item x="4"/>
        <item x="9"/>
        <item x="8"/>
        <item x="1"/>
        <item x="6"/>
        <item t="default"/>
      </items>
    </pivotField>
    <pivotField compact="0" showAll="0">
      <items count="69">
        <item x="60"/>
        <item x="47"/>
        <item x="14"/>
        <item x="61"/>
        <item x="40"/>
        <item x="25"/>
        <item x="2"/>
        <item x="54"/>
        <item x="34"/>
        <item x="7"/>
        <item x="62"/>
        <item x="51"/>
        <item x="39"/>
        <item x="24"/>
        <item x="18"/>
        <item x="9"/>
        <item x="33"/>
        <item x="22"/>
        <item x="41"/>
        <item x="56"/>
        <item x="17"/>
        <item x="37"/>
        <item x="3"/>
        <item x="46"/>
        <item x="28"/>
        <item x="63"/>
        <item x="30"/>
        <item x="65"/>
        <item x="36"/>
        <item x="21"/>
        <item x="45"/>
        <item x="10"/>
        <item x="19"/>
        <item x="8"/>
        <item x="48"/>
        <item x="31"/>
        <item x="43"/>
        <item x="16"/>
        <item x="12"/>
        <item x="57"/>
        <item x="1"/>
        <item x="53"/>
        <item x="58"/>
        <item x="38"/>
        <item x="23"/>
        <item x="0"/>
        <item x="67"/>
        <item x="55"/>
        <item x="32"/>
        <item x="11"/>
        <item x="26"/>
        <item x="5"/>
        <item x="50"/>
        <item x="66"/>
        <item x="4"/>
        <item x="59"/>
        <item x="52"/>
        <item x="20"/>
        <item x="44"/>
        <item x="27"/>
        <item x="6"/>
        <item x="35"/>
        <item x="15"/>
        <item x="29"/>
        <item x="42"/>
        <item x="13"/>
        <item x="64"/>
        <item x="49"/>
        <item t="default"/>
      </items>
    </pivotField>
    <pivotField compact="0" showAll="0">
      <items count="16">
        <item x="13"/>
        <item x="3"/>
        <item x="12"/>
        <item x="7"/>
        <item x="5"/>
        <item x="8"/>
        <item x="4"/>
        <item x="9"/>
        <item x="10"/>
        <item x="14"/>
        <item x="6"/>
        <item x="11"/>
        <item x="2"/>
        <item x="1"/>
        <item x="0"/>
        <item t="default"/>
      </items>
    </pivotField>
    <pivotField compact="0" showAll="0">
      <items count="23">
        <item x="2"/>
        <item x="12"/>
        <item x="8"/>
        <item x="14"/>
        <item x="17"/>
        <item x="11"/>
        <item x="1"/>
        <item x="21"/>
        <item x="6"/>
        <item x="16"/>
        <item x="18"/>
        <item x="4"/>
        <item x="10"/>
        <item x="0"/>
        <item x="19"/>
        <item x="7"/>
        <item x="13"/>
        <item x="20"/>
        <item x="3"/>
        <item x="9"/>
        <item x="5"/>
        <item x="15"/>
        <item t="default"/>
      </items>
    </pivotField>
    <pivotField compact="0" showAll="0">
      <items count="20">
        <item x="2"/>
        <item x="12"/>
        <item x="8"/>
        <item x="14"/>
        <item x="17"/>
        <item x="11"/>
        <item x="1"/>
        <item x="6"/>
        <item x="4"/>
        <item x="16"/>
        <item x="10"/>
        <item x="0"/>
        <item x="18"/>
        <item x="7"/>
        <item x="13"/>
        <item x="3"/>
        <item x="9"/>
        <item x="5"/>
        <item x="15"/>
        <item t="default"/>
      </items>
    </pivotField>
    <pivotField compact="0" showAll="0">
      <items count="6">
        <item x="2"/>
        <item x="0"/>
        <item x="1"/>
        <item x="3"/>
        <item x="4"/>
        <item t="default"/>
      </items>
    </pivotField>
    <pivotField compact="0" showAll="0">
      <items count="11">
        <item x="2"/>
        <item x="9"/>
        <item x="0"/>
        <item x="4"/>
        <item x="3"/>
        <item x="8"/>
        <item x="1"/>
        <item x="7"/>
        <item x="6"/>
        <item x="5"/>
        <item t="default"/>
      </items>
    </pivotField>
    <pivotField dataField="1" compact="0" showAll="0">
      <items count="14">
        <item x="2"/>
        <item x="12"/>
        <item x="0"/>
        <item x="4"/>
        <item x="8"/>
        <item x="3"/>
        <item x="9"/>
        <item x="1"/>
        <item x="6"/>
        <item x="7"/>
        <item x="10"/>
        <item x="5"/>
        <item x="11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numFmtId="2" showAll="0">
      <items count="45">
        <item x="2"/>
        <item x="22"/>
        <item x="15"/>
        <item x="17"/>
        <item x="4"/>
        <item x="20"/>
        <item x="0"/>
        <item x="11"/>
        <item x="16"/>
        <item x="1"/>
        <item x="18"/>
        <item x="6"/>
        <item x="24"/>
        <item x="7"/>
        <item x="3"/>
        <item x="12"/>
        <item x="10"/>
        <item x="14"/>
        <item x="38"/>
        <item x="13"/>
        <item x="36"/>
        <item x="9"/>
        <item x="19"/>
        <item x="30"/>
        <item x="8"/>
        <item x="25"/>
        <item x="43"/>
        <item x="35"/>
        <item x="31"/>
        <item x="32"/>
        <item x="33"/>
        <item x="42"/>
        <item x="27"/>
        <item x="5"/>
        <item x="26"/>
        <item x="34"/>
        <item x="23"/>
        <item x="37"/>
        <item x="21"/>
        <item x="40"/>
        <item x="41"/>
        <item x="39"/>
        <item x="29"/>
        <item x="28"/>
        <item t="default"/>
      </items>
    </pivotField>
    <pivotField compact="0" numFmtId="2" showAll="0">
      <items count="45">
        <item x="2"/>
        <item x="22"/>
        <item x="15"/>
        <item x="17"/>
        <item x="4"/>
        <item x="20"/>
        <item x="0"/>
        <item x="11"/>
        <item x="16"/>
        <item x="1"/>
        <item x="18"/>
        <item x="6"/>
        <item x="24"/>
        <item x="7"/>
        <item x="3"/>
        <item x="12"/>
        <item x="10"/>
        <item x="14"/>
        <item x="38"/>
        <item x="13"/>
        <item x="36"/>
        <item x="9"/>
        <item x="19"/>
        <item x="30"/>
        <item x="8"/>
        <item x="25"/>
        <item x="43"/>
        <item x="35"/>
        <item x="31"/>
        <item x="32"/>
        <item x="33"/>
        <item x="42"/>
        <item x="27"/>
        <item x="5"/>
        <item x="26"/>
        <item x="34"/>
        <item x="23"/>
        <item x="37"/>
        <item x="21"/>
        <item x="40"/>
        <item x="41"/>
        <item x="39"/>
        <item x="29"/>
        <item x="28"/>
        <item t="default"/>
      </items>
    </pivotField>
  </pivotFields>
  <rowFields count="1">
    <field x="2"/>
  </rowFields>
  <rowItems count="6">
    <i>
      <x v="35"/>
    </i>
    <i>
      <x v="38"/>
    </i>
    <i>
      <x v="48"/>
    </i>
    <i>
      <x v="51"/>
    </i>
    <i>
      <x v="56"/>
    </i>
    <i t="grand">
      <x/>
    </i>
  </rowItems>
  <colItems count="1">
    <i/>
  </colItems>
  <dataFields count="1">
    <dataField name="Sum of  Installation Cost (USD) " fld="17" baseField="0" baseItem="0"/>
  </dataFields>
  <formats count="2">
    <format dxfId="19">
      <pivotArea collapsedLevelsAreSubtotals="1" fieldPosition="0"/>
    </format>
    <format dxfId="20">
      <pivotArea collapsedLevelsAreSubtotals="1" fieldPosition="0"/>
    </format>
  </formats>
  <pivotTableStyleInfo name="PivotStyleLight16" showRowHeaders="1" showColHeaders="1" showLastColumn="1"/>
  <filters count="1">
    <filter evalOrder="-1" fld="2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compact="0" indent="0" outline="1" compactData="0" outlineData="1" showDrill="1" multipleFieldFilters="0">
  <location ref="M78:O95" firstHeaderRow="1" firstDataRow="1" firstDataCol="0"/>
  <pivotFields count="21">
    <pivotField compact="0" showAll="0">
      <items count="2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compact="0" showAll="0">
      <items count="110">
        <item x="83"/>
        <item x="101"/>
        <item x="32"/>
        <item x="14"/>
        <item x="104"/>
        <item x="58"/>
        <item x="52"/>
        <item x="74"/>
        <item x="65"/>
        <item x="1"/>
        <item x="21"/>
        <item x="100"/>
        <item x="90"/>
        <item x="95"/>
        <item x="22"/>
        <item x="105"/>
        <item x="29"/>
        <item x="88"/>
        <item x="102"/>
        <item x="7"/>
        <item x="84"/>
        <item x="11"/>
        <item x="28"/>
        <item x="106"/>
        <item x="38"/>
        <item x="6"/>
        <item x="53"/>
        <item x="75"/>
        <item x="66"/>
        <item x="23"/>
        <item x="86"/>
        <item x="27"/>
        <item x="96"/>
        <item x="4"/>
        <item x="91"/>
        <item x="56"/>
        <item x="40"/>
        <item x="25"/>
        <item x="39"/>
        <item x="48"/>
        <item x="30"/>
        <item x="42"/>
        <item x="45"/>
        <item x="24"/>
        <item x="43"/>
        <item x="41"/>
        <item x="51"/>
        <item x="46"/>
        <item x="20"/>
        <item x="49"/>
        <item x="44"/>
        <item x="59"/>
        <item x="50"/>
        <item x="47"/>
        <item x="34"/>
        <item x="87"/>
        <item x="9"/>
        <item x="98"/>
        <item x="5"/>
        <item x="55"/>
        <item x="77"/>
        <item x="68"/>
        <item x="2"/>
        <item x="93"/>
        <item x="108"/>
        <item x="103"/>
        <item x="0"/>
        <item x="57"/>
        <item x="19"/>
        <item x="85"/>
        <item x="17"/>
        <item x="92"/>
        <item x="94"/>
        <item x="18"/>
        <item x="60"/>
        <item x="37"/>
        <item x="36"/>
        <item x="99"/>
        <item x="31"/>
        <item x="61"/>
        <item x="78"/>
        <item x="69"/>
        <item x="15"/>
        <item x="35"/>
        <item x="54"/>
        <item x="76"/>
        <item x="67"/>
        <item x="8"/>
        <item x="3"/>
        <item x="73"/>
        <item x="64"/>
        <item x="33"/>
        <item x="63"/>
        <item x="80"/>
        <item x="71"/>
        <item x="12"/>
        <item x="107"/>
        <item x="89"/>
        <item x="26"/>
        <item x="81"/>
        <item x="72"/>
        <item x="13"/>
        <item x="10"/>
        <item x="82"/>
        <item x="62"/>
        <item x="79"/>
        <item x="70"/>
        <item x="97"/>
        <item x="16"/>
        <item t="default"/>
      </items>
    </pivotField>
    <pivotField compact="0" showAll="0">
      <items count="70">
        <item x="24"/>
        <item x="65"/>
        <item x="54"/>
        <item x="1"/>
        <item x="44"/>
        <item x="61"/>
        <item x="16"/>
        <item x="13"/>
        <item x="43"/>
        <item x="21"/>
        <item x="27"/>
        <item x="67"/>
        <item x="57"/>
        <item x="68"/>
        <item x="50"/>
        <item x="18"/>
        <item x="36"/>
        <item x="17"/>
        <item x="58"/>
        <item x="11"/>
        <item x="33"/>
        <item x="10"/>
        <item x="53"/>
        <item x="28"/>
        <item x="34"/>
        <item x="7"/>
        <item x="62"/>
        <item x="20"/>
        <item x="31"/>
        <item x="42"/>
        <item x="6"/>
        <item x="45"/>
        <item x="25"/>
        <item x="55"/>
        <item x="8"/>
        <item x="46"/>
        <item x="64"/>
        <item x="5"/>
        <item x="47"/>
        <item x="2"/>
        <item x="59"/>
        <item x="19"/>
        <item x="37"/>
        <item x="48"/>
        <item x="32"/>
        <item x="41"/>
        <item x="0"/>
        <item x="22"/>
        <item x="63"/>
        <item x="49"/>
        <item x="14"/>
        <item x="38"/>
        <item x="30"/>
        <item x="39"/>
        <item x="23"/>
        <item x="15"/>
        <item x="40"/>
        <item x="4"/>
        <item x="29"/>
        <item x="35"/>
        <item x="9"/>
        <item x="3"/>
        <item x="52"/>
        <item x="12"/>
        <item x="51"/>
        <item x="56"/>
        <item x="26"/>
        <item x="66"/>
        <item x="60"/>
        <item t="default"/>
      </items>
    </pivotField>
    <pivotField compact="0" showAll="0">
      <items count="90">
        <item x="67"/>
        <item x="32"/>
        <item x="83"/>
        <item x="14"/>
        <item x="58"/>
        <item x="1"/>
        <item x="52"/>
        <item x="21"/>
        <item x="82"/>
        <item x="73"/>
        <item x="77"/>
        <item x="22"/>
        <item x="86"/>
        <item x="29"/>
        <item x="71"/>
        <item x="7"/>
        <item x="84"/>
        <item x="11"/>
        <item x="68"/>
        <item x="28"/>
        <item x="87"/>
        <item x="38"/>
        <item x="6"/>
        <item x="53"/>
        <item x="23"/>
        <item x="27"/>
        <item x="69"/>
        <item x="78"/>
        <item x="4"/>
        <item x="56"/>
        <item x="40"/>
        <item x="25"/>
        <item x="39"/>
        <item x="48"/>
        <item x="30"/>
        <item x="42"/>
        <item x="45"/>
        <item x="24"/>
        <item x="43"/>
        <item x="41"/>
        <item x="51"/>
        <item x="46"/>
        <item x="20"/>
        <item x="49"/>
        <item x="44"/>
        <item x="59"/>
        <item x="50"/>
        <item x="47"/>
        <item x="34"/>
        <item x="70"/>
        <item x="80"/>
        <item x="9"/>
        <item x="5"/>
        <item x="55"/>
        <item x="2"/>
        <item x="75"/>
        <item x="88"/>
        <item x="85"/>
        <item x="0"/>
        <item x="19"/>
        <item x="57"/>
        <item x="17"/>
        <item x="74"/>
        <item x="18"/>
        <item x="76"/>
        <item x="60"/>
        <item x="37"/>
        <item x="36"/>
        <item x="81"/>
        <item x="31"/>
        <item x="61"/>
        <item x="15"/>
        <item x="35"/>
        <item x="8"/>
        <item x="54"/>
        <item x="3"/>
        <item x="64"/>
        <item x="33"/>
        <item x="12"/>
        <item x="63"/>
        <item x="26"/>
        <item x="72"/>
        <item x="13"/>
        <item x="65"/>
        <item x="10"/>
        <item x="66"/>
        <item x="62"/>
        <item x="16"/>
        <item x="79"/>
        <item t="default"/>
      </items>
    </pivotField>
    <pivotField compact="0" showAll="0">
      <items count="45">
        <item x="0"/>
        <item x="36"/>
        <item x="21"/>
        <item x="29"/>
        <item x="14"/>
        <item x="10"/>
        <item x="34"/>
        <item x="18"/>
        <item x="16"/>
        <item x="32"/>
        <item x="11"/>
        <item x="9"/>
        <item x="33"/>
        <item x="22"/>
        <item x="12"/>
        <item x="6"/>
        <item x="35"/>
        <item x="43"/>
        <item x="27"/>
        <item x="4"/>
        <item x="28"/>
        <item x="5"/>
        <item x="37"/>
        <item x="17"/>
        <item x="13"/>
        <item x="7"/>
        <item x="39"/>
        <item x="24"/>
        <item x="3"/>
        <item x="38"/>
        <item x="23"/>
        <item x="42"/>
        <item x="15"/>
        <item x="30"/>
        <item x="19"/>
        <item x="1"/>
        <item x="41"/>
        <item x="26"/>
        <item x="20"/>
        <item x="2"/>
        <item x="40"/>
        <item x="25"/>
        <item x="8"/>
        <item x="31"/>
        <item t="default"/>
      </items>
    </pivotField>
    <pivotField compact="0" showAll="0">
      <items count="100">
        <item x="50"/>
        <item x="86"/>
        <item x="18"/>
        <item x="53"/>
        <item x="45"/>
        <item x="68"/>
        <item x="24"/>
        <item x="90"/>
        <item x="27"/>
        <item x="81"/>
        <item x="69"/>
        <item x="17"/>
        <item x="72"/>
        <item x="22"/>
        <item x="44"/>
        <item x="74"/>
        <item x="11"/>
        <item x="49"/>
        <item x="67"/>
        <item x="30"/>
        <item x="26"/>
        <item x="95"/>
        <item x="32"/>
        <item x="10"/>
        <item x="96"/>
        <item x="12"/>
        <item x="0"/>
        <item x="54"/>
        <item x="48"/>
        <item x="66"/>
        <item x="6"/>
        <item x="15"/>
        <item x="41"/>
        <item x="36"/>
        <item x="61"/>
        <item x="16"/>
        <item x="28"/>
        <item x="13"/>
        <item x="63"/>
        <item x="9"/>
        <item x="52"/>
        <item x="34"/>
        <item x="21"/>
        <item x="76"/>
        <item x="33"/>
        <item x="98"/>
        <item x="23"/>
        <item x="56"/>
        <item x="79"/>
        <item x="94"/>
        <item x="83"/>
        <item x="14"/>
        <item x="38"/>
        <item x="51"/>
        <item x="8"/>
        <item x="42"/>
        <item x="77"/>
        <item x="1"/>
        <item x="60"/>
        <item x="97"/>
        <item x="47"/>
        <item x="65"/>
        <item x="58"/>
        <item x="91"/>
        <item x="46"/>
        <item x="64"/>
        <item x="31"/>
        <item x="39"/>
        <item x="70"/>
        <item x="92"/>
        <item x="84"/>
        <item x="43"/>
        <item x="62"/>
        <item x="5"/>
        <item x="55"/>
        <item x="35"/>
        <item x="19"/>
        <item x="78"/>
        <item x="37"/>
        <item x="73"/>
        <item x="87"/>
        <item x="25"/>
        <item x="82"/>
        <item x="2"/>
        <item x="75"/>
        <item x="40"/>
        <item x="71"/>
        <item x="4"/>
        <item x="20"/>
        <item x="59"/>
        <item x="93"/>
        <item x="85"/>
        <item x="3"/>
        <item x="29"/>
        <item x="89"/>
        <item x="7"/>
        <item x="80"/>
        <item x="57"/>
        <item x="88"/>
        <item t="default"/>
      </items>
    </pivotField>
    <pivotField compact="0" showAll="0">
      <items count="11">
        <item x="1"/>
        <item x="0"/>
        <item x="3"/>
        <item x="6"/>
        <item x="2"/>
        <item x="8"/>
        <item x="4"/>
        <item x="5"/>
        <item x="9"/>
        <item x="7"/>
        <item t="default"/>
      </items>
    </pivotField>
    <pivotField compact="0" showAll="0">
      <items count="25">
        <item x="2"/>
        <item x="19"/>
        <item x="18"/>
        <item x="13"/>
        <item x="0"/>
        <item x="16"/>
        <item x="12"/>
        <item x="4"/>
        <item x="3"/>
        <item x="10"/>
        <item x="1"/>
        <item x="9"/>
        <item x="6"/>
        <item x="8"/>
        <item x="11"/>
        <item x="14"/>
        <item x="22"/>
        <item x="21"/>
        <item x="15"/>
        <item x="7"/>
        <item x="23"/>
        <item x="5"/>
        <item x="20"/>
        <item x="17"/>
        <item t="default"/>
      </items>
    </pivotField>
    <pivotField compact="0" showAll="0">
      <items count="63">
        <item x="47"/>
        <item x="55"/>
        <item x="60"/>
        <item x="21"/>
        <item x="36"/>
        <item x="45"/>
        <item x="29"/>
        <item x="14"/>
        <item x="34"/>
        <item x="13"/>
        <item x="58"/>
        <item x="16"/>
        <item x="43"/>
        <item x="11"/>
        <item x="32"/>
        <item x="18"/>
        <item x="49"/>
        <item x="9"/>
        <item x="22"/>
        <item x="33"/>
        <item x="1"/>
        <item x="53"/>
        <item x="10"/>
        <item x="41"/>
        <item x="7"/>
        <item x="51"/>
        <item x="0"/>
        <item x="61"/>
        <item x="23"/>
        <item x="38"/>
        <item x="12"/>
        <item x="27"/>
        <item x="44"/>
        <item x="6"/>
        <item x="15"/>
        <item x="35"/>
        <item x="17"/>
        <item x="56"/>
        <item x="37"/>
        <item x="24"/>
        <item x="39"/>
        <item x="42"/>
        <item x="19"/>
        <item x="26"/>
        <item x="5"/>
        <item x="50"/>
        <item x="3"/>
        <item x="28"/>
        <item x="46"/>
        <item x="30"/>
        <item x="59"/>
        <item x="4"/>
        <item x="20"/>
        <item x="52"/>
        <item x="57"/>
        <item x="25"/>
        <item x="40"/>
        <item x="2"/>
        <item x="54"/>
        <item x="8"/>
        <item x="48"/>
        <item x="31"/>
        <item t="default"/>
      </items>
    </pivotField>
    <pivotField compact="0" showAll="0">
      <items count="21">
        <item x="2"/>
        <item x="14"/>
        <item x="7"/>
        <item x="9"/>
        <item x="3"/>
        <item x="10"/>
        <item x="8"/>
        <item x="12"/>
        <item x="16"/>
        <item x="1"/>
        <item x="17"/>
        <item x="0"/>
        <item x="5"/>
        <item x="11"/>
        <item x="19"/>
        <item x="4"/>
        <item x="6"/>
        <item x="15"/>
        <item x="18"/>
        <item x="13"/>
        <item t="default"/>
      </items>
    </pivotField>
    <pivotField compact="0" showAll="0">
      <items count="11">
        <item x="5"/>
        <item x="0"/>
        <item x="2"/>
        <item x="7"/>
        <item x="3"/>
        <item x="4"/>
        <item x="9"/>
        <item x="8"/>
        <item x="1"/>
        <item x="6"/>
        <item t="default"/>
      </items>
    </pivotField>
    <pivotField compact="0" showAll="0">
      <items count="69">
        <item x="60"/>
        <item x="47"/>
        <item x="14"/>
        <item x="61"/>
        <item x="40"/>
        <item x="25"/>
        <item x="2"/>
        <item x="54"/>
        <item x="34"/>
        <item x="7"/>
        <item x="62"/>
        <item x="51"/>
        <item x="39"/>
        <item x="24"/>
        <item x="18"/>
        <item x="9"/>
        <item x="33"/>
        <item x="22"/>
        <item x="41"/>
        <item x="56"/>
        <item x="17"/>
        <item x="37"/>
        <item x="3"/>
        <item x="46"/>
        <item x="28"/>
        <item x="63"/>
        <item x="30"/>
        <item x="65"/>
        <item x="36"/>
        <item x="21"/>
        <item x="45"/>
        <item x="10"/>
        <item x="19"/>
        <item x="8"/>
        <item x="48"/>
        <item x="31"/>
        <item x="43"/>
        <item x="16"/>
        <item x="12"/>
        <item x="57"/>
        <item x="1"/>
        <item x="53"/>
        <item x="58"/>
        <item x="38"/>
        <item x="23"/>
        <item x="0"/>
        <item x="67"/>
        <item x="55"/>
        <item x="32"/>
        <item x="11"/>
        <item x="26"/>
        <item x="5"/>
        <item x="50"/>
        <item x="66"/>
        <item x="4"/>
        <item x="59"/>
        <item x="52"/>
        <item x="20"/>
        <item x="44"/>
        <item x="27"/>
        <item x="6"/>
        <item x="35"/>
        <item x="15"/>
        <item x="29"/>
        <item x="42"/>
        <item x="13"/>
        <item x="64"/>
        <item x="49"/>
        <item t="default"/>
      </items>
    </pivotField>
    <pivotField compact="0" showAll="0">
      <items count="16">
        <item x="13"/>
        <item x="3"/>
        <item x="12"/>
        <item x="7"/>
        <item x="5"/>
        <item x="8"/>
        <item x="4"/>
        <item x="9"/>
        <item x="10"/>
        <item x="14"/>
        <item x="6"/>
        <item x="11"/>
        <item x="2"/>
        <item x="1"/>
        <item x="0"/>
        <item t="default"/>
      </items>
    </pivotField>
    <pivotField compact="0" showAll="0">
      <items count="23">
        <item x="2"/>
        <item x="12"/>
        <item x="8"/>
        <item x="14"/>
        <item x="17"/>
        <item x="11"/>
        <item x="1"/>
        <item x="21"/>
        <item x="6"/>
        <item x="16"/>
        <item x="18"/>
        <item x="4"/>
        <item x="10"/>
        <item x="0"/>
        <item x="19"/>
        <item x="7"/>
        <item x="13"/>
        <item x="20"/>
        <item x="3"/>
        <item x="9"/>
        <item x="5"/>
        <item x="15"/>
        <item t="default"/>
      </items>
    </pivotField>
    <pivotField compact="0" showAll="0">
      <items count="20">
        <item x="2"/>
        <item x="12"/>
        <item x="8"/>
        <item x="14"/>
        <item x="17"/>
        <item x="11"/>
        <item x="1"/>
        <item x="6"/>
        <item x="4"/>
        <item x="16"/>
        <item x="10"/>
        <item x="0"/>
        <item x="18"/>
        <item x="7"/>
        <item x="13"/>
        <item x="3"/>
        <item x="9"/>
        <item x="5"/>
        <item x="15"/>
        <item t="default"/>
      </items>
    </pivotField>
    <pivotField compact="0" showAll="0">
      <items count="6">
        <item x="2"/>
        <item x="0"/>
        <item x="1"/>
        <item x="3"/>
        <item x="4"/>
        <item t="default"/>
      </items>
    </pivotField>
    <pivotField compact="0" showAll="0">
      <items count="11">
        <item x="2"/>
        <item x="9"/>
        <item x="0"/>
        <item x="4"/>
        <item x="3"/>
        <item x="8"/>
        <item x="1"/>
        <item x="7"/>
        <item x="6"/>
        <item x="5"/>
        <item t="default"/>
      </items>
    </pivotField>
    <pivotField compact="0" showAll="0">
      <items count="14">
        <item x="2"/>
        <item x="12"/>
        <item x="0"/>
        <item x="4"/>
        <item x="8"/>
        <item x="3"/>
        <item x="9"/>
        <item x="1"/>
        <item x="6"/>
        <item x="7"/>
        <item x="10"/>
        <item x="5"/>
        <item x="11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numFmtId="2" showAll="0">
      <items count="45">
        <item x="2"/>
        <item x="22"/>
        <item x="15"/>
        <item x="17"/>
        <item x="4"/>
        <item x="20"/>
        <item x="0"/>
        <item x="11"/>
        <item x="16"/>
        <item x="1"/>
        <item x="18"/>
        <item x="6"/>
        <item x="24"/>
        <item x="7"/>
        <item x="3"/>
        <item x="12"/>
        <item x="10"/>
        <item x="14"/>
        <item x="38"/>
        <item x="13"/>
        <item x="36"/>
        <item x="9"/>
        <item x="19"/>
        <item x="30"/>
        <item x="8"/>
        <item x="25"/>
        <item x="43"/>
        <item x="35"/>
        <item x="31"/>
        <item x="32"/>
        <item x="33"/>
        <item x="42"/>
        <item x="27"/>
        <item x="5"/>
        <item x="26"/>
        <item x="34"/>
        <item x="23"/>
        <item x="37"/>
        <item x="21"/>
        <item x="40"/>
        <item x="41"/>
        <item x="39"/>
        <item x="29"/>
        <item x="28"/>
        <item t="default"/>
      </items>
    </pivotField>
    <pivotField compact="0" numFmtId="2" showAll="0">
      <items count="45">
        <item x="2"/>
        <item x="22"/>
        <item x="15"/>
        <item x="17"/>
        <item x="4"/>
        <item x="20"/>
        <item x="0"/>
        <item x="11"/>
        <item x="16"/>
        <item x="1"/>
        <item x="18"/>
        <item x="6"/>
        <item x="24"/>
        <item x="7"/>
        <item x="3"/>
        <item x="12"/>
        <item x="10"/>
        <item x="14"/>
        <item x="38"/>
        <item x="13"/>
        <item x="36"/>
        <item x="9"/>
        <item x="19"/>
        <item x="30"/>
        <item x="8"/>
        <item x="25"/>
        <item x="43"/>
        <item x="35"/>
        <item x="31"/>
        <item x="32"/>
        <item x="33"/>
        <item x="42"/>
        <item x="27"/>
        <item x="5"/>
        <item x="26"/>
        <item x="34"/>
        <item x="23"/>
        <item x="37"/>
        <item x="21"/>
        <item x="40"/>
        <item x="41"/>
        <item x="39"/>
        <item x="29"/>
        <item x="28"/>
        <item t="default"/>
      </items>
    </pivotField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 chartFormat="6">
  <location ref="A90:B96" firstHeaderRow="1" firstDataRow="1" firstDataCol="1"/>
  <pivotFields count="21">
    <pivotField showAll="0">
      <items count="2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showAll="0">
      <items count="110">
        <item x="83"/>
        <item x="101"/>
        <item x="32"/>
        <item x="14"/>
        <item x="104"/>
        <item x="58"/>
        <item x="52"/>
        <item x="74"/>
        <item x="65"/>
        <item x="1"/>
        <item x="21"/>
        <item x="100"/>
        <item x="90"/>
        <item x="95"/>
        <item x="22"/>
        <item x="105"/>
        <item x="29"/>
        <item x="88"/>
        <item x="102"/>
        <item x="7"/>
        <item x="84"/>
        <item x="11"/>
        <item x="28"/>
        <item x="106"/>
        <item x="38"/>
        <item x="6"/>
        <item x="53"/>
        <item x="75"/>
        <item x="66"/>
        <item x="23"/>
        <item x="86"/>
        <item x="27"/>
        <item x="96"/>
        <item x="4"/>
        <item x="91"/>
        <item x="56"/>
        <item x="40"/>
        <item x="25"/>
        <item x="39"/>
        <item x="48"/>
        <item x="30"/>
        <item x="42"/>
        <item x="45"/>
        <item x="24"/>
        <item x="43"/>
        <item x="41"/>
        <item x="51"/>
        <item x="46"/>
        <item x="20"/>
        <item x="49"/>
        <item x="44"/>
        <item x="59"/>
        <item x="50"/>
        <item x="47"/>
        <item x="34"/>
        <item x="87"/>
        <item x="9"/>
        <item x="98"/>
        <item x="5"/>
        <item x="55"/>
        <item x="77"/>
        <item x="68"/>
        <item x="2"/>
        <item x="93"/>
        <item x="108"/>
        <item x="103"/>
        <item x="0"/>
        <item x="57"/>
        <item x="19"/>
        <item x="85"/>
        <item x="17"/>
        <item x="92"/>
        <item x="94"/>
        <item x="18"/>
        <item x="60"/>
        <item x="37"/>
        <item x="36"/>
        <item x="99"/>
        <item x="31"/>
        <item x="61"/>
        <item x="78"/>
        <item x="69"/>
        <item x="15"/>
        <item x="35"/>
        <item x="54"/>
        <item x="76"/>
        <item x="67"/>
        <item x="8"/>
        <item x="3"/>
        <item x="73"/>
        <item x="64"/>
        <item x="33"/>
        <item x="63"/>
        <item x="80"/>
        <item x="71"/>
        <item x="12"/>
        <item x="107"/>
        <item x="89"/>
        <item x="26"/>
        <item x="81"/>
        <item x="72"/>
        <item x="13"/>
        <item x="10"/>
        <item x="82"/>
        <item x="62"/>
        <item x="79"/>
        <item x="70"/>
        <item x="97"/>
        <item x="16"/>
        <item t="default"/>
      </items>
    </pivotField>
    <pivotField showAll="0">
      <items count="70">
        <item x="24"/>
        <item x="65"/>
        <item x="54"/>
        <item x="1"/>
        <item x="44"/>
        <item x="61"/>
        <item x="16"/>
        <item x="13"/>
        <item x="43"/>
        <item x="21"/>
        <item x="27"/>
        <item x="67"/>
        <item x="57"/>
        <item x="68"/>
        <item x="50"/>
        <item x="18"/>
        <item x="36"/>
        <item x="17"/>
        <item x="58"/>
        <item x="11"/>
        <item x="33"/>
        <item x="10"/>
        <item x="53"/>
        <item x="28"/>
        <item x="34"/>
        <item x="7"/>
        <item x="62"/>
        <item x="20"/>
        <item x="31"/>
        <item x="42"/>
        <item x="6"/>
        <item x="45"/>
        <item x="25"/>
        <item x="55"/>
        <item x="8"/>
        <item x="46"/>
        <item x="64"/>
        <item x="5"/>
        <item x="47"/>
        <item x="2"/>
        <item x="59"/>
        <item x="19"/>
        <item x="37"/>
        <item x="48"/>
        <item x="32"/>
        <item x="41"/>
        <item x="0"/>
        <item x="22"/>
        <item x="63"/>
        <item x="49"/>
        <item x="14"/>
        <item x="38"/>
        <item x="30"/>
        <item x="39"/>
        <item x="23"/>
        <item x="15"/>
        <item x="40"/>
        <item x="4"/>
        <item x="29"/>
        <item x="35"/>
        <item x="9"/>
        <item x="3"/>
        <item x="52"/>
        <item x="12"/>
        <item x="51"/>
        <item x="56"/>
        <item x="26"/>
        <item x="66"/>
        <item x="60"/>
        <item t="default"/>
      </items>
    </pivotField>
    <pivotField showAll="0">
      <items count="90">
        <item x="67"/>
        <item x="32"/>
        <item x="83"/>
        <item x="14"/>
        <item x="58"/>
        <item x="1"/>
        <item x="52"/>
        <item x="21"/>
        <item x="82"/>
        <item x="73"/>
        <item x="77"/>
        <item x="22"/>
        <item x="86"/>
        <item x="29"/>
        <item x="71"/>
        <item x="7"/>
        <item x="84"/>
        <item x="11"/>
        <item x="68"/>
        <item x="28"/>
        <item x="87"/>
        <item x="38"/>
        <item x="6"/>
        <item x="53"/>
        <item x="23"/>
        <item x="27"/>
        <item x="69"/>
        <item x="78"/>
        <item x="4"/>
        <item x="56"/>
        <item x="40"/>
        <item x="25"/>
        <item x="39"/>
        <item x="48"/>
        <item x="30"/>
        <item x="42"/>
        <item x="45"/>
        <item x="24"/>
        <item x="43"/>
        <item x="41"/>
        <item x="51"/>
        <item x="46"/>
        <item x="20"/>
        <item x="49"/>
        <item x="44"/>
        <item x="59"/>
        <item x="50"/>
        <item x="47"/>
        <item x="34"/>
        <item x="70"/>
        <item x="80"/>
        <item x="9"/>
        <item x="5"/>
        <item x="55"/>
        <item x="2"/>
        <item x="75"/>
        <item x="88"/>
        <item x="85"/>
        <item x="0"/>
        <item x="19"/>
        <item x="57"/>
        <item x="17"/>
        <item x="74"/>
        <item x="18"/>
        <item x="76"/>
        <item x="60"/>
        <item x="37"/>
        <item x="36"/>
        <item x="81"/>
        <item x="31"/>
        <item x="61"/>
        <item x="15"/>
        <item x="35"/>
        <item x="8"/>
        <item x="54"/>
        <item x="3"/>
        <item x="64"/>
        <item x="33"/>
        <item x="12"/>
        <item x="63"/>
        <item x="26"/>
        <item x="72"/>
        <item x="13"/>
        <item x="65"/>
        <item x="10"/>
        <item x="66"/>
        <item x="62"/>
        <item x="16"/>
        <item x="79"/>
        <item t="default"/>
      </items>
    </pivotField>
    <pivotField showAll="0">
      <items count="45">
        <item x="0"/>
        <item x="36"/>
        <item x="21"/>
        <item x="29"/>
        <item x="14"/>
        <item x="10"/>
        <item x="34"/>
        <item x="18"/>
        <item x="16"/>
        <item x="32"/>
        <item x="11"/>
        <item x="9"/>
        <item x="33"/>
        <item x="22"/>
        <item x="12"/>
        <item x="6"/>
        <item x="35"/>
        <item x="43"/>
        <item x="27"/>
        <item x="4"/>
        <item x="28"/>
        <item x="5"/>
        <item x="37"/>
        <item x="17"/>
        <item x="13"/>
        <item x="7"/>
        <item x="39"/>
        <item x="24"/>
        <item x="3"/>
        <item x="38"/>
        <item x="23"/>
        <item x="42"/>
        <item x="15"/>
        <item x="30"/>
        <item x="19"/>
        <item x="1"/>
        <item x="41"/>
        <item x="26"/>
        <item x="20"/>
        <item x="2"/>
        <item x="40"/>
        <item x="25"/>
        <item x="8"/>
        <item x="31"/>
        <item t="default"/>
      </items>
    </pivotField>
    <pivotField showAll="0">
      <items count="100">
        <item x="50"/>
        <item x="86"/>
        <item x="18"/>
        <item x="53"/>
        <item x="45"/>
        <item x="68"/>
        <item x="24"/>
        <item x="90"/>
        <item x="27"/>
        <item x="81"/>
        <item x="69"/>
        <item x="17"/>
        <item x="72"/>
        <item x="22"/>
        <item x="44"/>
        <item x="74"/>
        <item x="11"/>
        <item x="49"/>
        <item x="67"/>
        <item x="30"/>
        <item x="26"/>
        <item x="95"/>
        <item x="32"/>
        <item x="10"/>
        <item x="96"/>
        <item x="12"/>
        <item x="0"/>
        <item x="54"/>
        <item x="48"/>
        <item x="66"/>
        <item x="6"/>
        <item x="15"/>
        <item x="41"/>
        <item x="36"/>
        <item x="61"/>
        <item x="16"/>
        <item x="28"/>
        <item x="13"/>
        <item x="63"/>
        <item x="9"/>
        <item x="52"/>
        <item x="34"/>
        <item x="21"/>
        <item x="76"/>
        <item x="33"/>
        <item x="98"/>
        <item x="23"/>
        <item x="56"/>
        <item x="79"/>
        <item x="94"/>
        <item x="83"/>
        <item x="14"/>
        <item x="38"/>
        <item x="51"/>
        <item x="8"/>
        <item x="42"/>
        <item x="77"/>
        <item x="1"/>
        <item x="60"/>
        <item x="97"/>
        <item x="47"/>
        <item x="65"/>
        <item x="58"/>
        <item x="91"/>
        <item x="46"/>
        <item x="64"/>
        <item x="31"/>
        <item x="39"/>
        <item x="70"/>
        <item x="92"/>
        <item x="84"/>
        <item x="43"/>
        <item x="62"/>
        <item x="5"/>
        <item x="55"/>
        <item x="35"/>
        <item x="19"/>
        <item x="78"/>
        <item x="37"/>
        <item x="73"/>
        <item x="87"/>
        <item x="25"/>
        <item x="82"/>
        <item x="2"/>
        <item x="75"/>
        <item x="40"/>
        <item x="71"/>
        <item x="4"/>
        <item x="20"/>
        <item x="59"/>
        <item x="93"/>
        <item x="85"/>
        <item x="3"/>
        <item x="29"/>
        <item x="89"/>
        <item x="7"/>
        <item x="80"/>
        <item x="57"/>
        <item x="88"/>
        <item t="default"/>
      </items>
    </pivotField>
    <pivotField showAll="0">
      <items count="11">
        <item x="1"/>
        <item x="0"/>
        <item x="3"/>
        <item x="6"/>
        <item x="2"/>
        <item x="8"/>
        <item x="4"/>
        <item x="5"/>
        <item x="9"/>
        <item x="7"/>
        <item t="default"/>
      </items>
    </pivotField>
    <pivotField showAll="0">
      <items count="25">
        <item x="2"/>
        <item x="19"/>
        <item x="18"/>
        <item x="13"/>
        <item x="0"/>
        <item x="16"/>
        <item x="12"/>
        <item x="4"/>
        <item x="3"/>
        <item x="10"/>
        <item x="1"/>
        <item x="9"/>
        <item x="6"/>
        <item x="8"/>
        <item x="11"/>
        <item x="14"/>
        <item x="22"/>
        <item x="21"/>
        <item x="15"/>
        <item x="7"/>
        <item x="23"/>
        <item x="5"/>
        <item x="20"/>
        <item x="17"/>
        <item t="default"/>
      </items>
    </pivotField>
    <pivotField dataField="1" showAll="0">
      <items count="63">
        <item x="47"/>
        <item x="55"/>
        <item x="60"/>
        <item x="21"/>
        <item x="36"/>
        <item x="45"/>
        <item x="29"/>
        <item x="14"/>
        <item x="34"/>
        <item x="13"/>
        <item x="58"/>
        <item x="16"/>
        <item x="43"/>
        <item x="11"/>
        <item x="32"/>
        <item x="18"/>
        <item x="49"/>
        <item x="9"/>
        <item x="22"/>
        <item x="33"/>
        <item x="1"/>
        <item x="53"/>
        <item x="10"/>
        <item x="41"/>
        <item x="7"/>
        <item x="51"/>
        <item x="0"/>
        <item x="61"/>
        <item x="23"/>
        <item x="38"/>
        <item x="12"/>
        <item x="27"/>
        <item x="44"/>
        <item x="6"/>
        <item x="15"/>
        <item x="35"/>
        <item x="17"/>
        <item x="56"/>
        <item x="37"/>
        <item x="24"/>
        <item x="39"/>
        <item x="42"/>
        <item x="19"/>
        <item x="26"/>
        <item x="5"/>
        <item x="50"/>
        <item x="3"/>
        <item x="28"/>
        <item x="46"/>
        <item x="30"/>
        <item x="59"/>
        <item x="4"/>
        <item x="20"/>
        <item x="52"/>
        <item x="57"/>
        <item x="25"/>
        <item x="40"/>
        <item x="2"/>
        <item x="54"/>
        <item x="8"/>
        <item x="48"/>
        <item x="31"/>
        <item t="default"/>
      </items>
    </pivotField>
    <pivotField showAll="0">
      <items count="21">
        <item x="2"/>
        <item x="14"/>
        <item x="7"/>
        <item x="9"/>
        <item x="3"/>
        <item x="10"/>
        <item x="8"/>
        <item x="12"/>
        <item x="16"/>
        <item x="1"/>
        <item x="17"/>
        <item x="0"/>
        <item x="5"/>
        <item x="11"/>
        <item x="19"/>
        <item x="4"/>
        <item x="6"/>
        <item x="15"/>
        <item x="18"/>
        <item x="13"/>
        <item t="default"/>
      </items>
    </pivotField>
    <pivotField showAll="0">
      <items count="11">
        <item x="5"/>
        <item x="0"/>
        <item x="2"/>
        <item x="7"/>
        <item x="3"/>
        <item x="4"/>
        <item x="9"/>
        <item x="8"/>
        <item x="1"/>
        <item x="6"/>
        <item t="default"/>
      </items>
    </pivotField>
    <pivotField showAll="0">
      <items count="69">
        <item x="60"/>
        <item x="47"/>
        <item x="14"/>
        <item x="61"/>
        <item x="40"/>
        <item x="25"/>
        <item x="2"/>
        <item x="54"/>
        <item x="34"/>
        <item x="7"/>
        <item x="62"/>
        <item x="51"/>
        <item x="39"/>
        <item x="24"/>
        <item x="18"/>
        <item x="9"/>
        <item x="33"/>
        <item x="22"/>
        <item x="41"/>
        <item x="56"/>
        <item x="17"/>
        <item x="37"/>
        <item x="3"/>
        <item x="46"/>
        <item x="28"/>
        <item x="63"/>
        <item x="30"/>
        <item x="65"/>
        <item x="36"/>
        <item x="21"/>
        <item x="45"/>
        <item x="10"/>
        <item x="19"/>
        <item x="8"/>
        <item x="48"/>
        <item x="31"/>
        <item x="43"/>
        <item x="16"/>
        <item x="12"/>
        <item x="57"/>
        <item x="1"/>
        <item x="53"/>
        <item x="58"/>
        <item x="38"/>
        <item x="23"/>
        <item x="0"/>
        <item x="67"/>
        <item x="55"/>
        <item x="32"/>
        <item x="11"/>
        <item x="26"/>
        <item x="5"/>
        <item x="50"/>
        <item x="66"/>
        <item x="4"/>
        <item x="59"/>
        <item x="52"/>
        <item x="20"/>
        <item x="44"/>
        <item x="27"/>
        <item x="6"/>
        <item x="35"/>
        <item x="15"/>
        <item x="29"/>
        <item x="42"/>
        <item x="13"/>
        <item x="64"/>
        <item x="49"/>
        <item t="default"/>
      </items>
    </pivotField>
    <pivotField axis="axisRow" measureFilter="1" sortType="ascending" showAll="0">
      <items count="16">
        <item x="13"/>
        <item x="3"/>
        <item x="12"/>
        <item x="7"/>
        <item x="5"/>
        <item x="8"/>
        <item x="4"/>
        <item x="9"/>
        <item x="10"/>
        <item x="14"/>
        <item x="6"/>
        <item x="11"/>
        <item x="2"/>
        <item x="1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3">
        <item x="2"/>
        <item x="12"/>
        <item x="8"/>
        <item x="14"/>
        <item x="17"/>
        <item x="11"/>
        <item x="1"/>
        <item x="21"/>
        <item x="6"/>
        <item x="16"/>
        <item x="18"/>
        <item x="4"/>
        <item x="10"/>
        <item x="0"/>
        <item x="19"/>
        <item x="7"/>
        <item x="13"/>
        <item x="20"/>
        <item x="3"/>
        <item x="9"/>
        <item x="5"/>
        <item x="15"/>
        <item t="default"/>
      </items>
    </pivotField>
    <pivotField showAll="0">
      <items count="20">
        <item x="2"/>
        <item x="12"/>
        <item x="8"/>
        <item x="14"/>
        <item x="17"/>
        <item x="11"/>
        <item x="1"/>
        <item x="6"/>
        <item x="4"/>
        <item x="16"/>
        <item x="10"/>
        <item x="0"/>
        <item x="18"/>
        <item x="7"/>
        <item x="13"/>
        <item x="3"/>
        <item x="9"/>
        <item x="5"/>
        <item x="15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>
      <items count="11">
        <item x="2"/>
        <item x="9"/>
        <item x="0"/>
        <item x="4"/>
        <item x="3"/>
        <item x="8"/>
        <item x="1"/>
        <item x="7"/>
        <item x="6"/>
        <item x="5"/>
        <item t="default"/>
      </items>
    </pivotField>
    <pivotField showAll="0">
      <items count="14">
        <item x="2"/>
        <item x="12"/>
        <item x="0"/>
        <item x="4"/>
        <item x="8"/>
        <item x="3"/>
        <item x="9"/>
        <item x="1"/>
        <item x="6"/>
        <item x="7"/>
        <item x="10"/>
        <item x="5"/>
        <item x="11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numFmtId="2" showAll="0">
      <items count="45">
        <item x="2"/>
        <item x="22"/>
        <item x="15"/>
        <item x="17"/>
        <item x="4"/>
        <item x="20"/>
        <item x="0"/>
        <item x="11"/>
        <item x="16"/>
        <item x="1"/>
        <item x="18"/>
        <item x="6"/>
        <item x="24"/>
        <item x="7"/>
        <item x="3"/>
        <item x="12"/>
        <item x="10"/>
        <item x="14"/>
        <item x="38"/>
        <item x="13"/>
        <item x="36"/>
        <item x="9"/>
        <item x="19"/>
        <item x="30"/>
        <item x="8"/>
        <item x="25"/>
        <item x="43"/>
        <item x="35"/>
        <item x="31"/>
        <item x="32"/>
        <item x="33"/>
        <item x="42"/>
        <item x="27"/>
        <item x="5"/>
        <item x="26"/>
        <item x="34"/>
        <item x="23"/>
        <item x="37"/>
        <item x="21"/>
        <item x="40"/>
        <item x="41"/>
        <item x="39"/>
        <item x="29"/>
        <item x="28"/>
        <item t="default"/>
      </items>
    </pivotField>
    <pivotField numFmtId="2" showAll="0">
      <items count="45">
        <item x="2"/>
        <item x="22"/>
        <item x="15"/>
        <item x="17"/>
        <item x="4"/>
        <item x="20"/>
        <item x="0"/>
        <item x="11"/>
        <item x="16"/>
        <item x="1"/>
        <item x="18"/>
        <item x="6"/>
        <item x="24"/>
        <item x="7"/>
        <item x="3"/>
        <item x="12"/>
        <item x="10"/>
        <item x="14"/>
        <item x="38"/>
        <item x="13"/>
        <item x="36"/>
        <item x="9"/>
        <item x="19"/>
        <item x="30"/>
        <item x="8"/>
        <item x="25"/>
        <item x="43"/>
        <item x="35"/>
        <item x="31"/>
        <item x="32"/>
        <item x="33"/>
        <item x="42"/>
        <item x="27"/>
        <item x="5"/>
        <item x="26"/>
        <item x="34"/>
        <item x="23"/>
        <item x="37"/>
        <item x="21"/>
        <item x="40"/>
        <item x="41"/>
        <item x="39"/>
        <item x="29"/>
        <item x="28"/>
        <item t="default"/>
      </items>
    </pivotField>
  </pivotFields>
  <rowFields count="1">
    <field x="12"/>
  </rowFields>
  <rowItems count="6">
    <i>
      <x v="1"/>
    </i>
    <i>
      <x v="3"/>
    </i>
    <i>
      <x v="12"/>
    </i>
    <i>
      <x v="14"/>
    </i>
    <i>
      <x/>
    </i>
    <i t="grand">
      <x/>
    </i>
  </rowItems>
  <colItems count="1">
    <i/>
  </colItems>
  <dataFields count="1">
    <dataField name="Number of  Supplier       " fld="8" subtotal="count" baseField="0" baseItem="0"/>
  </dataFields>
  <formats count="5">
    <format dxfId="21">
      <pivotArea outline="0" collapsedLevelsAreSubtotals="1" fieldPosition="0"/>
    </format>
    <format dxfId="22">
      <pivotArea type="all" dataOnly="0" outline="0" fieldPosition="0"/>
    </format>
    <format dxfId="23">
      <pivotArea outline="0" collapsedLevelsAreSubtotals="1" fieldPosition="0"/>
    </format>
    <format dxfId="24">
      <pivotArea dataOnly="0" labelOnly="1" outline="0" fieldPosition="0"/>
    </format>
    <format dxfId="25">
      <pivotArea dataOnly="0" labelOnly="1" outline="0" fieldPosition="0"/>
    </format>
  </formats>
  <pivotTableStyleInfo name="PivotStyleLight16" showRowHeaders="1" showColHeaders="1" showLastColumn="1"/>
  <filters count="1">
    <filter evalOrder="-1" fld="12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0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08:B114" firstHeaderRow="1" firstDataRow="1" firstDataCol="1"/>
  <pivotFields count="21">
    <pivotField compact="0" showAll="0">
      <items count="2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measureFilter="1" compact="0" sortType="ascending" showAll="0">
      <items count="41">
        <item x="33"/>
        <item x="34"/>
        <item x="38"/>
        <item x="19"/>
        <item x="32"/>
        <item x="25"/>
        <item x="14"/>
        <item x="28"/>
        <item x="13"/>
        <item x="36"/>
        <item x="15"/>
        <item x="11"/>
        <item x="17"/>
        <item x="9"/>
        <item x="1"/>
        <item x="10"/>
        <item x="30"/>
        <item x="7"/>
        <item x="0"/>
        <item x="39"/>
        <item x="20"/>
        <item x="12"/>
        <item x="24"/>
        <item x="6"/>
        <item x="16"/>
        <item x="29"/>
        <item x="21"/>
        <item x="31"/>
        <item x="18"/>
        <item x="23"/>
        <item x="5"/>
        <item x="3"/>
        <item x="26"/>
        <item x="37"/>
        <item x="4"/>
        <item x="35"/>
        <item x="22"/>
        <item x="2"/>
        <item x="8"/>
        <item x="2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7">
        <item x="2"/>
        <item x="4"/>
        <item x="3"/>
        <item x="0"/>
        <item x="1"/>
        <item x="5"/>
        <item t="default"/>
      </items>
    </pivotField>
  </pivotFields>
  <rowFields count="1">
    <field x="8"/>
  </rowFields>
  <rowItems count="6">
    <i>
      <x v="11"/>
    </i>
    <i>
      <x v="14"/>
    </i>
    <i>
      <x v="4"/>
    </i>
    <i>
      <x v="39"/>
    </i>
    <i>
      <x v="19"/>
    </i>
    <i t="grand">
      <x/>
    </i>
  </rowItems>
  <colItems count="1">
    <i/>
  </colItems>
  <dataFields count="1">
    <dataField name="Average of Delievry days" fld="20" subtotal="average" baseField="0" baseItem="0"/>
  </dataFields>
  <formats count="9">
    <format dxfId="26">
      <pivotArea collapsedLevelsAreSubtotals="1" fieldPosition="0"/>
    </format>
    <format dxfId="27">
      <pivotArea collapsedLevelsAreSubtotals="1" fieldPosition="0"/>
    </format>
    <format dxfId="28">
      <pivotArea collapsedLevelsAreSubtotals="1" fieldPosition="0"/>
    </format>
    <format dxfId="29">
      <pivotArea collapsedLevelsAreSubtotals="1" fieldPosition="0"/>
    </format>
    <format dxfId="30">
      <pivotArea collapsedLevelsAreSubtotals="1" fieldPosition="0"/>
    </format>
    <format dxfId="31">
      <pivotArea collapsedLevelsAreSubtotals="1" fieldPosition="0"/>
    </format>
    <format dxfId="32">
      <pivotArea collapsedLevelsAreSubtotals="1" fieldPosition="0"/>
    </format>
    <format dxfId="33">
      <pivotArea collapsedLevelsAreSubtotals="1" fieldPosition="0"/>
    </format>
    <format dxfId="34">
      <pivotArea collapsedLevelsAreSubtotals="1" fieldPosition="0"/>
    </format>
  </formats>
  <pivotTableStyleInfo name="PivotStyleLight16" showRowHeaders="1" showColHeaders="1" showLastColumn="1"/>
  <filters count="1">
    <filter evalOrder="-1" fld="8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7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>
  <location ref="A12:A13" firstHeaderRow="1" firstDataRow="1" firstDataCol="0"/>
  <pivotFields count="21">
    <pivotField showAll="0">
      <items count="2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showAll="0">
      <items count="110">
        <item x="83"/>
        <item x="101"/>
        <item x="32"/>
        <item x="14"/>
        <item x="104"/>
        <item x="58"/>
        <item x="52"/>
        <item x="74"/>
        <item x="65"/>
        <item x="1"/>
        <item x="21"/>
        <item x="100"/>
        <item x="90"/>
        <item x="95"/>
        <item x="22"/>
        <item x="105"/>
        <item x="29"/>
        <item x="88"/>
        <item x="102"/>
        <item x="7"/>
        <item x="84"/>
        <item x="11"/>
        <item x="28"/>
        <item x="106"/>
        <item x="38"/>
        <item x="6"/>
        <item x="53"/>
        <item x="75"/>
        <item x="66"/>
        <item x="23"/>
        <item x="86"/>
        <item x="27"/>
        <item x="96"/>
        <item x="4"/>
        <item x="91"/>
        <item x="56"/>
        <item x="40"/>
        <item x="25"/>
        <item x="39"/>
        <item x="48"/>
        <item x="30"/>
        <item x="42"/>
        <item x="45"/>
        <item x="24"/>
        <item x="43"/>
        <item x="41"/>
        <item x="51"/>
        <item x="46"/>
        <item x="20"/>
        <item x="49"/>
        <item x="44"/>
        <item x="59"/>
        <item x="50"/>
        <item x="47"/>
        <item x="34"/>
        <item x="87"/>
        <item x="9"/>
        <item x="98"/>
        <item x="5"/>
        <item x="55"/>
        <item x="77"/>
        <item x="68"/>
        <item x="2"/>
        <item x="93"/>
        <item x="108"/>
        <item x="103"/>
        <item x="0"/>
        <item x="57"/>
        <item x="19"/>
        <item x="85"/>
        <item x="17"/>
        <item x="92"/>
        <item x="94"/>
        <item x="18"/>
        <item x="60"/>
        <item x="37"/>
        <item x="36"/>
        <item x="99"/>
        <item x="31"/>
        <item x="61"/>
        <item x="78"/>
        <item x="69"/>
        <item x="15"/>
        <item x="35"/>
        <item x="54"/>
        <item x="76"/>
        <item x="67"/>
        <item x="8"/>
        <item x="3"/>
        <item x="73"/>
        <item x="64"/>
        <item x="33"/>
        <item x="63"/>
        <item x="80"/>
        <item x="71"/>
        <item x="12"/>
        <item x="107"/>
        <item x="89"/>
        <item x="26"/>
        <item x="81"/>
        <item x="72"/>
        <item x="13"/>
        <item x="10"/>
        <item x="82"/>
        <item x="62"/>
        <item x="79"/>
        <item x="70"/>
        <item x="97"/>
        <item x="16"/>
        <item t="default"/>
      </items>
    </pivotField>
    <pivotField showAll="0">
      <items count="70">
        <item x="24"/>
        <item x="65"/>
        <item x="54"/>
        <item x="1"/>
        <item x="44"/>
        <item x="61"/>
        <item x="16"/>
        <item x="13"/>
        <item x="43"/>
        <item x="21"/>
        <item x="27"/>
        <item x="67"/>
        <item x="57"/>
        <item x="68"/>
        <item x="50"/>
        <item x="18"/>
        <item x="36"/>
        <item x="17"/>
        <item x="58"/>
        <item x="11"/>
        <item x="33"/>
        <item x="10"/>
        <item x="53"/>
        <item x="28"/>
        <item x="34"/>
        <item x="7"/>
        <item x="62"/>
        <item x="20"/>
        <item x="31"/>
        <item x="42"/>
        <item x="6"/>
        <item x="45"/>
        <item x="25"/>
        <item x="55"/>
        <item x="8"/>
        <item x="46"/>
        <item x="64"/>
        <item x="5"/>
        <item x="47"/>
        <item x="2"/>
        <item x="59"/>
        <item x="19"/>
        <item x="37"/>
        <item x="48"/>
        <item x="32"/>
        <item x="41"/>
        <item x="0"/>
        <item x="22"/>
        <item x="63"/>
        <item x="49"/>
        <item x="14"/>
        <item x="38"/>
        <item x="30"/>
        <item x="39"/>
        <item x="23"/>
        <item x="15"/>
        <item x="40"/>
        <item x="4"/>
        <item x="29"/>
        <item x="35"/>
        <item x="9"/>
        <item x="3"/>
        <item x="52"/>
        <item x="12"/>
        <item x="51"/>
        <item x="56"/>
        <item x="26"/>
        <item x="66"/>
        <item x="60"/>
        <item t="default"/>
      </items>
    </pivotField>
    <pivotField showAll="0">
      <items count="90">
        <item x="67"/>
        <item x="32"/>
        <item x="83"/>
        <item x="14"/>
        <item x="58"/>
        <item x="1"/>
        <item x="52"/>
        <item x="21"/>
        <item x="82"/>
        <item x="73"/>
        <item x="77"/>
        <item x="22"/>
        <item x="86"/>
        <item x="29"/>
        <item x="71"/>
        <item x="7"/>
        <item x="84"/>
        <item x="11"/>
        <item x="68"/>
        <item x="28"/>
        <item x="87"/>
        <item x="38"/>
        <item x="6"/>
        <item x="53"/>
        <item x="23"/>
        <item x="27"/>
        <item x="69"/>
        <item x="78"/>
        <item x="4"/>
        <item x="56"/>
        <item x="40"/>
        <item x="25"/>
        <item x="39"/>
        <item x="48"/>
        <item x="30"/>
        <item x="42"/>
        <item x="45"/>
        <item x="24"/>
        <item x="43"/>
        <item x="41"/>
        <item x="51"/>
        <item x="46"/>
        <item x="20"/>
        <item x="49"/>
        <item x="44"/>
        <item x="59"/>
        <item x="50"/>
        <item x="47"/>
        <item x="34"/>
        <item x="70"/>
        <item x="80"/>
        <item x="9"/>
        <item x="5"/>
        <item x="55"/>
        <item x="2"/>
        <item x="75"/>
        <item x="88"/>
        <item x="85"/>
        <item x="0"/>
        <item x="19"/>
        <item x="57"/>
        <item x="17"/>
        <item x="74"/>
        <item x="18"/>
        <item x="76"/>
        <item x="60"/>
        <item x="37"/>
        <item x="36"/>
        <item x="81"/>
        <item x="31"/>
        <item x="61"/>
        <item x="15"/>
        <item x="35"/>
        <item x="8"/>
        <item x="54"/>
        <item x="3"/>
        <item x="64"/>
        <item x="33"/>
        <item x="12"/>
        <item x="63"/>
        <item x="26"/>
        <item x="72"/>
        <item x="13"/>
        <item x="65"/>
        <item x="10"/>
        <item x="66"/>
        <item x="62"/>
        <item x="16"/>
        <item x="79"/>
        <item t="default"/>
      </items>
    </pivotField>
    <pivotField showAll="0">
      <items count="45">
        <item x="0"/>
        <item x="36"/>
        <item x="21"/>
        <item x="29"/>
        <item x="14"/>
        <item x="10"/>
        <item x="34"/>
        <item x="18"/>
        <item x="16"/>
        <item x="32"/>
        <item x="11"/>
        <item x="9"/>
        <item x="33"/>
        <item x="22"/>
        <item x="12"/>
        <item x="6"/>
        <item x="35"/>
        <item x="43"/>
        <item x="27"/>
        <item x="4"/>
        <item x="28"/>
        <item x="5"/>
        <item x="37"/>
        <item x="17"/>
        <item x="13"/>
        <item x="7"/>
        <item x="39"/>
        <item x="24"/>
        <item x="3"/>
        <item x="38"/>
        <item x="23"/>
        <item x="42"/>
        <item x="15"/>
        <item x="30"/>
        <item x="19"/>
        <item x="1"/>
        <item x="41"/>
        <item x="26"/>
        <item x="20"/>
        <item x="2"/>
        <item x="40"/>
        <item x="25"/>
        <item x="8"/>
        <item x="31"/>
        <item t="default"/>
      </items>
    </pivotField>
    <pivotField showAll="0">
      <items count="100">
        <item x="50"/>
        <item x="86"/>
        <item x="18"/>
        <item x="53"/>
        <item x="45"/>
        <item x="68"/>
        <item x="24"/>
        <item x="90"/>
        <item x="27"/>
        <item x="81"/>
        <item x="69"/>
        <item x="17"/>
        <item x="72"/>
        <item x="22"/>
        <item x="44"/>
        <item x="74"/>
        <item x="11"/>
        <item x="49"/>
        <item x="67"/>
        <item x="30"/>
        <item x="26"/>
        <item x="95"/>
        <item x="32"/>
        <item x="10"/>
        <item x="96"/>
        <item x="12"/>
        <item x="0"/>
        <item x="54"/>
        <item x="48"/>
        <item x="66"/>
        <item x="6"/>
        <item x="15"/>
        <item x="41"/>
        <item x="36"/>
        <item x="61"/>
        <item x="16"/>
        <item x="28"/>
        <item x="13"/>
        <item x="63"/>
        <item x="9"/>
        <item x="52"/>
        <item x="34"/>
        <item x="21"/>
        <item x="76"/>
        <item x="33"/>
        <item x="98"/>
        <item x="23"/>
        <item x="56"/>
        <item x="79"/>
        <item x="94"/>
        <item x="83"/>
        <item x="14"/>
        <item x="38"/>
        <item x="51"/>
        <item x="8"/>
        <item x="42"/>
        <item x="77"/>
        <item x="1"/>
        <item x="60"/>
        <item x="97"/>
        <item x="47"/>
        <item x="65"/>
        <item x="58"/>
        <item x="91"/>
        <item x="46"/>
        <item x="64"/>
        <item x="31"/>
        <item x="39"/>
        <item x="70"/>
        <item x="92"/>
        <item x="84"/>
        <item x="43"/>
        <item x="62"/>
        <item x="5"/>
        <item x="55"/>
        <item x="35"/>
        <item x="19"/>
        <item x="78"/>
        <item x="37"/>
        <item x="73"/>
        <item x="87"/>
        <item x="25"/>
        <item x="82"/>
        <item x="2"/>
        <item x="75"/>
        <item x="40"/>
        <item x="71"/>
        <item x="4"/>
        <item x="20"/>
        <item x="59"/>
        <item x="93"/>
        <item x="85"/>
        <item x="3"/>
        <item x="29"/>
        <item x="89"/>
        <item x="7"/>
        <item x="80"/>
        <item x="57"/>
        <item x="88"/>
        <item t="default"/>
      </items>
    </pivotField>
    <pivotField showAll="0">
      <items count="11">
        <item x="1"/>
        <item x="0"/>
        <item x="3"/>
        <item x="6"/>
        <item x="2"/>
        <item x="8"/>
        <item x="4"/>
        <item x="5"/>
        <item x="9"/>
        <item x="7"/>
        <item t="default"/>
      </items>
    </pivotField>
    <pivotField showAll="0">
      <items count="25">
        <item x="2"/>
        <item x="19"/>
        <item x="18"/>
        <item x="13"/>
        <item x="0"/>
        <item x="16"/>
        <item x="12"/>
        <item x="4"/>
        <item x="3"/>
        <item x="10"/>
        <item x="1"/>
        <item x="9"/>
        <item x="6"/>
        <item x="8"/>
        <item x="11"/>
        <item x="14"/>
        <item x="22"/>
        <item x="21"/>
        <item x="15"/>
        <item x="7"/>
        <item x="23"/>
        <item x="5"/>
        <item x="20"/>
        <item x="17"/>
        <item t="default"/>
      </items>
    </pivotField>
    <pivotField dataField="1" showAll="0">
      <items count="63">
        <item x="47"/>
        <item x="55"/>
        <item x="60"/>
        <item x="21"/>
        <item x="36"/>
        <item x="45"/>
        <item x="29"/>
        <item x="14"/>
        <item x="34"/>
        <item x="13"/>
        <item x="58"/>
        <item x="16"/>
        <item x="43"/>
        <item x="11"/>
        <item x="32"/>
        <item x="18"/>
        <item x="49"/>
        <item x="9"/>
        <item x="22"/>
        <item x="33"/>
        <item x="1"/>
        <item x="53"/>
        <item x="10"/>
        <item x="41"/>
        <item x="7"/>
        <item x="51"/>
        <item x="0"/>
        <item x="61"/>
        <item x="23"/>
        <item x="38"/>
        <item x="12"/>
        <item x="27"/>
        <item x="44"/>
        <item x="6"/>
        <item x="15"/>
        <item x="35"/>
        <item x="17"/>
        <item x="56"/>
        <item x="37"/>
        <item x="24"/>
        <item x="39"/>
        <item x="42"/>
        <item x="19"/>
        <item x="26"/>
        <item x="5"/>
        <item x="50"/>
        <item x="3"/>
        <item x="28"/>
        <item x="46"/>
        <item x="30"/>
        <item x="59"/>
        <item x="4"/>
        <item x="20"/>
        <item x="52"/>
        <item x="57"/>
        <item x="25"/>
        <item x="40"/>
        <item x="2"/>
        <item x="54"/>
        <item x="8"/>
        <item x="48"/>
        <item x="31"/>
        <item t="default"/>
      </items>
    </pivotField>
    <pivotField showAll="0">
      <items count="21">
        <item x="2"/>
        <item x="14"/>
        <item x="7"/>
        <item x="9"/>
        <item x="3"/>
        <item x="10"/>
        <item x="8"/>
        <item x="12"/>
        <item x="16"/>
        <item x="1"/>
        <item x="17"/>
        <item x="0"/>
        <item x="5"/>
        <item x="11"/>
        <item x="19"/>
        <item x="4"/>
        <item x="6"/>
        <item x="15"/>
        <item x="18"/>
        <item x="13"/>
        <item t="default"/>
      </items>
    </pivotField>
    <pivotField showAll="0">
      <items count="11">
        <item x="5"/>
        <item x="0"/>
        <item x="2"/>
        <item x="7"/>
        <item x="3"/>
        <item x="4"/>
        <item x="9"/>
        <item x="8"/>
        <item x="1"/>
        <item x="6"/>
        <item t="default"/>
      </items>
    </pivotField>
    <pivotField showAll="0">
      <items count="69">
        <item x="60"/>
        <item x="47"/>
        <item x="14"/>
        <item x="61"/>
        <item x="40"/>
        <item x="25"/>
        <item x="2"/>
        <item x="54"/>
        <item x="34"/>
        <item x="7"/>
        <item x="62"/>
        <item x="51"/>
        <item x="39"/>
        <item x="24"/>
        <item x="18"/>
        <item x="9"/>
        <item x="33"/>
        <item x="22"/>
        <item x="41"/>
        <item x="56"/>
        <item x="17"/>
        <item x="37"/>
        <item x="3"/>
        <item x="46"/>
        <item x="28"/>
        <item x="63"/>
        <item x="30"/>
        <item x="65"/>
        <item x="36"/>
        <item x="21"/>
        <item x="45"/>
        <item x="10"/>
        <item x="19"/>
        <item x="8"/>
        <item x="48"/>
        <item x="31"/>
        <item x="43"/>
        <item x="16"/>
        <item x="12"/>
        <item x="57"/>
        <item x="1"/>
        <item x="53"/>
        <item x="58"/>
        <item x="38"/>
        <item x="23"/>
        <item x="0"/>
        <item x="67"/>
        <item x="55"/>
        <item x="32"/>
        <item x="11"/>
        <item x="26"/>
        <item x="5"/>
        <item x="50"/>
        <item x="66"/>
        <item x="4"/>
        <item x="59"/>
        <item x="52"/>
        <item x="20"/>
        <item x="44"/>
        <item x="27"/>
        <item x="6"/>
        <item x="35"/>
        <item x="15"/>
        <item x="29"/>
        <item x="42"/>
        <item x="13"/>
        <item x="64"/>
        <item x="49"/>
        <item t="default"/>
      </items>
    </pivotField>
    <pivotField showAll="0">
      <items count="16">
        <item x="13"/>
        <item x="3"/>
        <item x="12"/>
        <item x="7"/>
        <item x="5"/>
        <item x="8"/>
        <item x="4"/>
        <item x="9"/>
        <item x="10"/>
        <item x="14"/>
        <item x="6"/>
        <item x="11"/>
        <item x="2"/>
        <item x="1"/>
        <item x="0"/>
        <item t="default"/>
      </items>
    </pivotField>
    <pivotField showAll="0">
      <items count="23">
        <item x="2"/>
        <item x="12"/>
        <item x="8"/>
        <item x="14"/>
        <item x="17"/>
        <item x="11"/>
        <item x="1"/>
        <item x="21"/>
        <item x="6"/>
        <item x="16"/>
        <item x="18"/>
        <item x="4"/>
        <item x="10"/>
        <item x="0"/>
        <item x="19"/>
        <item x="7"/>
        <item x="13"/>
        <item x="20"/>
        <item x="3"/>
        <item x="9"/>
        <item x="5"/>
        <item x="15"/>
        <item t="default"/>
      </items>
    </pivotField>
    <pivotField showAll="0">
      <items count="20">
        <item x="2"/>
        <item x="12"/>
        <item x="8"/>
        <item x="14"/>
        <item x="17"/>
        <item x="11"/>
        <item x="1"/>
        <item x="6"/>
        <item x="4"/>
        <item x="16"/>
        <item x="10"/>
        <item x="0"/>
        <item x="18"/>
        <item x="7"/>
        <item x="13"/>
        <item x="3"/>
        <item x="9"/>
        <item x="5"/>
        <item x="15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>
      <items count="11">
        <item x="2"/>
        <item x="9"/>
        <item x="0"/>
        <item x="4"/>
        <item x="3"/>
        <item x="8"/>
        <item x="1"/>
        <item x="7"/>
        <item x="6"/>
        <item x="5"/>
        <item t="default"/>
      </items>
    </pivotField>
    <pivotField showAll="0">
      <items count="14">
        <item x="2"/>
        <item x="12"/>
        <item x="0"/>
        <item x="4"/>
        <item x="8"/>
        <item x="3"/>
        <item x="9"/>
        <item x="1"/>
        <item x="6"/>
        <item x="7"/>
        <item x="10"/>
        <item x="5"/>
        <item x="11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numFmtId="2" showAll="0">
      <items count="45">
        <item x="2"/>
        <item x="22"/>
        <item x="15"/>
        <item x="17"/>
        <item x="4"/>
        <item x="20"/>
        <item x="0"/>
        <item x="11"/>
        <item x="16"/>
        <item x="1"/>
        <item x="18"/>
        <item x="6"/>
        <item x="24"/>
        <item x="7"/>
        <item x="3"/>
        <item x="12"/>
        <item x="10"/>
        <item x="14"/>
        <item x="38"/>
        <item x="13"/>
        <item x="36"/>
        <item x="9"/>
        <item x="19"/>
        <item x="30"/>
        <item x="8"/>
        <item x="25"/>
        <item x="43"/>
        <item x="35"/>
        <item x="31"/>
        <item x="32"/>
        <item x="33"/>
        <item x="42"/>
        <item x="27"/>
        <item x="5"/>
        <item x="26"/>
        <item x="34"/>
        <item x="23"/>
        <item x="37"/>
        <item x="21"/>
        <item x="40"/>
        <item x="41"/>
        <item x="39"/>
        <item x="29"/>
        <item x="28"/>
        <item t="default"/>
      </items>
    </pivotField>
    <pivotField numFmtId="2" showAll="0">
      <items count="45">
        <item x="2"/>
        <item x="22"/>
        <item x="15"/>
        <item x="17"/>
        <item x="4"/>
        <item x="20"/>
        <item x="0"/>
        <item x="11"/>
        <item x="16"/>
        <item x="1"/>
        <item x="18"/>
        <item x="6"/>
        <item x="24"/>
        <item x="7"/>
        <item x="3"/>
        <item x="12"/>
        <item x="10"/>
        <item x="14"/>
        <item x="38"/>
        <item x="13"/>
        <item x="36"/>
        <item x="9"/>
        <item x="19"/>
        <item x="30"/>
        <item x="8"/>
        <item x="25"/>
        <item x="43"/>
        <item x="35"/>
        <item x="31"/>
        <item x="32"/>
        <item x="33"/>
        <item x="42"/>
        <item x="27"/>
        <item x="5"/>
        <item x="26"/>
        <item x="34"/>
        <item x="23"/>
        <item x="37"/>
        <item x="21"/>
        <item x="40"/>
        <item x="41"/>
        <item x="39"/>
        <item x="29"/>
        <item x="28"/>
        <item t="default"/>
      </items>
    </pivotField>
  </pivotFields>
  <dataFields count="1">
    <dataField name="Number of  Supplier       " fld="8" subtotal="count" baseField="0" baseItem="0"/>
  </dataFields>
  <formats count="5">
    <format dxfId="35">
      <pivotArea outline="0" collapsedLevelsAreSubtotals="1" fieldPosition="0"/>
    </format>
    <format dxfId="36">
      <pivotArea type="all" dataOnly="0" outline="0" fieldPosition="0"/>
    </format>
    <format dxfId="37">
      <pivotArea outline="0" collapsedLevelsAreSubtotals="1" fieldPosition="0"/>
    </format>
    <format dxfId="38">
      <pivotArea dataOnly="0" labelOnly="1" outline="0" fieldPosition="0"/>
    </format>
    <format dxfId="39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>
  <location ref="A8:A9" firstHeaderRow="1" firstDataRow="1" firstDataCol="0"/>
  <pivotFields count="21">
    <pivotField showAll="0">
      <items count="2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showAll="0">
      <items count="110">
        <item x="83"/>
        <item x="101"/>
        <item x="32"/>
        <item x="14"/>
        <item x="104"/>
        <item x="58"/>
        <item x="52"/>
        <item x="74"/>
        <item x="65"/>
        <item x="1"/>
        <item x="21"/>
        <item x="100"/>
        <item x="90"/>
        <item x="95"/>
        <item x="22"/>
        <item x="105"/>
        <item x="29"/>
        <item x="88"/>
        <item x="102"/>
        <item x="7"/>
        <item x="84"/>
        <item x="11"/>
        <item x="28"/>
        <item x="106"/>
        <item x="38"/>
        <item x="6"/>
        <item x="53"/>
        <item x="75"/>
        <item x="66"/>
        <item x="23"/>
        <item x="86"/>
        <item x="27"/>
        <item x="96"/>
        <item x="4"/>
        <item x="91"/>
        <item x="56"/>
        <item x="40"/>
        <item x="25"/>
        <item x="39"/>
        <item x="48"/>
        <item x="30"/>
        <item x="42"/>
        <item x="45"/>
        <item x="24"/>
        <item x="43"/>
        <item x="41"/>
        <item x="51"/>
        <item x="46"/>
        <item x="20"/>
        <item x="49"/>
        <item x="44"/>
        <item x="59"/>
        <item x="50"/>
        <item x="47"/>
        <item x="34"/>
        <item x="87"/>
        <item x="9"/>
        <item x="98"/>
        <item x="5"/>
        <item x="55"/>
        <item x="77"/>
        <item x="68"/>
        <item x="2"/>
        <item x="93"/>
        <item x="108"/>
        <item x="103"/>
        <item x="0"/>
        <item x="57"/>
        <item x="19"/>
        <item x="85"/>
        <item x="17"/>
        <item x="92"/>
        <item x="94"/>
        <item x="18"/>
        <item x="60"/>
        <item x="37"/>
        <item x="36"/>
        <item x="99"/>
        <item x="31"/>
        <item x="61"/>
        <item x="78"/>
        <item x="69"/>
        <item x="15"/>
        <item x="35"/>
        <item x="54"/>
        <item x="76"/>
        <item x="67"/>
        <item x="8"/>
        <item x="3"/>
        <item x="73"/>
        <item x="64"/>
        <item x="33"/>
        <item x="63"/>
        <item x="80"/>
        <item x="71"/>
        <item x="12"/>
        <item x="107"/>
        <item x="89"/>
        <item x="26"/>
        <item x="81"/>
        <item x="72"/>
        <item x="13"/>
        <item x="10"/>
        <item x="82"/>
        <item x="62"/>
        <item x="79"/>
        <item x="70"/>
        <item x="97"/>
        <item x="16"/>
        <item t="default"/>
      </items>
    </pivotField>
    <pivotField showAll="0">
      <items count="70">
        <item x="24"/>
        <item x="65"/>
        <item x="54"/>
        <item x="1"/>
        <item x="44"/>
        <item x="61"/>
        <item x="16"/>
        <item x="13"/>
        <item x="43"/>
        <item x="21"/>
        <item x="27"/>
        <item x="67"/>
        <item x="57"/>
        <item x="68"/>
        <item x="50"/>
        <item x="18"/>
        <item x="36"/>
        <item x="17"/>
        <item x="58"/>
        <item x="11"/>
        <item x="33"/>
        <item x="10"/>
        <item x="53"/>
        <item x="28"/>
        <item x="34"/>
        <item x="7"/>
        <item x="62"/>
        <item x="20"/>
        <item x="31"/>
        <item x="42"/>
        <item x="6"/>
        <item x="45"/>
        <item x="25"/>
        <item x="55"/>
        <item x="8"/>
        <item x="46"/>
        <item x="64"/>
        <item x="5"/>
        <item x="47"/>
        <item x="2"/>
        <item x="59"/>
        <item x="19"/>
        <item x="37"/>
        <item x="48"/>
        <item x="32"/>
        <item x="41"/>
        <item x="0"/>
        <item x="22"/>
        <item x="63"/>
        <item x="49"/>
        <item x="14"/>
        <item x="38"/>
        <item x="30"/>
        <item x="39"/>
        <item x="23"/>
        <item x="15"/>
        <item x="40"/>
        <item x="4"/>
        <item x="29"/>
        <item x="35"/>
        <item x="9"/>
        <item x="3"/>
        <item x="52"/>
        <item x="12"/>
        <item x="51"/>
        <item x="56"/>
        <item x="26"/>
        <item x="66"/>
        <item x="60"/>
        <item t="default"/>
      </items>
    </pivotField>
    <pivotField showAll="0">
      <items count="90">
        <item x="67"/>
        <item x="32"/>
        <item x="83"/>
        <item x="14"/>
        <item x="58"/>
        <item x="1"/>
        <item x="52"/>
        <item x="21"/>
        <item x="82"/>
        <item x="73"/>
        <item x="77"/>
        <item x="22"/>
        <item x="86"/>
        <item x="29"/>
        <item x="71"/>
        <item x="7"/>
        <item x="84"/>
        <item x="11"/>
        <item x="68"/>
        <item x="28"/>
        <item x="87"/>
        <item x="38"/>
        <item x="6"/>
        <item x="53"/>
        <item x="23"/>
        <item x="27"/>
        <item x="69"/>
        <item x="78"/>
        <item x="4"/>
        <item x="56"/>
        <item x="40"/>
        <item x="25"/>
        <item x="39"/>
        <item x="48"/>
        <item x="30"/>
        <item x="42"/>
        <item x="45"/>
        <item x="24"/>
        <item x="43"/>
        <item x="41"/>
        <item x="51"/>
        <item x="46"/>
        <item x="20"/>
        <item x="49"/>
        <item x="44"/>
        <item x="59"/>
        <item x="50"/>
        <item x="47"/>
        <item x="34"/>
        <item x="70"/>
        <item x="80"/>
        <item x="9"/>
        <item x="5"/>
        <item x="55"/>
        <item x="2"/>
        <item x="75"/>
        <item x="88"/>
        <item x="85"/>
        <item x="0"/>
        <item x="19"/>
        <item x="57"/>
        <item x="17"/>
        <item x="74"/>
        <item x="18"/>
        <item x="76"/>
        <item x="60"/>
        <item x="37"/>
        <item x="36"/>
        <item x="81"/>
        <item x="31"/>
        <item x="61"/>
        <item x="15"/>
        <item x="35"/>
        <item x="8"/>
        <item x="54"/>
        <item x="3"/>
        <item x="64"/>
        <item x="33"/>
        <item x="12"/>
        <item x="63"/>
        <item x="26"/>
        <item x="72"/>
        <item x="13"/>
        <item x="65"/>
        <item x="10"/>
        <item x="66"/>
        <item x="62"/>
        <item x="16"/>
        <item x="79"/>
        <item t="default"/>
      </items>
    </pivotField>
    <pivotField showAll="0">
      <items count="45">
        <item x="0"/>
        <item x="36"/>
        <item x="21"/>
        <item x="29"/>
        <item x="14"/>
        <item x="10"/>
        <item x="34"/>
        <item x="18"/>
        <item x="16"/>
        <item x="32"/>
        <item x="11"/>
        <item x="9"/>
        <item x="33"/>
        <item x="22"/>
        <item x="12"/>
        <item x="6"/>
        <item x="35"/>
        <item x="43"/>
        <item x="27"/>
        <item x="4"/>
        <item x="28"/>
        <item x="5"/>
        <item x="37"/>
        <item x="17"/>
        <item x="13"/>
        <item x="7"/>
        <item x="39"/>
        <item x="24"/>
        <item x="3"/>
        <item x="38"/>
        <item x="23"/>
        <item x="42"/>
        <item x="15"/>
        <item x="30"/>
        <item x="19"/>
        <item x="1"/>
        <item x="41"/>
        <item x="26"/>
        <item x="20"/>
        <item x="2"/>
        <item x="40"/>
        <item x="25"/>
        <item x="8"/>
        <item x="31"/>
        <item t="default"/>
      </items>
    </pivotField>
    <pivotField showAll="0">
      <items count="100">
        <item x="50"/>
        <item x="86"/>
        <item x="18"/>
        <item x="53"/>
        <item x="45"/>
        <item x="68"/>
        <item x="24"/>
        <item x="90"/>
        <item x="27"/>
        <item x="81"/>
        <item x="69"/>
        <item x="17"/>
        <item x="72"/>
        <item x="22"/>
        <item x="44"/>
        <item x="74"/>
        <item x="11"/>
        <item x="49"/>
        <item x="67"/>
        <item x="30"/>
        <item x="26"/>
        <item x="95"/>
        <item x="32"/>
        <item x="10"/>
        <item x="96"/>
        <item x="12"/>
        <item x="0"/>
        <item x="54"/>
        <item x="48"/>
        <item x="66"/>
        <item x="6"/>
        <item x="15"/>
        <item x="41"/>
        <item x="36"/>
        <item x="61"/>
        <item x="16"/>
        <item x="28"/>
        <item x="13"/>
        <item x="63"/>
        <item x="9"/>
        <item x="52"/>
        <item x="34"/>
        <item x="21"/>
        <item x="76"/>
        <item x="33"/>
        <item x="98"/>
        <item x="23"/>
        <item x="56"/>
        <item x="79"/>
        <item x="94"/>
        <item x="83"/>
        <item x="14"/>
        <item x="38"/>
        <item x="51"/>
        <item x="8"/>
        <item x="42"/>
        <item x="77"/>
        <item x="1"/>
        <item x="60"/>
        <item x="97"/>
        <item x="47"/>
        <item x="65"/>
        <item x="58"/>
        <item x="91"/>
        <item x="46"/>
        <item x="64"/>
        <item x="31"/>
        <item x="39"/>
        <item x="70"/>
        <item x="92"/>
        <item x="84"/>
        <item x="43"/>
        <item x="62"/>
        <item x="5"/>
        <item x="55"/>
        <item x="35"/>
        <item x="19"/>
        <item x="78"/>
        <item x="37"/>
        <item x="73"/>
        <item x="87"/>
        <item x="25"/>
        <item x="82"/>
        <item x="2"/>
        <item x="75"/>
        <item x="40"/>
        <item x="71"/>
        <item x="4"/>
        <item x="20"/>
        <item x="59"/>
        <item x="93"/>
        <item x="85"/>
        <item x="3"/>
        <item x="29"/>
        <item x="89"/>
        <item x="7"/>
        <item x="80"/>
        <item x="57"/>
        <item x="88"/>
        <item t="default"/>
      </items>
    </pivotField>
    <pivotField showAll="0">
      <items count="11">
        <item x="1"/>
        <item x="0"/>
        <item x="3"/>
        <item x="6"/>
        <item x="2"/>
        <item x="8"/>
        <item x="4"/>
        <item x="5"/>
        <item x="9"/>
        <item x="7"/>
        <item t="default"/>
      </items>
    </pivotField>
    <pivotField showAll="0">
      <items count="25">
        <item x="2"/>
        <item x="19"/>
        <item x="18"/>
        <item x="13"/>
        <item x="0"/>
        <item x="16"/>
        <item x="12"/>
        <item x="4"/>
        <item x="3"/>
        <item x="10"/>
        <item x="1"/>
        <item x="9"/>
        <item x="6"/>
        <item x="8"/>
        <item x="11"/>
        <item x="14"/>
        <item x="22"/>
        <item x="21"/>
        <item x="15"/>
        <item x="7"/>
        <item x="23"/>
        <item x="5"/>
        <item x="20"/>
        <item x="17"/>
        <item t="default"/>
      </items>
    </pivotField>
    <pivotField showAll="0">
      <items count="63">
        <item x="47"/>
        <item x="55"/>
        <item x="60"/>
        <item x="21"/>
        <item x="36"/>
        <item x="45"/>
        <item x="29"/>
        <item x="14"/>
        <item x="34"/>
        <item x="13"/>
        <item x="58"/>
        <item x="16"/>
        <item x="43"/>
        <item x="11"/>
        <item x="32"/>
        <item x="18"/>
        <item x="49"/>
        <item x="9"/>
        <item x="22"/>
        <item x="33"/>
        <item x="1"/>
        <item x="53"/>
        <item x="10"/>
        <item x="41"/>
        <item x="7"/>
        <item x="51"/>
        <item x="0"/>
        <item x="61"/>
        <item x="23"/>
        <item x="38"/>
        <item x="12"/>
        <item x="27"/>
        <item x="44"/>
        <item x="6"/>
        <item x="15"/>
        <item x="35"/>
        <item x="17"/>
        <item x="56"/>
        <item x="37"/>
        <item x="24"/>
        <item x="39"/>
        <item x="42"/>
        <item x="19"/>
        <item x="26"/>
        <item x="5"/>
        <item x="50"/>
        <item x="3"/>
        <item x="28"/>
        <item x="46"/>
        <item x="30"/>
        <item x="59"/>
        <item x="4"/>
        <item x="20"/>
        <item x="52"/>
        <item x="57"/>
        <item x="25"/>
        <item x="40"/>
        <item x="2"/>
        <item x="54"/>
        <item x="8"/>
        <item x="48"/>
        <item x="31"/>
        <item t="default"/>
      </items>
    </pivotField>
    <pivotField showAll="0">
      <items count="21">
        <item x="2"/>
        <item x="14"/>
        <item x="7"/>
        <item x="9"/>
        <item x="3"/>
        <item x="10"/>
        <item x="8"/>
        <item x="12"/>
        <item x="16"/>
        <item x="1"/>
        <item x="17"/>
        <item x="0"/>
        <item x="5"/>
        <item x="11"/>
        <item x="19"/>
        <item x="4"/>
        <item x="6"/>
        <item x="15"/>
        <item x="18"/>
        <item x="13"/>
        <item t="default"/>
      </items>
    </pivotField>
    <pivotField showAll="0">
      <items count="11">
        <item x="5"/>
        <item x="0"/>
        <item x="2"/>
        <item x="7"/>
        <item x="3"/>
        <item x="4"/>
        <item x="9"/>
        <item x="8"/>
        <item x="1"/>
        <item x="6"/>
        <item t="default"/>
      </items>
    </pivotField>
    <pivotField showAll="0">
      <items count="69">
        <item x="60"/>
        <item x="47"/>
        <item x="14"/>
        <item x="61"/>
        <item x="40"/>
        <item x="25"/>
        <item x="2"/>
        <item x="54"/>
        <item x="34"/>
        <item x="7"/>
        <item x="62"/>
        <item x="51"/>
        <item x="39"/>
        <item x="24"/>
        <item x="18"/>
        <item x="9"/>
        <item x="33"/>
        <item x="22"/>
        <item x="41"/>
        <item x="56"/>
        <item x="17"/>
        <item x="37"/>
        <item x="3"/>
        <item x="46"/>
        <item x="28"/>
        <item x="63"/>
        <item x="30"/>
        <item x="65"/>
        <item x="36"/>
        <item x="21"/>
        <item x="45"/>
        <item x="10"/>
        <item x="19"/>
        <item x="8"/>
        <item x="48"/>
        <item x="31"/>
        <item x="43"/>
        <item x="16"/>
        <item x="12"/>
        <item x="57"/>
        <item x="1"/>
        <item x="53"/>
        <item x="58"/>
        <item x="38"/>
        <item x="23"/>
        <item x="0"/>
        <item x="67"/>
        <item x="55"/>
        <item x="32"/>
        <item x="11"/>
        <item x="26"/>
        <item x="5"/>
        <item x="50"/>
        <item x="66"/>
        <item x="4"/>
        <item x="59"/>
        <item x="52"/>
        <item x="20"/>
        <item x="44"/>
        <item x="27"/>
        <item x="6"/>
        <item x="35"/>
        <item x="15"/>
        <item x="29"/>
        <item x="42"/>
        <item x="13"/>
        <item x="64"/>
        <item x="49"/>
        <item t="default"/>
      </items>
    </pivotField>
    <pivotField showAll="0">
      <items count="16">
        <item x="13"/>
        <item x="3"/>
        <item x="12"/>
        <item x="7"/>
        <item x="5"/>
        <item x="8"/>
        <item x="4"/>
        <item x="9"/>
        <item x="10"/>
        <item x="14"/>
        <item x="6"/>
        <item x="11"/>
        <item x="2"/>
        <item x="1"/>
        <item x="0"/>
        <item t="default"/>
      </items>
    </pivotField>
    <pivotField showAll="0">
      <items count="23">
        <item x="2"/>
        <item x="12"/>
        <item x="8"/>
        <item x="14"/>
        <item x="17"/>
        <item x="11"/>
        <item x="1"/>
        <item x="21"/>
        <item x="6"/>
        <item x="16"/>
        <item x="18"/>
        <item x="4"/>
        <item x="10"/>
        <item x="0"/>
        <item x="19"/>
        <item x="7"/>
        <item x="13"/>
        <item x="20"/>
        <item x="3"/>
        <item x="9"/>
        <item x="5"/>
        <item x="15"/>
        <item t="default"/>
      </items>
    </pivotField>
    <pivotField showAll="0">
      <items count="20">
        <item x="2"/>
        <item x="12"/>
        <item x="8"/>
        <item x="14"/>
        <item x="17"/>
        <item x="11"/>
        <item x="1"/>
        <item x="6"/>
        <item x="4"/>
        <item x="16"/>
        <item x="10"/>
        <item x="0"/>
        <item x="18"/>
        <item x="7"/>
        <item x="13"/>
        <item x="3"/>
        <item x="9"/>
        <item x="5"/>
        <item x="15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dataField="1" showAll="0">
      <items count="11">
        <item x="2"/>
        <item x="9"/>
        <item x="0"/>
        <item x="4"/>
        <item x="3"/>
        <item x="8"/>
        <item x="1"/>
        <item x="7"/>
        <item x="6"/>
        <item x="5"/>
        <item t="default"/>
      </items>
    </pivotField>
    <pivotField showAll="0">
      <items count="14">
        <item x="2"/>
        <item x="12"/>
        <item x="0"/>
        <item x="4"/>
        <item x="8"/>
        <item x="3"/>
        <item x="9"/>
        <item x="1"/>
        <item x="6"/>
        <item x="7"/>
        <item x="10"/>
        <item x="5"/>
        <item x="11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numFmtId="2" showAll="0">
      <items count="45">
        <item x="2"/>
        <item x="22"/>
        <item x="15"/>
        <item x="17"/>
        <item x="4"/>
        <item x="20"/>
        <item x="0"/>
        <item x="11"/>
        <item x="16"/>
        <item x="1"/>
        <item x="18"/>
        <item x="6"/>
        <item x="24"/>
        <item x="7"/>
        <item x="3"/>
        <item x="12"/>
        <item x="10"/>
        <item x="14"/>
        <item x="38"/>
        <item x="13"/>
        <item x="36"/>
        <item x="9"/>
        <item x="19"/>
        <item x="30"/>
        <item x="8"/>
        <item x="25"/>
        <item x="43"/>
        <item x="35"/>
        <item x="31"/>
        <item x="32"/>
        <item x="33"/>
        <item x="42"/>
        <item x="27"/>
        <item x="5"/>
        <item x="26"/>
        <item x="34"/>
        <item x="23"/>
        <item x="37"/>
        <item x="21"/>
        <item x="40"/>
        <item x="41"/>
        <item x="39"/>
        <item x="29"/>
        <item x="28"/>
        <item t="default"/>
      </items>
    </pivotField>
    <pivotField numFmtId="2" showAll="0">
      <items count="45">
        <item x="2"/>
        <item x="22"/>
        <item x="15"/>
        <item x="17"/>
        <item x="4"/>
        <item x="20"/>
        <item x="0"/>
        <item x="11"/>
        <item x="16"/>
        <item x="1"/>
        <item x="18"/>
        <item x="6"/>
        <item x="24"/>
        <item x="7"/>
        <item x="3"/>
        <item x="12"/>
        <item x="10"/>
        <item x="14"/>
        <item x="38"/>
        <item x="13"/>
        <item x="36"/>
        <item x="9"/>
        <item x="19"/>
        <item x="30"/>
        <item x="8"/>
        <item x="25"/>
        <item x="43"/>
        <item x="35"/>
        <item x="31"/>
        <item x="32"/>
        <item x="33"/>
        <item x="42"/>
        <item x="27"/>
        <item x="5"/>
        <item x="26"/>
        <item x="34"/>
        <item x="23"/>
        <item x="37"/>
        <item x="21"/>
        <item x="40"/>
        <item x="41"/>
        <item x="39"/>
        <item x="29"/>
        <item x="28"/>
        <item t="default"/>
      </items>
    </pivotField>
  </pivotFields>
  <dataFields count="1">
    <dataField name="Total  Maintenance Cost " fld="16" baseField="0" baseItem="0"/>
  </dataFields>
  <formats count="3">
    <format dxfId="40">
      <pivotArea outline="0" collapsedLevelsAreSubtotals="1" fieldPosition="0"/>
    </format>
    <format dxfId="41">
      <pivotArea collapsedLevelsAreSubtotals="1" fieldPosition="0"/>
    </format>
    <format dxfId="42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>
  <location ref="A4:A5" firstHeaderRow="1" firstDataRow="1" firstDataCol="0"/>
  <pivotFields count="21">
    <pivotField showAll="0">
      <items count="2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showAll="0">
      <items count="110">
        <item x="83"/>
        <item x="101"/>
        <item x="32"/>
        <item x="14"/>
        <item x="104"/>
        <item x="58"/>
        <item x="52"/>
        <item x="74"/>
        <item x="65"/>
        <item x="1"/>
        <item x="21"/>
        <item x="100"/>
        <item x="90"/>
        <item x="95"/>
        <item x="22"/>
        <item x="105"/>
        <item x="29"/>
        <item x="88"/>
        <item x="102"/>
        <item x="7"/>
        <item x="84"/>
        <item x="11"/>
        <item x="28"/>
        <item x="106"/>
        <item x="38"/>
        <item x="6"/>
        <item x="53"/>
        <item x="75"/>
        <item x="66"/>
        <item x="23"/>
        <item x="86"/>
        <item x="27"/>
        <item x="96"/>
        <item x="4"/>
        <item x="91"/>
        <item x="56"/>
        <item x="40"/>
        <item x="25"/>
        <item x="39"/>
        <item x="48"/>
        <item x="30"/>
        <item x="42"/>
        <item x="45"/>
        <item x="24"/>
        <item x="43"/>
        <item x="41"/>
        <item x="51"/>
        <item x="46"/>
        <item x="20"/>
        <item x="49"/>
        <item x="44"/>
        <item x="59"/>
        <item x="50"/>
        <item x="47"/>
        <item x="34"/>
        <item x="87"/>
        <item x="9"/>
        <item x="98"/>
        <item x="5"/>
        <item x="55"/>
        <item x="77"/>
        <item x="68"/>
        <item x="2"/>
        <item x="93"/>
        <item x="108"/>
        <item x="103"/>
        <item x="0"/>
        <item x="57"/>
        <item x="19"/>
        <item x="85"/>
        <item x="17"/>
        <item x="92"/>
        <item x="94"/>
        <item x="18"/>
        <item x="60"/>
        <item x="37"/>
        <item x="36"/>
        <item x="99"/>
        <item x="31"/>
        <item x="61"/>
        <item x="78"/>
        <item x="69"/>
        <item x="15"/>
        <item x="35"/>
        <item x="54"/>
        <item x="76"/>
        <item x="67"/>
        <item x="8"/>
        <item x="3"/>
        <item x="73"/>
        <item x="64"/>
        <item x="33"/>
        <item x="63"/>
        <item x="80"/>
        <item x="71"/>
        <item x="12"/>
        <item x="107"/>
        <item x="89"/>
        <item x="26"/>
        <item x="81"/>
        <item x="72"/>
        <item x="13"/>
        <item x="10"/>
        <item x="82"/>
        <item x="62"/>
        <item x="79"/>
        <item x="70"/>
        <item x="97"/>
        <item x="16"/>
        <item t="default"/>
      </items>
    </pivotField>
    <pivotField showAll="0">
      <items count="70">
        <item x="24"/>
        <item x="65"/>
        <item x="54"/>
        <item x="1"/>
        <item x="44"/>
        <item x="61"/>
        <item x="16"/>
        <item x="13"/>
        <item x="43"/>
        <item x="21"/>
        <item x="27"/>
        <item x="67"/>
        <item x="57"/>
        <item x="68"/>
        <item x="50"/>
        <item x="18"/>
        <item x="36"/>
        <item x="17"/>
        <item x="58"/>
        <item x="11"/>
        <item x="33"/>
        <item x="10"/>
        <item x="53"/>
        <item x="28"/>
        <item x="34"/>
        <item x="7"/>
        <item x="62"/>
        <item x="20"/>
        <item x="31"/>
        <item x="42"/>
        <item x="6"/>
        <item x="45"/>
        <item x="25"/>
        <item x="55"/>
        <item x="8"/>
        <item x="46"/>
        <item x="64"/>
        <item x="5"/>
        <item x="47"/>
        <item x="2"/>
        <item x="59"/>
        <item x="19"/>
        <item x="37"/>
        <item x="48"/>
        <item x="32"/>
        <item x="41"/>
        <item x="0"/>
        <item x="22"/>
        <item x="63"/>
        <item x="49"/>
        <item x="14"/>
        <item x="38"/>
        <item x="30"/>
        <item x="39"/>
        <item x="23"/>
        <item x="15"/>
        <item x="40"/>
        <item x="4"/>
        <item x="29"/>
        <item x="35"/>
        <item x="9"/>
        <item x="3"/>
        <item x="52"/>
        <item x="12"/>
        <item x="51"/>
        <item x="56"/>
        <item x="26"/>
        <item x="66"/>
        <item x="60"/>
        <item t="default"/>
      </items>
    </pivotField>
    <pivotField showAll="0">
      <items count="90">
        <item x="67"/>
        <item x="32"/>
        <item x="83"/>
        <item x="14"/>
        <item x="58"/>
        <item x="1"/>
        <item x="52"/>
        <item x="21"/>
        <item x="82"/>
        <item x="73"/>
        <item x="77"/>
        <item x="22"/>
        <item x="86"/>
        <item x="29"/>
        <item x="71"/>
        <item x="7"/>
        <item x="84"/>
        <item x="11"/>
        <item x="68"/>
        <item x="28"/>
        <item x="87"/>
        <item x="38"/>
        <item x="6"/>
        <item x="53"/>
        <item x="23"/>
        <item x="27"/>
        <item x="69"/>
        <item x="78"/>
        <item x="4"/>
        <item x="56"/>
        <item x="40"/>
        <item x="25"/>
        <item x="39"/>
        <item x="48"/>
        <item x="30"/>
        <item x="42"/>
        <item x="45"/>
        <item x="24"/>
        <item x="43"/>
        <item x="41"/>
        <item x="51"/>
        <item x="46"/>
        <item x="20"/>
        <item x="49"/>
        <item x="44"/>
        <item x="59"/>
        <item x="50"/>
        <item x="47"/>
        <item x="34"/>
        <item x="70"/>
        <item x="80"/>
        <item x="9"/>
        <item x="5"/>
        <item x="55"/>
        <item x="2"/>
        <item x="75"/>
        <item x="88"/>
        <item x="85"/>
        <item x="0"/>
        <item x="19"/>
        <item x="57"/>
        <item x="17"/>
        <item x="74"/>
        <item x="18"/>
        <item x="76"/>
        <item x="60"/>
        <item x="37"/>
        <item x="36"/>
        <item x="81"/>
        <item x="31"/>
        <item x="61"/>
        <item x="15"/>
        <item x="35"/>
        <item x="8"/>
        <item x="54"/>
        <item x="3"/>
        <item x="64"/>
        <item x="33"/>
        <item x="12"/>
        <item x="63"/>
        <item x="26"/>
        <item x="72"/>
        <item x="13"/>
        <item x="65"/>
        <item x="10"/>
        <item x="66"/>
        <item x="62"/>
        <item x="16"/>
        <item x="79"/>
        <item t="default"/>
      </items>
    </pivotField>
    <pivotField showAll="0">
      <items count="45">
        <item x="0"/>
        <item x="36"/>
        <item x="21"/>
        <item x="29"/>
        <item x="14"/>
        <item x="10"/>
        <item x="34"/>
        <item x="18"/>
        <item x="16"/>
        <item x="32"/>
        <item x="11"/>
        <item x="9"/>
        <item x="33"/>
        <item x="22"/>
        <item x="12"/>
        <item x="6"/>
        <item x="35"/>
        <item x="43"/>
        <item x="27"/>
        <item x="4"/>
        <item x="28"/>
        <item x="5"/>
        <item x="37"/>
        <item x="17"/>
        <item x="13"/>
        <item x="7"/>
        <item x="39"/>
        <item x="24"/>
        <item x="3"/>
        <item x="38"/>
        <item x="23"/>
        <item x="42"/>
        <item x="15"/>
        <item x="30"/>
        <item x="19"/>
        <item x="1"/>
        <item x="41"/>
        <item x="26"/>
        <item x="20"/>
        <item x="2"/>
        <item x="40"/>
        <item x="25"/>
        <item x="8"/>
        <item x="31"/>
        <item t="default"/>
      </items>
    </pivotField>
    <pivotField showAll="0">
      <items count="100">
        <item x="50"/>
        <item x="86"/>
        <item x="18"/>
        <item x="53"/>
        <item x="45"/>
        <item x="68"/>
        <item x="24"/>
        <item x="90"/>
        <item x="27"/>
        <item x="81"/>
        <item x="69"/>
        <item x="17"/>
        <item x="72"/>
        <item x="22"/>
        <item x="44"/>
        <item x="74"/>
        <item x="11"/>
        <item x="49"/>
        <item x="67"/>
        <item x="30"/>
        <item x="26"/>
        <item x="95"/>
        <item x="32"/>
        <item x="10"/>
        <item x="96"/>
        <item x="12"/>
        <item x="0"/>
        <item x="54"/>
        <item x="48"/>
        <item x="66"/>
        <item x="6"/>
        <item x="15"/>
        <item x="41"/>
        <item x="36"/>
        <item x="61"/>
        <item x="16"/>
        <item x="28"/>
        <item x="13"/>
        <item x="63"/>
        <item x="9"/>
        <item x="52"/>
        <item x="34"/>
        <item x="21"/>
        <item x="76"/>
        <item x="33"/>
        <item x="98"/>
        <item x="23"/>
        <item x="56"/>
        <item x="79"/>
        <item x="94"/>
        <item x="83"/>
        <item x="14"/>
        <item x="38"/>
        <item x="51"/>
        <item x="8"/>
        <item x="42"/>
        <item x="77"/>
        <item x="1"/>
        <item x="60"/>
        <item x="97"/>
        <item x="47"/>
        <item x="65"/>
        <item x="58"/>
        <item x="91"/>
        <item x="46"/>
        <item x="64"/>
        <item x="31"/>
        <item x="39"/>
        <item x="70"/>
        <item x="92"/>
        <item x="84"/>
        <item x="43"/>
        <item x="62"/>
        <item x="5"/>
        <item x="55"/>
        <item x="35"/>
        <item x="19"/>
        <item x="78"/>
        <item x="37"/>
        <item x="73"/>
        <item x="87"/>
        <item x="25"/>
        <item x="82"/>
        <item x="2"/>
        <item x="75"/>
        <item x="40"/>
        <item x="71"/>
        <item x="4"/>
        <item x="20"/>
        <item x="59"/>
        <item x="93"/>
        <item x="85"/>
        <item x="3"/>
        <item x="29"/>
        <item x="89"/>
        <item x="7"/>
        <item x="80"/>
        <item x="57"/>
        <item x="88"/>
        <item t="default"/>
      </items>
    </pivotField>
    <pivotField showAll="0">
      <items count="11">
        <item x="1"/>
        <item x="0"/>
        <item x="3"/>
        <item x="6"/>
        <item x="2"/>
        <item x="8"/>
        <item x="4"/>
        <item x="5"/>
        <item x="9"/>
        <item x="7"/>
        <item t="default"/>
      </items>
    </pivotField>
    <pivotField showAll="0">
      <items count="25">
        <item x="2"/>
        <item x="19"/>
        <item x="18"/>
        <item x="13"/>
        <item x="0"/>
        <item x="16"/>
        <item x="12"/>
        <item x="4"/>
        <item x="3"/>
        <item x="10"/>
        <item x="1"/>
        <item x="9"/>
        <item x="6"/>
        <item x="8"/>
        <item x="11"/>
        <item x="14"/>
        <item x="22"/>
        <item x="21"/>
        <item x="15"/>
        <item x="7"/>
        <item x="23"/>
        <item x="5"/>
        <item x="20"/>
        <item x="17"/>
        <item t="default"/>
      </items>
    </pivotField>
    <pivotField showAll="0">
      <items count="63">
        <item x="47"/>
        <item x="55"/>
        <item x="60"/>
        <item x="21"/>
        <item x="36"/>
        <item x="45"/>
        <item x="29"/>
        <item x="14"/>
        <item x="34"/>
        <item x="13"/>
        <item x="58"/>
        <item x="16"/>
        <item x="43"/>
        <item x="11"/>
        <item x="32"/>
        <item x="18"/>
        <item x="49"/>
        <item x="9"/>
        <item x="22"/>
        <item x="33"/>
        <item x="1"/>
        <item x="53"/>
        <item x="10"/>
        <item x="41"/>
        <item x="7"/>
        <item x="51"/>
        <item x="0"/>
        <item x="61"/>
        <item x="23"/>
        <item x="38"/>
        <item x="12"/>
        <item x="27"/>
        <item x="44"/>
        <item x="6"/>
        <item x="15"/>
        <item x="35"/>
        <item x="17"/>
        <item x="56"/>
        <item x="37"/>
        <item x="24"/>
        <item x="39"/>
        <item x="42"/>
        <item x="19"/>
        <item x="26"/>
        <item x="5"/>
        <item x="50"/>
        <item x="3"/>
        <item x="28"/>
        <item x="46"/>
        <item x="30"/>
        <item x="59"/>
        <item x="4"/>
        <item x="20"/>
        <item x="52"/>
        <item x="57"/>
        <item x="25"/>
        <item x="40"/>
        <item x="2"/>
        <item x="54"/>
        <item x="8"/>
        <item x="48"/>
        <item x="31"/>
        <item t="default"/>
      </items>
    </pivotField>
    <pivotField showAll="0">
      <items count="21">
        <item x="2"/>
        <item x="14"/>
        <item x="7"/>
        <item x="9"/>
        <item x="3"/>
        <item x="10"/>
        <item x="8"/>
        <item x="12"/>
        <item x="16"/>
        <item x="1"/>
        <item x="17"/>
        <item x="0"/>
        <item x="5"/>
        <item x="11"/>
        <item x="19"/>
        <item x="4"/>
        <item x="6"/>
        <item x="15"/>
        <item x="18"/>
        <item x="13"/>
        <item t="default"/>
      </items>
    </pivotField>
    <pivotField showAll="0">
      <items count="11">
        <item x="5"/>
        <item x="0"/>
        <item x="2"/>
        <item x="7"/>
        <item x="3"/>
        <item x="4"/>
        <item x="9"/>
        <item x="8"/>
        <item x="1"/>
        <item x="6"/>
        <item t="default"/>
      </items>
    </pivotField>
    <pivotField showAll="0">
      <items count="69">
        <item x="60"/>
        <item x="47"/>
        <item x="14"/>
        <item x="61"/>
        <item x="40"/>
        <item x="25"/>
        <item x="2"/>
        <item x="54"/>
        <item x="34"/>
        <item x="7"/>
        <item x="62"/>
        <item x="51"/>
        <item x="39"/>
        <item x="24"/>
        <item x="18"/>
        <item x="9"/>
        <item x="33"/>
        <item x="22"/>
        <item x="41"/>
        <item x="56"/>
        <item x="17"/>
        <item x="37"/>
        <item x="3"/>
        <item x="46"/>
        <item x="28"/>
        <item x="63"/>
        <item x="30"/>
        <item x="65"/>
        <item x="36"/>
        <item x="21"/>
        <item x="45"/>
        <item x="10"/>
        <item x="19"/>
        <item x="8"/>
        <item x="48"/>
        <item x="31"/>
        <item x="43"/>
        <item x="16"/>
        <item x="12"/>
        <item x="57"/>
        <item x="1"/>
        <item x="53"/>
        <item x="58"/>
        <item x="38"/>
        <item x="23"/>
        <item x="0"/>
        <item x="67"/>
        <item x="55"/>
        <item x="32"/>
        <item x="11"/>
        <item x="26"/>
        <item x="5"/>
        <item x="50"/>
        <item x="66"/>
        <item x="4"/>
        <item x="59"/>
        <item x="52"/>
        <item x="20"/>
        <item x="44"/>
        <item x="27"/>
        <item x="6"/>
        <item x="35"/>
        <item x="15"/>
        <item x="29"/>
        <item x="42"/>
        <item x="13"/>
        <item x="64"/>
        <item x="49"/>
        <item t="default"/>
      </items>
    </pivotField>
    <pivotField showAll="0">
      <items count="16">
        <item x="13"/>
        <item x="3"/>
        <item x="12"/>
        <item x="7"/>
        <item x="5"/>
        <item x="8"/>
        <item x="4"/>
        <item x="9"/>
        <item x="10"/>
        <item x="14"/>
        <item x="6"/>
        <item x="11"/>
        <item x="2"/>
        <item x="1"/>
        <item x="0"/>
        <item t="default"/>
      </items>
    </pivotField>
    <pivotField showAll="0">
      <items count="23">
        <item x="2"/>
        <item x="12"/>
        <item x="8"/>
        <item x="14"/>
        <item x="17"/>
        <item x="11"/>
        <item x="1"/>
        <item x="21"/>
        <item x="6"/>
        <item x="16"/>
        <item x="18"/>
        <item x="4"/>
        <item x="10"/>
        <item x="0"/>
        <item x="19"/>
        <item x="7"/>
        <item x="13"/>
        <item x="20"/>
        <item x="3"/>
        <item x="9"/>
        <item x="5"/>
        <item x="15"/>
        <item t="default"/>
      </items>
    </pivotField>
    <pivotField showAll="0">
      <items count="20">
        <item x="2"/>
        <item x="12"/>
        <item x="8"/>
        <item x="14"/>
        <item x="17"/>
        <item x="11"/>
        <item x="1"/>
        <item x="6"/>
        <item x="4"/>
        <item x="16"/>
        <item x="10"/>
        <item x="0"/>
        <item x="18"/>
        <item x="7"/>
        <item x="13"/>
        <item x="3"/>
        <item x="9"/>
        <item x="5"/>
        <item x="15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>
      <items count="11">
        <item x="2"/>
        <item x="9"/>
        <item x="0"/>
        <item x="4"/>
        <item x="3"/>
        <item x="8"/>
        <item x="1"/>
        <item x="7"/>
        <item x="6"/>
        <item x="5"/>
        <item t="default"/>
      </items>
    </pivotField>
    <pivotField dataField="1" showAll="0">
      <items count="14">
        <item x="2"/>
        <item x="12"/>
        <item x="0"/>
        <item x="4"/>
        <item x="8"/>
        <item x="3"/>
        <item x="9"/>
        <item x="1"/>
        <item x="6"/>
        <item x="7"/>
        <item x="10"/>
        <item x="5"/>
        <item x="11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numFmtId="2" showAll="0">
      <items count="45">
        <item x="2"/>
        <item x="22"/>
        <item x="15"/>
        <item x="17"/>
        <item x="4"/>
        <item x="20"/>
        <item x="0"/>
        <item x="11"/>
        <item x="16"/>
        <item x="1"/>
        <item x="18"/>
        <item x="6"/>
        <item x="24"/>
        <item x="7"/>
        <item x="3"/>
        <item x="12"/>
        <item x="10"/>
        <item x="14"/>
        <item x="38"/>
        <item x="13"/>
        <item x="36"/>
        <item x="9"/>
        <item x="19"/>
        <item x="30"/>
        <item x="8"/>
        <item x="25"/>
        <item x="43"/>
        <item x="35"/>
        <item x="31"/>
        <item x="32"/>
        <item x="33"/>
        <item x="42"/>
        <item x="27"/>
        <item x="5"/>
        <item x="26"/>
        <item x="34"/>
        <item x="23"/>
        <item x="37"/>
        <item x="21"/>
        <item x="40"/>
        <item x="41"/>
        <item x="39"/>
        <item x="29"/>
        <item x="28"/>
        <item t="default"/>
      </items>
    </pivotField>
    <pivotField numFmtId="2" showAll="0">
      <items count="45">
        <item x="2"/>
        <item x="22"/>
        <item x="15"/>
        <item x="17"/>
        <item x="4"/>
        <item x="20"/>
        <item x="0"/>
        <item x="11"/>
        <item x="16"/>
        <item x="1"/>
        <item x="18"/>
        <item x="6"/>
        <item x="24"/>
        <item x="7"/>
        <item x="3"/>
        <item x="12"/>
        <item x="10"/>
        <item x="14"/>
        <item x="38"/>
        <item x="13"/>
        <item x="36"/>
        <item x="9"/>
        <item x="19"/>
        <item x="30"/>
        <item x="8"/>
        <item x="25"/>
        <item x="43"/>
        <item x="35"/>
        <item x="31"/>
        <item x="32"/>
        <item x="33"/>
        <item x="42"/>
        <item x="27"/>
        <item x="5"/>
        <item x="26"/>
        <item x="34"/>
        <item x="23"/>
        <item x="37"/>
        <item x="21"/>
        <item x="40"/>
        <item x="41"/>
        <item x="39"/>
        <item x="29"/>
        <item x="28"/>
        <item t="default"/>
      </items>
    </pivotField>
  </pivotFields>
  <dataFields count="1">
    <dataField name="Total Installation Cost " fld="17" baseField="0" baseItem="0"/>
  </dataFields>
  <formats count="3">
    <format dxfId="43">
      <pivotArea outline="0" collapsedLevelsAreSubtotals="1" fieldPosition="0"/>
    </format>
    <format dxfId="44">
      <pivotArea collapsedLevelsAreSubtotals="1" fieldPosition="0"/>
    </format>
    <format dxfId="45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>
  <location ref="A1:A2" firstHeaderRow="1" firstDataRow="1" firstDataCol="0"/>
  <pivotFields count="21">
    <pivotField showAll="0">
      <items count="2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showAll="0">
      <items count="110">
        <item x="83"/>
        <item x="101"/>
        <item x="32"/>
        <item x="14"/>
        <item x="104"/>
        <item x="58"/>
        <item x="52"/>
        <item x="74"/>
        <item x="65"/>
        <item x="1"/>
        <item x="21"/>
        <item x="100"/>
        <item x="90"/>
        <item x="95"/>
        <item x="22"/>
        <item x="105"/>
        <item x="29"/>
        <item x="88"/>
        <item x="102"/>
        <item x="7"/>
        <item x="84"/>
        <item x="11"/>
        <item x="28"/>
        <item x="106"/>
        <item x="38"/>
        <item x="6"/>
        <item x="53"/>
        <item x="75"/>
        <item x="66"/>
        <item x="23"/>
        <item x="86"/>
        <item x="27"/>
        <item x="96"/>
        <item x="4"/>
        <item x="91"/>
        <item x="56"/>
        <item x="40"/>
        <item x="25"/>
        <item x="39"/>
        <item x="48"/>
        <item x="30"/>
        <item x="42"/>
        <item x="45"/>
        <item x="24"/>
        <item x="43"/>
        <item x="41"/>
        <item x="51"/>
        <item x="46"/>
        <item x="20"/>
        <item x="49"/>
        <item x="44"/>
        <item x="59"/>
        <item x="50"/>
        <item x="47"/>
        <item x="34"/>
        <item x="87"/>
        <item x="9"/>
        <item x="98"/>
        <item x="5"/>
        <item x="55"/>
        <item x="77"/>
        <item x="68"/>
        <item x="2"/>
        <item x="93"/>
        <item x="108"/>
        <item x="103"/>
        <item x="0"/>
        <item x="57"/>
        <item x="19"/>
        <item x="85"/>
        <item x="17"/>
        <item x="92"/>
        <item x="94"/>
        <item x="18"/>
        <item x="60"/>
        <item x="37"/>
        <item x="36"/>
        <item x="99"/>
        <item x="31"/>
        <item x="61"/>
        <item x="78"/>
        <item x="69"/>
        <item x="15"/>
        <item x="35"/>
        <item x="54"/>
        <item x="76"/>
        <item x="67"/>
        <item x="8"/>
        <item x="3"/>
        <item x="73"/>
        <item x="64"/>
        <item x="33"/>
        <item x="63"/>
        <item x="80"/>
        <item x="71"/>
        <item x="12"/>
        <item x="107"/>
        <item x="89"/>
        <item x="26"/>
        <item x="81"/>
        <item x="72"/>
        <item x="13"/>
        <item x="10"/>
        <item x="82"/>
        <item x="62"/>
        <item x="79"/>
        <item x="70"/>
        <item x="97"/>
        <item x="16"/>
        <item t="default"/>
      </items>
    </pivotField>
    <pivotField showAll="0">
      <items count="70">
        <item x="24"/>
        <item x="65"/>
        <item x="54"/>
        <item x="1"/>
        <item x="44"/>
        <item x="61"/>
        <item x="16"/>
        <item x="13"/>
        <item x="43"/>
        <item x="21"/>
        <item x="27"/>
        <item x="67"/>
        <item x="57"/>
        <item x="68"/>
        <item x="50"/>
        <item x="18"/>
        <item x="36"/>
        <item x="17"/>
        <item x="58"/>
        <item x="11"/>
        <item x="33"/>
        <item x="10"/>
        <item x="53"/>
        <item x="28"/>
        <item x="34"/>
        <item x="7"/>
        <item x="62"/>
        <item x="20"/>
        <item x="31"/>
        <item x="42"/>
        <item x="6"/>
        <item x="45"/>
        <item x="25"/>
        <item x="55"/>
        <item x="8"/>
        <item x="46"/>
        <item x="64"/>
        <item x="5"/>
        <item x="47"/>
        <item x="2"/>
        <item x="59"/>
        <item x="19"/>
        <item x="37"/>
        <item x="48"/>
        <item x="32"/>
        <item x="41"/>
        <item x="0"/>
        <item x="22"/>
        <item x="63"/>
        <item x="49"/>
        <item x="14"/>
        <item x="38"/>
        <item x="30"/>
        <item x="39"/>
        <item x="23"/>
        <item x="15"/>
        <item x="40"/>
        <item x="4"/>
        <item x="29"/>
        <item x="35"/>
        <item x="9"/>
        <item x="3"/>
        <item x="52"/>
        <item x="12"/>
        <item x="51"/>
        <item x="56"/>
        <item x="26"/>
        <item x="66"/>
        <item x="60"/>
        <item t="default"/>
      </items>
    </pivotField>
    <pivotField showAll="0">
      <items count="90">
        <item x="67"/>
        <item x="32"/>
        <item x="83"/>
        <item x="14"/>
        <item x="58"/>
        <item x="1"/>
        <item x="52"/>
        <item x="21"/>
        <item x="82"/>
        <item x="73"/>
        <item x="77"/>
        <item x="22"/>
        <item x="86"/>
        <item x="29"/>
        <item x="71"/>
        <item x="7"/>
        <item x="84"/>
        <item x="11"/>
        <item x="68"/>
        <item x="28"/>
        <item x="87"/>
        <item x="38"/>
        <item x="6"/>
        <item x="53"/>
        <item x="23"/>
        <item x="27"/>
        <item x="69"/>
        <item x="78"/>
        <item x="4"/>
        <item x="56"/>
        <item x="40"/>
        <item x="25"/>
        <item x="39"/>
        <item x="48"/>
        <item x="30"/>
        <item x="42"/>
        <item x="45"/>
        <item x="24"/>
        <item x="43"/>
        <item x="41"/>
        <item x="51"/>
        <item x="46"/>
        <item x="20"/>
        <item x="49"/>
        <item x="44"/>
        <item x="59"/>
        <item x="50"/>
        <item x="47"/>
        <item x="34"/>
        <item x="70"/>
        <item x="80"/>
        <item x="9"/>
        <item x="5"/>
        <item x="55"/>
        <item x="2"/>
        <item x="75"/>
        <item x="88"/>
        <item x="85"/>
        <item x="0"/>
        <item x="19"/>
        <item x="57"/>
        <item x="17"/>
        <item x="74"/>
        <item x="18"/>
        <item x="76"/>
        <item x="60"/>
        <item x="37"/>
        <item x="36"/>
        <item x="81"/>
        <item x="31"/>
        <item x="61"/>
        <item x="15"/>
        <item x="35"/>
        <item x="8"/>
        <item x="54"/>
        <item x="3"/>
        <item x="64"/>
        <item x="33"/>
        <item x="12"/>
        <item x="63"/>
        <item x="26"/>
        <item x="72"/>
        <item x="13"/>
        <item x="65"/>
        <item x="10"/>
        <item x="66"/>
        <item x="62"/>
        <item x="16"/>
        <item x="79"/>
        <item t="default"/>
      </items>
    </pivotField>
    <pivotField showAll="0">
      <items count="45">
        <item x="0"/>
        <item x="36"/>
        <item x="21"/>
        <item x="29"/>
        <item x="14"/>
        <item x="10"/>
        <item x="34"/>
        <item x="18"/>
        <item x="16"/>
        <item x="32"/>
        <item x="11"/>
        <item x="9"/>
        <item x="33"/>
        <item x="22"/>
        <item x="12"/>
        <item x="6"/>
        <item x="35"/>
        <item x="43"/>
        <item x="27"/>
        <item x="4"/>
        <item x="28"/>
        <item x="5"/>
        <item x="37"/>
        <item x="17"/>
        <item x="13"/>
        <item x="7"/>
        <item x="39"/>
        <item x="24"/>
        <item x="3"/>
        <item x="38"/>
        <item x="23"/>
        <item x="42"/>
        <item x="15"/>
        <item x="30"/>
        <item x="19"/>
        <item x="1"/>
        <item x="41"/>
        <item x="26"/>
        <item x="20"/>
        <item x="2"/>
        <item x="40"/>
        <item x="25"/>
        <item x="8"/>
        <item x="31"/>
        <item t="default"/>
      </items>
    </pivotField>
    <pivotField showAll="0">
      <items count="100">
        <item x="50"/>
        <item x="86"/>
        <item x="18"/>
        <item x="53"/>
        <item x="45"/>
        <item x="68"/>
        <item x="24"/>
        <item x="90"/>
        <item x="27"/>
        <item x="81"/>
        <item x="69"/>
        <item x="17"/>
        <item x="72"/>
        <item x="22"/>
        <item x="44"/>
        <item x="74"/>
        <item x="11"/>
        <item x="49"/>
        <item x="67"/>
        <item x="30"/>
        <item x="26"/>
        <item x="95"/>
        <item x="32"/>
        <item x="10"/>
        <item x="96"/>
        <item x="12"/>
        <item x="0"/>
        <item x="54"/>
        <item x="48"/>
        <item x="66"/>
        <item x="6"/>
        <item x="15"/>
        <item x="41"/>
        <item x="36"/>
        <item x="61"/>
        <item x="16"/>
        <item x="28"/>
        <item x="13"/>
        <item x="63"/>
        <item x="9"/>
        <item x="52"/>
        <item x="34"/>
        <item x="21"/>
        <item x="76"/>
        <item x="33"/>
        <item x="98"/>
        <item x="23"/>
        <item x="56"/>
        <item x="79"/>
        <item x="94"/>
        <item x="83"/>
        <item x="14"/>
        <item x="38"/>
        <item x="51"/>
        <item x="8"/>
        <item x="42"/>
        <item x="77"/>
        <item x="1"/>
        <item x="60"/>
        <item x="97"/>
        <item x="47"/>
        <item x="65"/>
        <item x="58"/>
        <item x="91"/>
        <item x="46"/>
        <item x="64"/>
        <item x="31"/>
        <item x="39"/>
        <item x="70"/>
        <item x="92"/>
        <item x="84"/>
        <item x="43"/>
        <item x="62"/>
        <item x="5"/>
        <item x="55"/>
        <item x="35"/>
        <item x="19"/>
        <item x="78"/>
        <item x="37"/>
        <item x="73"/>
        <item x="87"/>
        <item x="25"/>
        <item x="82"/>
        <item x="2"/>
        <item x="75"/>
        <item x="40"/>
        <item x="71"/>
        <item x="4"/>
        <item x="20"/>
        <item x="59"/>
        <item x="93"/>
        <item x="85"/>
        <item x="3"/>
        <item x="29"/>
        <item x="89"/>
        <item x="7"/>
        <item x="80"/>
        <item x="57"/>
        <item x="88"/>
        <item t="default"/>
      </items>
    </pivotField>
    <pivotField showAll="0">
      <items count="11">
        <item x="1"/>
        <item x="0"/>
        <item x="3"/>
        <item x="6"/>
        <item x="2"/>
        <item x="8"/>
        <item x="4"/>
        <item x="5"/>
        <item x="9"/>
        <item x="7"/>
        <item t="default"/>
      </items>
    </pivotField>
    <pivotField showAll="0">
      <items count="25">
        <item x="2"/>
        <item x="19"/>
        <item x="18"/>
        <item x="13"/>
        <item x="0"/>
        <item x="16"/>
        <item x="12"/>
        <item x="4"/>
        <item x="3"/>
        <item x="10"/>
        <item x="1"/>
        <item x="9"/>
        <item x="6"/>
        <item x="8"/>
        <item x="11"/>
        <item x="14"/>
        <item x="22"/>
        <item x="21"/>
        <item x="15"/>
        <item x="7"/>
        <item x="23"/>
        <item x="5"/>
        <item x="20"/>
        <item x="17"/>
        <item t="default"/>
      </items>
    </pivotField>
    <pivotField showAll="0">
      <items count="63">
        <item x="47"/>
        <item x="55"/>
        <item x="60"/>
        <item x="21"/>
        <item x="36"/>
        <item x="45"/>
        <item x="29"/>
        <item x="14"/>
        <item x="34"/>
        <item x="13"/>
        <item x="58"/>
        <item x="16"/>
        <item x="43"/>
        <item x="11"/>
        <item x="32"/>
        <item x="18"/>
        <item x="49"/>
        <item x="9"/>
        <item x="22"/>
        <item x="33"/>
        <item x="1"/>
        <item x="53"/>
        <item x="10"/>
        <item x="41"/>
        <item x="7"/>
        <item x="51"/>
        <item x="0"/>
        <item x="61"/>
        <item x="23"/>
        <item x="38"/>
        <item x="12"/>
        <item x="27"/>
        <item x="44"/>
        <item x="6"/>
        <item x="15"/>
        <item x="35"/>
        <item x="17"/>
        <item x="56"/>
        <item x="37"/>
        <item x="24"/>
        <item x="39"/>
        <item x="42"/>
        <item x="19"/>
        <item x="26"/>
        <item x="5"/>
        <item x="50"/>
        <item x="3"/>
        <item x="28"/>
        <item x="46"/>
        <item x="30"/>
        <item x="59"/>
        <item x="4"/>
        <item x="20"/>
        <item x="52"/>
        <item x="57"/>
        <item x="25"/>
        <item x="40"/>
        <item x="2"/>
        <item x="54"/>
        <item x="8"/>
        <item x="48"/>
        <item x="31"/>
        <item t="default"/>
      </items>
    </pivotField>
    <pivotField showAll="0">
      <items count="21">
        <item x="2"/>
        <item x="14"/>
        <item x="7"/>
        <item x="9"/>
        <item x="3"/>
        <item x="10"/>
        <item x="8"/>
        <item x="12"/>
        <item x="16"/>
        <item x="1"/>
        <item x="17"/>
        <item x="0"/>
        <item x="5"/>
        <item x="11"/>
        <item x="19"/>
        <item x="4"/>
        <item x="6"/>
        <item x="15"/>
        <item x="18"/>
        <item x="13"/>
        <item t="default"/>
      </items>
    </pivotField>
    <pivotField showAll="0">
      <items count="11">
        <item x="5"/>
        <item x="0"/>
        <item x="2"/>
        <item x="7"/>
        <item x="3"/>
        <item x="4"/>
        <item x="9"/>
        <item x="8"/>
        <item x="1"/>
        <item x="6"/>
        <item t="default"/>
      </items>
    </pivotField>
    <pivotField showAll="0">
      <items count="69">
        <item x="60"/>
        <item x="47"/>
        <item x="14"/>
        <item x="61"/>
        <item x="40"/>
        <item x="25"/>
        <item x="2"/>
        <item x="54"/>
        <item x="34"/>
        <item x="7"/>
        <item x="62"/>
        <item x="51"/>
        <item x="39"/>
        <item x="24"/>
        <item x="18"/>
        <item x="9"/>
        <item x="33"/>
        <item x="22"/>
        <item x="41"/>
        <item x="56"/>
        <item x="17"/>
        <item x="37"/>
        <item x="3"/>
        <item x="46"/>
        <item x="28"/>
        <item x="63"/>
        <item x="30"/>
        <item x="65"/>
        <item x="36"/>
        <item x="21"/>
        <item x="45"/>
        <item x="10"/>
        <item x="19"/>
        <item x="8"/>
        <item x="48"/>
        <item x="31"/>
        <item x="43"/>
        <item x="16"/>
        <item x="12"/>
        <item x="57"/>
        <item x="1"/>
        <item x="53"/>
        <item x="58"/>
        <item x="38"/>
        <item x="23"/>
        <item x="0"/>
        <item x="67"/>
        <item x="55"/>
        <item x="32"/>
        <item x="11"/>
        <item x="26"/>
        <item x="5"/>
        <item x="50"/>
        <item x="66"/>
        <item x="4"/>
        <item x="59"/>
        <item x="52"/>
        <item x="20"/>
        <item x="44"/>
        <item x="27"/>
        <item x="6"/>
        <item x="35"/>
        <item x="15"/>
        <item x="29"/>
        <item x="42"/>
        <item x="13"/>
        <item x="64"/>
        <item x="49"/>
        <item t="default"/>
      </items>
    </pivotField>
    <pivotField showAll="0">
      <items count="16">
        <item x="13"/>
        <item x="3"/>
        <item x="12"/>
        <item x="7"/>
        <item x="5"/>
        <item x="8"/>
        <item x="4"/>
        <item x="9"/>
        <item x="10"/>
        <item x="14"/>
        <item x="6"/>
        <item x="11"/>
        <item x="2"/>
        <item x="1"/>
        <item x="0"/>
        <item t="default"/>
      </items>
    </pivotField>
    <pivotField showAll="0">
      <items count="23">
        <item x="2"/>
        <item x="12"/>
        <item x="8"/>
        <item x="14"/>
        <item x="17"/>
        <item x="11"/>
        <item x="1"/>
        <item x="21"/>
        <item x="6"/>
        <item x="16"/>
        <item x="18"/>
        <item x="4"/>
        <item x="10"/>
        <item x="0"/>
        <item x="19"/>
        <item x="7"/>
        <item x="13"/>
        <item x="20"/>
        <item x="3"/>
        <item x="9"/>
        <item x="5"/>
        <item x="15"/>
        <item t="default"/>
      </items>
    </pivotField>
    <pivotField showAll="0">
      <items count="20">
        <item x="2"/>
        <item x="12"/>
        <item x="8"/>
        <item x="14"/>
        <item x="17"/>
        <item x="11"/>
        <item x="1"/>
        <item x="6"/>
        <item x="4"/>
        <item x="16"/>
        <item x="10"/>
        <item x="0"/>
        <item x="18"/>
        <item x="7"/>
        <item x="13"/>
        <item x="3"/>
        <item x="9"/>
        <item x="5"/>
        <item x="15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>
      <items count="11">
        <item x="2"/>
        <item x="9"/>
        <item x="0"/>
        <item x="4"/>
        <item x="3"/>
        <item x="8"/>
        <item x="1"/>
        <item x="7"/>
        <item x="6"/>
        <item x="5"/>
        <item t="default"/>
      </items>
    </pivotField>
    <pivotField showAll="0">
      <items count="14">
        <item x="2"/>
        <item x="12"/>
        <item x="0"/>
        <item x="4"/>
        <item x="8"/>
        <item x="3"/>
        <item x="9"/>
        <item x="1"/>
        <item x="6"/>
        <item x="7"/>
        <item x="10"/>
        <item x="5"/>
        <item x="11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dataField="1" numFmtId="2" showAll="0">
      <items count="45">
        <item x="2"/>
        <item x="22"/>
        <item x="15"/>
        <item x="17"/>
        <item x="4"/>
        <item x="20"/>
        <item x="0"/>
        <item x="11"/>
        <item x="16"/>
        <item x="1"/>
        <item x="18"/>
        <item x="6"/>
        <item x="24"/>
        <item x="7"/>
        <item x="3"/>
        <item x="12"/>
        <item x="10"/>
        <item x="14"/>
        <item x="38"/>
        <item x="13"/>
        <item x="36"/>
        <item x="9"/>
        <item x="19"/>
        <item x="30"/>
        <item x="8"/>
        <item x="25"/>
        <item x="43"/>
        <item x="35"/>
        <item x="31"/>
        <item x="32"/>
        <item x="33"/>
        <item x="42"/>
        <item x="27"/>
        <item x="5"/>
        <item x="26"/>
        <item x="34"/>
        <item x="23"/>
        <item x="37"/>
        <item x="21"/>
        <item x="40"/>
        <item x="41"/>
        <item x="39"/>
        <item x="29"/>
        <item x="28"/>
        <item t="default"/>
      </items>
    </pivotField>
    <pivotField numFmtId="2" showAll="0">
      <items count="45">
        <item x="2"/>
        <item x="22"/>
        <item x="15"/>
        <item x="17"/>
        <item x="4"/>
        <item x="20"/>
        <item x="0"/>
        <item x="11"/>
        <item x="16"/>
        <item x="1"/>
        <item x="18"/>
        <item x="6"/>
        <item x="24"/>
        <item x="7"/>
        <item x="3"/>
        <item x="12"/>
        <item x="10"/>
        <item x="14"/>
        <item x="38"/>
        <item x="13"/>
        <item x="36"/>
        <item x="9"/>
        <item x="19"/>
        <item x="30"/>
        <item x="8"/>
        <item x="25"/>
        <item x="43"/>
        <item x="35"/>
        <item x="31"/>
        <item x="32"/>
        <item x="33"/>
        <item x="42"/>
        <item x="27"/>
        <item x="5"/>
        <item x="26"/>
        <item x="34"/>
        <item x="23"/>
        <item x="37"/>
        <item x="21"/>
        <item x="40"/>
        <item x="41"/>
        <item x="39"/>
        <item x="29"/>
        <item x="28"/>
        <item t="default"/>
      </items>
    </pivotField>
  </pivotFields>
  <dataFields count="1">
    <dataField name="Total Procurement cost" fld="19" baseField="0" baseItem="0" numFmtId="183"/>
  </dataFields>
  <formats count="19">
    <format dxfId="46">
      <pivotArea outline="0" collapsedLevelsAreSubtotals="1" fieldPosition="0"/>
    </format>
    <format dxfId="47">
      <pivotArea outline="0" collapsedLevelsAreSubtotals="1" fieldPosition="0"/>
    </format>
    <format dxfId="48">
      <pivotArea outline="0" collapsedLevelsAreSubtotals="1" fieldPosition="0"/>
    </format>
    <format dxfId="49">
      <pivotArea outline="0" collapsedLevelsAreSubtotals="1" fieldPosition="0"/>
    </format>
    <format dxfId="50">
      <pivotArea outline="0" collapsedLevelsAreSubtotals="1" fieldPosition="0"/>
    </format>
    <format dxfId="51">
      <pivotArea outline="0" collapsedLevelsAreSubtotals="1" fieldPosition="0"/>
    </format>
    <format dxfId="52">
      <pivotArea outline="0" collapsedLevelsAreSubtotals="1" fieldPosition="0"/>
    </format>
    <format dxfId="53">
      <pivotArea outline="0" collapsedLevelsAreSubtotals="1" fieldPosition="0"/>
    </format>
    <format dxfId="54">
      <pivotArea outline="0" collapsedLevelsAreSubtotals="1" fieldPosition="0"/>
    </format>
    <format dxfId="55">
      <pivotArea outline="0" collapsedLevelsAreSubtotals="1" fieldPosition="0"/>
    </format>
    <format dxfId="56">
      <pivotArea outline="0" collapsedLevelsAreSubtotals="1" fieldPosition="0"/>
    </format>
    <format dxfId="57">
      <pivotArea outline="0" collapsedLevelsAreSubtotals="1" fieldPosition="0"/>
    </format>
    <format dxfId="58">
      <pivotArea outline="0" collapsedLevelsAreSubtotals="1" fieldPosition="0"/>
    </format>
    <format dxfId="59">
      <pivotArea outline="0" collapsedLevelsAreSubtotals="1" fieldPosition="0"/>
    </format>
    <format dxfId="60">
      <pivotArea outline="0" collapsedLevelsAreSubtotals="1" fieldPosition="0"/>
    </format>
    <format dxfId="61">
      <pivotArea outline="0" collapsedLevelsAreSubtotals="1" fieldPosition="0"/>
    </format>
    <format dxfId="62">
      <pivotArea outline="0" collapsedLevelsAreSubtotals="1" fieldPosition="0"/>
    </format>
    <format dxfId="63">
      <pivotArea collapsedLevelsAreSubtotals="1" fieldPosition="0"/>
    </format>
    <format dxfId="64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>
  <location ref="A32:A33" firstHeaderRow="1" firstDataRow="1" firstDataCol="0"/>
  <pivotFields count="21">
    <pivotField showAll="0">
      <items count="2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showAll="0">
      <items count="110">
        <item x="83"/>
        <item x="101"/>
        <item x="32"/>
        <item x="14"/>
        <item x="104"/>
        <item x="58"/>
        <item x="52"/>
        <item x="74"/>
        <item x="65"/>
        <item x="1"/>
        <item x="21"/>
        <item x="100"/>
        <item x="90"/>
        <item x="95"/>
        <item x="22"/>
        <item x="105"/>
        <item x="29"/>
        <item x="88"/>
        <item x="102"/>
        <item x="7"/>
        <item x="84"/>
        <item x="11"/>
        <item x="28"/>
        <item x="106"/>
        <item x="38"/>
        <item x="6"/>
        <item x="53"/>
        <item x="75"/>
        <item x="66"/>
        <item x="23"/>
        <item x="86"/>
        <item x="27"/>
        <item x="96"/>
        <item x="4"/>
        <item x="91"/>
        <item x="56"/>
        <item x="40"/>
        <item x="25"/>
        <item x="39"/>
        <item x="48"/>
        <item x="30"/>
        <item x="42"/>
        <item x="45"/>
        <item x="24"/>
        <item x="43"/>
        <item x="41"/>
        <item x="51"/>
        <item x="46"/>
        <item x="20"/>
        <item x="49"/>
        <item x="44"/>
        <item x="59"/>
        <item x="50"/>
        <item x="47"/>
        <item x="34"/>
        <item x="87"/>
        <item x="9"/>
        <item x="98"/>
        <item x="5"/>
        <item x="55"/>
        <item x="77"/>
        <item x="68"/>
        <item x="2"/>
        <item x="93"/>
        <item x="108"/>
        <item x="103"/>
        <item x="0"/>
        <item x="57"/>
        <item x="19"/>
        <item x="85"/>
        <item x="17"/>
        <item x="92"/>
        <item x="94"/>
        <item x="18"/>
        <item x="60"/>
        <item x="37"/>
        <item x="36"/>
        <item x="99"/>
        <item x="31"/>
        <item x="61"/>
        <item x="78"/>
        <item x="69"/>
        <item x="15"/>
        <item x="35"/>
        <item x="54"/>
        <item x="76"/>
        <item x="67"/>
        <item x="8"/>
        <item x="3"/>
        <item x="73"/>
        <item x="64"/>
        <item x="33"/>
        <item x="63"/>
        <item x="80"/>
        <item x="71"/>
        <item x="12"/>
        <item x="107"/>
        <item x="89"/>
        <item x="26"/>
        <item x="81"/>
        <item x="72"/>
        <item x="13"/>
        <item x="10"/>
        <item x="82"/>
        <item x="62"/>
        <item x="79"/>
        <item x="70"/>
        <item x="97"/>
        <item x="16"/>
        <item t="default"/>
      </items>
    </pivotField>
    <pivotField showAll="0">
      <items count="70">
        <item x="24"/>
        <item x="65"/>
        <item x="54"/>
        <item x="1"/>
        <item x="44"/>
        <item x="61"/>
        <item x="16"/>
        <item x="13"/>
        <item x="43"/>
        <item x="21"/>
        <item x="27"/>
        <item x="67"/>
        <item x="57"/>
        <item x="68"/>
        <item x="50"/>
        <item x="18"/>
        <item x="36"/>
        <item x="17"/>
        <item x="58"/>
        <item x="11"/>
        <item x="33"/>
        <item x="10"/>
        <item x="53"/>
        <item x="28"/>
        <item x="34"/>
        <item x="7"/>
        <item x="62"/>
        <item x="20"/>
        <item x="31"/>
        <item x="42"/>
        <item x="6"/>
        <item x="45"/>
        <item x="25"/>
        <item x="55"/>
        <item x="8"/>
        <item x="46"/>
        <item x="64"/>
        <item x="5"/>
        <item x="47"/>
        <item x="2"/>
        <item x="59"/>
        <item x="19"/>
        <item x="37"/>
        <item x="48"/>
        <item x="32"/>
        <item x="41"/>
        <item x="0"/>
        <item x="22"/>
        <item x="63"/>
        <item x="49"/>
        <item x="14"/>
        <item x="38"/>
        <item x="30"/>
        <item x="39"/>
        <item x="23"/>
        <item x="15"/>
        <item x="40"/>
        <item x="4"/>
        <item x="29"/>
        <item x="35"/>
        <item x="9"/>
        <item x="3"/>
        <item x="52"/>
        <item x="12"/>
        <item x="51"/>
        <item x="56"/>
        <item x="26"/>
        <item x="66"/>
        <item x="60"/>
        <item t="default"/>
      </items>
    </pivotField>
    <pivotField showAll="0">
      <items count="90">
        <item x="67"/>
        <item x="32"/>
        <item x="83"/>
        <item x="14"/>
        <item x="58"/>
        <item x="1"/>
        <item x="52"/>
        <item x="21"/>
        <item x="82"/>
        <item x="73"/>
        <item x="77"/>
        <item x="22"/>
        <item x="86"/>
        <item x="29"/>
        <item x="71"/>
        <item x="7"/>
        <item x="84"/>
        <item x="11"/>
        <item x="68"/>
        <item x="28"/>
        <item x="87"/>
        <item x="38"/>
        <item x="6"/>
        <item x="53"/>
        <item x="23"/>
        <item x="27"/>
        <item x="69"/>
        <item x="78"/>
        <item x="4"/>
        <item x="56"/>
        <item x="40"/>
        <item x="25"/>
        <item x="39"/>
        <item x="48"/>
        <item x="30"/>
        <item x="42"/>
        <item x="45"/>
        <item x="24"/>
        <item x="43"/>
        <item x="41"/>
        <item x="51"/>
        <item x="46"/>
        <item x="20"/>
        <item x="49"/>
        <item x="44"/>
        <item x="59"/>
        <item x="50"/>
        <item x="47"/>
        <item x="34"/>
        <item x="70"/>
        <item x="80"/>
        <item x="9"/>
        <item x="5"/>
        <item x="55"/>
        <item x="2"/>
        <item x="75"/>
        <item x="88"/>
        <item x="85"/>
        <item x="0"/>
        <item x="19"/>
        <item x="57"/>
        <item x="17"/>
        <item x="74"/>
        <item x="18"/>
        <item x="76"/>
        <item x="60"/>
        <item x="37"/>
        <item x="36"/>
        <item x="81"/>
        <item x="31"/>
        <item x="61"/>
        <item x="15"/>
        <item x="35"/>
        <item x="8"/>
        <item x="54"/>
        <item x="3"/>
        <item x="64"/>
        <item x="33"/>
        <item x="12"/>
        <item x="63"/>
        <item x="26"/>
        <item x="72"/>
        <item x="13"/>
        <item x="65"/>
        <item x="10"/>
        <item x="66"/>
        <item x="62"/>
        <item x="16"/>
        <item x="79"/>
        <item t="default"/>
      </items>
    </pivotField>
    <pivotField showAll="0">
      <items count="45">
        <item x="0"/>
        <item x="36"/>
        <item x="21"/>
        <item x="29"/>
        <item x="14"/>
        <item x="10"/>
        <item x="34"/>
        <item x="18"/>
        <item x="16"/>
        <item x="32"/>
        <item x="11"/>
        <item x="9"/>
        <item x="33"/>
        <item x="22"/>
        <item x="12"/>
        <item x="6"/>
        <item x="35"/>
        <item x="43"/>
        <item x="27"/>
        <item x="4"/>
        <item x="28"/>
        <item x="5"/>
        <item x="37"/>
        <item x="17"/>
        <item x="13"/>
        <item x="7"/>
        <item x="39"/>
        <item x="24"/>
        <item x="3"/>
        <item x="38"/>
        <item x="23"/>
        <item x="42"/>
        <item x="15"/>
        <item x="30"/>
        <item x="19"/>
        <item x="1"/>
        <item x="41"/>
        <item x="26"/>
        <item x="20"/>
        <item x="2"/>
        <item x="40"/>
        <item x="25"/>
        <item x="8"/>
        <item x="31"/>
        <item t="default"/>
      </items>
    </pivotField>
    <pivotField showAll="0">
      <items count="100">
        <item x="50"/>
        <item x="86"/>
        <item x="18"/>
        <item x="53"/>
        <item x="45"/>
        <item x="68"/>
        <item x="24"/>
        <item x="90"/>
        <item x="27"/>
        <item x="81"/>
        <item x="69"/>
        <item x="17"/>
        <item x="72"/>
        <item x="22"/>
        <item x="44"/>
        <item x="74"/>
        <item x="11"/>
        <item x="49"/>
        <item x="67"/>
        <item x="30"/>
        <item x="26"/>
        <item x="95"/>
        <item x="32"/>
        <item x="10"/>
        <item x="96"/>
        <item x="12"/>
        <item x="0"/>
        <item x="54"/>
        <item x="48"/>
        <item x="66"/>
        <item x="6"/>
        <item x="15"/>
        <item x="41"/>
        <item x="36"/>
        <item x="61"/>
        <item x="16"/>
        <item x="28"/>
        <item x="13"/>
        <item x="63"/>
        <item x="9"/>
        <item x="52"/>
        <item x="34"/>
        <item x="21"/>
        <item x="76"/>
        <item x="33"/>
        <item x="98"/>
        <item x="23"/>
        <item x="56"/>
        <item x="79"/>
        <item x="94"/>
        <item x="83"/>
        <item x="14"/>
        <item x="38"/>
        <item x="51"/>
        <item x="8"/>
        <item x="42"/>
        <item x="77"/>
        <item x="1"/>
        <item x="60"/>
        <item x="97"/>
        <item x="47"/>
        <item x="65"/>
        <item x="58"/>
        <item x="91"/>
        <item x="46"/>
        <item x="64"/>
        <item x="31"/>
        <item x="39"/>
        <item x="70"/>
        <item x="92"/>
        <item x="84"/>
        <item x="43"/>
        <item x="62"/>
        <item x="5"/>
        <item x="55"/>
        <item x="35"/>
        <item x="19"/>
        <item x="78"/>
        <item x="37"/>
        <item x="73"/>
        <item x="87"/>
        <item x="25"/>
        <item x="82"/>
        <item x="2"/>
        <item x="75"/>
        <item x="40"/>
        <item x="71"/>
        <item x="4"/>
        <item x="20"/>
        <item x="59"/>
        <item x="93"/>
        <item x="85"/>
        <item x="3"/>
        <item x="29"/>
        <item x="89"/>
        <item x="7"/>
        <item x="80"/>
        <item x="57"/>
        <item x="88"/>
        <item t="default"/>
      </items>
    </pivotField>
    <pivotField dataField="1" showAll="0">
      <items count="11">
        <item x="1"/>
        <item x="0"/>
        <item x="3"/>
        <item x="6"/>
        <item x="2"/>
        <item x="8"/>
        <item x="4"/>
        <item x="5"/>
        <item x="9"/>
        <item x="7"/>
        <item t="default"/>
      </items>
    </pivotField>
    <pivotField showAll="0">
      <items count="25">
        <item x="2"/>
        <item x="19"/>
        <item x="18"/>
        <item x="13"/>
        <item x="0"/>
        <item x="16"/>
        <item x="12"/>
        <item x="4"/>
        <item x="3"/>
        <item x="10"/>
        <item x="1"/>
        <item x="9"/>
        <item x="6"/>
        <item x="8"/>
        <item x="11"/>
        <item x="14"/>
        <item x="22"/>
        <item x="21"/>
        <item x="15"/>
        <item x="7"/>
        <item x="23"/>
        <item x="5"/>
        <item x="20"/>
        <item x="17"/>
        <item t="default"/>
      </items>
    </pivotField>
    <pivotField showAll="0">
      <items count="63">
        <item x="47"/>
        <item x="55"/>
        <item x="60"/>
        <item x="21"/>
        <item x="36"/>
        <item x="45"/>
        <item x="29"/>
        <item x="14"/>
        <item x="34"/>
        <item x="13"/>
        <item x="58"/>
        <item x="16"/>
        <item x="43"/>
        <item x="11"/>
        <item x="32"/>
        <item x="18"/>
        <item x="49"/>
        <item x="9"/>
        <item x="22"/>
        <item x="33"/>
        <item x="1"/>
        <item x="53"/>
        <item x="10"/>
        <item x="41"/>
        <item x="7"/>
        <item x="51"/>
        <item x="0"/>
        <item x="61"/>
        <item x="23"/>
        <item x="38"/>
        <item x="12"/>
        <item x="27"/>
        <item x="44"/>
        <item x="6"/>
        <item x="15"/>
        <item x="35"/>
        <item x="17"/>
        <item x="56"/>
        <item x="37"/>
        <item x="24"/>
        <item x="39"/>
        <item x="42"/>
        <item x="19"/>
        <item x="26"/>
        <item x="5"/>
        <item x="50"/>
        <item x="3"/>
        <item x="28"/>
        <item x="46"/>
        <item x="30"/>
        <item x="59"/>
        <item x="4"/>
        <item x="20"/>
        <item x="52"/>
        <item x="57"/>
        <item x="25"/>
        <item x="40"/>
        <item x="2"/>
        <item x="54"/>
        <item x="8"/>
        <item x="48"/>
        <item x="31"/>
        <item t="default"/>
      </items>
    </pivotField>
    <pivotField showAll="0">
      <items count="21">
        <item x="2"/>
        <item x="14"/>
        <item x="7"/>
        <item x="9"/>
        <item x="3"/>
        <item x="10"/>
        <item x="8"/>
        <item x="12"/>
        <item x="16"/>
        <item x="1"/>
        <item x="17"/>
        <item x="0"/>
        <item x="5"/>
        <item x="11"/>
        <item x="19"/>
        <item x="4"/>
        <item x="6"/>
        <item x="15"/>
        <item x="18"/>
        <item x="13"/>
        <item t="default"/>
      </items>
    </pivotField>
    <pivotField showAll="0">
      <items count="11">
        <item x="5"/>
        <item x="0"/>
        <item x="2"/>
        <item x="7"/>
        <item x="3"/>
        <item x="4"/>
        <item x="9"/>
        <item x="8"/>
        <item x="1"/>
        <item x="6"/>
        <item t="default"/>
      </items>
    </pivotField>
    <pivotField showAll="0">
      <items count="69">
        <item x="60"/>
        <item x="47"/>
        <item x="14"/>
        <item x="61"/>
        <item x="40"/>
        <item x="25"/>
        <item x="2"/>
        <item x="54"/>
        <item x="34"/>
        <item x="7"/>
        <item x="62"/>
        <item x="51"/>
        <item x="39"/>
        <item x="24"/>
        <item x="18"/>
        <item x="9"/>
        <item x="33"/>
        <item x="22"/>
        <item x="41"/>
        <item x="56"/>
        <item x="17"/>
        <item x="37"/>
        <item x="3"/>
        <item x="46"/>
        <item x="28"/>
        <item x="63"/>
        <item x="30"/>
        <item x="65"/>
        <item x="36"/>
        <item x="21"/>
        <item x="45"/>
        <item x="10"/>
        <item x="19"/>
        <item x="8"/>
        <item x="48"/>
        <item x="31"/>
        <item x="43"/>
        <item x="16"/>
        <item x="12"/>
        <item x="57"/>
        <item x="1"/>
        <item x="53"/>
        <item x="58"/>
        <item x="38"/>
        <item x="23"/>
        <item x="0"/>
        <item x="67"/>
        <item x="55"/>
        <item x="32"/>
        <item x="11"/>
        <item x="26"/>
        <item x="5"/>
        <item x="50"/>
        <item x="66"/>
        <item x="4"/>
        <item x="59"/>
        <item x="52"/>
        <item x="20"/>
        <item x="44"/>
        <item x="27"/>
        <item x="6"/>
        <item x="35"/>
        <item x="15"/>
        <item x="29"/>
        <item x="42"/>
        <item x="13"/>
        <item x="64"/>
        <item x="49"/>
        <item t="default"/>
      </items>
    </pivotField>
    <pivotField showAll="0">
      <items count="16">
        <item x="13"/>
        <item x="3"/>
        <item x="12"/>
        <item x="7"/>
        <item x="5"/>
        <item x="8"/>
        <item x="4"/>
        <item x="9"/>
        <item x="10"/>
        <item x="14"/>
        <item x="6"/>
        <item x="11"/>
        <item x="2"/>
        <item x="1"/>
        <item x="0"/>
        <item t="default"/>
      </items>
    </pivotField>
    <pivotField showAll="0">
      <items count="23">
        <item x="2"/>
        <item x="12"/>
        <item x="8"/>
        <item x="14"/>
        <item x="17"/>
        <item x="11"/>
        <item x="1"/>
        <item x="21"/>
        <item x="6"/>
        <item x="16"/>
        <item x="18"/>
        <item x="4"/>
        <item x="10"/>
        <item x="0"/>
        <item x="19"/>
        <item x="7"/>
        <item x="13"/>
        <item x="20"/>
        <item x="3"/>
        <item x="9"/>
        <item x="5"/>
        <item x="15"/>
        <item t="default"/>
      </items>
    </pivotField>
    <pivotField showAll="0">
      <items count="20">
        <item x="2"/>
        <item x="12"/>
        <item x="8"/>
        <item x="14"/>
        <item x="17"/>
        <item x="11"/>
        <item x="1"/>
        <item x="6"/>
        <item x="4"/>
        <item x="16"/>
        <item x="10"/>
        <item x="0"/>
        <item x="18"/>
        <item x="7"/>
        <item x="13"/>
        <item x="3"/>
        <item x="9"/>
        <item x="5"/>
        <item x="15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>
      <items count="11">
        <item x="2"/>
        <item x="9"/>
        <item x="0"/>
        <item x="4"/>
        <item x="3"/>
        <item x="8"/>
        <item x="1"/>
        <item x="7"/>
        <item x="6"/>
        <item x="5"/>
        <item t="default"/>
      </items>
    </pivotField>
    <pivotField showAll="0">
      <items count="14">
        <item x="2"/>
        <item x="12"/>
        <item x="0"/>
        <item x="4"/>
        <item x="8"/>
        <item x="3"/>
        <item x="9"/>
        <item x="1"/>
        <item x="6"/>
        <item x="7"/>
        <item x="10"/>
        <item x="5"/>
        <item x="11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numFmtId="2" showAll="0">
      <items count="45">
        <item x="2"/>
        <item x="22"/>
        <item x="15"/>
        <item x="17"/>
        <item x="4"/>
        <item x="20"/>
        <item x="0"/>
        <item x="11"/>
        <item x="16"/>
        <item x="1"/>
        <item x="18"/>
        <item x="6"/>
        <item x="24"/>
        <item x="7"/>
        <item x="3"/>
        <item x="12"/>
        <item x="10"/>
        <item x="14"/>
        <item x="38"/>
        <item x="13"/>
        <item x="36"/>
        <item x="9"/>
        <item x="19"/>
        <item x="30"/>
        <item x="8"/>
        <item x="25"/>
        <item x="43"/>
        <item x="35"/>
        <item x="31"/>
        <item x="32"/>
        <item x="33"/>
        <item x="42"/>
        <item x="27"/>
        <item x="5"/>
        <item x="26"/>
        <item x="34"/>
        <item x="23"/>
        <item x="37"/>
        <item x="21"/>
        <item x="40"/>
        <item x="41"/>
        <item x="39"/>
        <item x="29"/>
        <item x="28"/>
        <item t="default"/>
      </items>
    </pivotField>
    <pivotField numFmtId="2" showAll="0">
      <items count="45">
        <item x="2"/>
        <item x="22"/>
        <item x="15"/>
        <item x="17"/>
        <item x="4"/>
        <item x="20"/>
        <item x="0"/>
        <item x="11"/>
        <item x="16"/>
        <item x="1"/>
        <item x="18"/>
        <item x="6"/>
        <item x="24"/>
        <item x="7"/>
        <item x="3"/>
        <item x="12"/>
        <item x="10"/>
        <item x="14"/>
        <item x="38"/>
        <item x="13"/>
        <item x="36"/>
        <item x="9"/>
        <item x="19"/>
        <item x="30"/>
        <item x="8"/>
        <item x="25"/>
        <item x="43"/>
        <item x="35"/>
        <item x="31"/>
        <item x="32"/>
        <item x="33"/>
        <item x="42"/>
        <item x="27"/>
        <item x="5"/>
        <item x="26"/>
        <item x="34"/>
        <item x="23"/>
        <item x="37"/>
        <item x="21"/>
        <item x="40"/>
        <item x="41"/>
        <item x="39"/>
        <item x="29"/>
        <item x="28"/>
        <item t="default"/>
      </items>
    </pivotField>
  </pivotFields>
  <dataFields count="1">
    <dataField name="Total Equipment Purchased" fld="6" baseField="0" baseItem="0"/>
  </dataFields>
  <formats count="5">
    <format dxfId="65">
      <pivotArea outline="0" collapsedLevelsAreSubtotals="1" fieldPosition="0"/>
    </format>
    <format dxfId="66">
      <pivotArea type="all" dataOnly="0" outline="0" fieldPosition="0"/>
    </format>
    <format dxfId="67">
      <pivotArea outline="0" collapsedLevelsAreSubtotals="1" fieldPosition="0"/>
    </format>
    <format dxfId="68">
      <pivotArea dataOnly="0" labelOnly="1" outline="0" fieldPosition="0"/>
    </format>
    <format dxfId="69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 chartFormat="6">
  <location ref="A36:B41" firstHeaderRow="1" firstDataRow="1" firstDataCol="1"/>
  <pivotFields count="21">
    <pivotField showAll="0">
      <items count="2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showAll="0">
      <items count="110">
        <item x="83"/>
        <item x="101"/>
        <item x="32"/>
        <item x="14"/>
        <item x="104"/>
        <item x="58"/>
        <item x="52"/>
        <item x="74"/>
        <item x="65"/>
        <item x="1"/>
        <item x="21"/>
        <item x="100"/>
        <item x="90"/>
        <item x="95"/>
        <item x="22"/>
        <item x="105"/>
        <item x="29"/>
        <item x="88"/>
        <item x="102"/>
        <item x="7"/>
        <item x="84"/>
        <item x="11"/>
        <item x="28"/>
        <item x="106"/>
        <item x="38"/>
        <item x="6"/>
        <item x="53"/>
        <item x="75"/>
        <item x="66"/>
        <item x="23"/>
        <item x="86"/>
        <item x="27"/>
        <item x="96"/>
        <item x="4"/>
        <item x="91"/>
        <item x="56"/>
        <item x="40"/>
        <item x="25"/>
        <item x="39"/>
        <item x="48"/>
        <item x="30"/>
        <item x="42"/>
        <item x="45"/>
        <item x="24"/>
        <item x="43"/>
        <item x="41"/>
        <item x="51"/>
        <item x="46"/>
        <item x="20"/>
        <item x="49"/>
        <item x="44"/>
        <item x="59"/>
        <item x="50"/>
        <item x="47"/>
        <item x="34"/>
        <item x="87"/>
        <item x="9"/>
        <item x="98"/>
        <item x="5"/>
        <item x="55"/>
        <item x="77"/>
        <item x="68"/>
        <item x="2"/>
        <item x="93"/>
        <item x="108"/>
        <item x="103"/>
        <item x="0"/>
        <item x="57"/>
        <item x="19"/>
        <item x="85"/>
        <item x="17"/>
        <item x="92"/>
        <item x="94"/>
        <item x="18"/>
        <item x="60"/>
        <item x="37"/>
        <item x="36"/>
        <item x="99"/>
        <item x="31"/>
        <item x="61"/>
        <item x="78"/>
        <item x="69"/>
        <item x="15"/>
        <item x="35"/>
        <item x="54"/>
        <item x="76"/>
        <item x="67"/>
        <item x="8"/>
        <item x="3"/>
        <item x="73"/>
        <item x="64"/>
        <item x="33"/>
        <item x="63"/>
        <item x="80"/>
        <item x="71"/>
        <item x="12"/>
        <item x="107"/>
        <item x="89"/>
        <item x="26"/>
        <item x="81"/>
        <item x="72"/>
        <item x="13"/>
        <item x="10"/>
        <item x="82"/>
        <item x="62"/>
        <item x="79"/>
        <item x="70"/>
        <item x="97"/>
        <item x="16"/>
        <item t="default"/>
      </items>
    </pivotField>
    <pivotField showAll="0">
      <items count="70">
        <item x="24"/>
        <item x="65"/>
        <item x="54"/>
        <item x="1"/>
        <item x="44"/>
        <item x="61"/>
        <item x="16"/>
        <item x="13"/>
        <item x="43"/>
        <item x="21"/>
        <item x="27"/>
        <item x="67"/>
        <item x="57"/>
        <item x="68"/>
        <item x="50"/>
        <item x="18"/>
        <item x="36"/>
        <item x="17"/>
        <item x="58"/>
        <item x="11"/>
        <item x="33"/>
        <item x="10"/>
        <item x="53"/>
        <item x="28"/>
        <item x="34"/>
        <item x="7"/>
        <item x="62"/>
        <item x="20"/>
        <item x="31"/>
        <item x="42"/>
        <item x="6"/>
        <item x="45"/>
        <item x="25"/>
        <item x="55"/>
        <item x="8"/>
        <item x="46"/>
        <item x="64"/>
        <item x="5"/>
        <item x="47"/>
        <item x="2"/>
        <item x="59"/>
        <item x="19"/>
        <item x="37"/>
        <item x="48"/>
        <item x="32"/>
        <item x="41"/>
        <item x="0"/>
        <item x="22"/>
        <item x="63"/>
        <item x="49"/>
        <item x="14"/>
        <item x="38"/>
        <item x="30"/>
        <item x="39"/>
        <item x="23"/>
        <item x="15"/>
        <item x="40"/>
        <item x="4"/>
        <item x="29"/>
        <item x="35"/>
        <item x="9"/>
        <item x="3"/>
        <item x="52"/>
        <item x="12"/>
        <item x="51"/>
        <item x="56"/>
        <item x="26"/>
        <item x="66"/>
        <item x="60"/>
        <item t="default"/>
      </items>
    </pivotField>
    <pivotField showAll="0">
      <items count="90">
        <item x="67"/>
        <item x="32"/>
        <item x="83"/>
        <item x="14"/>
        <item x="58"/>
        <item x="1"/>
        <item x="52"/>
        <item x="21"/>
        <item x="82"/>
        <item x="73"/>
        <item x="77"/>
        <item x="22"/>
        <item x="86"/>
        <item x="29"/>
        <item x="71"/>
        <item x="7"/>
        <item x="84"/>
        <item x="11"/>
        <item x="68"/>
        <item x="28"/>
        <item x="87"/>
        <item x="38"/>
        <item x="6"/>
        <item x="53"/>
        <item x="23"/>
        <item x="27"/>
        <item x="69"/>
        <item x="78"/>
        <item x="4"/>
        <item x="56"/>
        <item x="40"/>
        <item x="25"/>
        <item x="39"/>
        <item x="48"/>
        <item x="30"/>
        <item x="42"/>
        <item x="45"/>
        <item x="24"/>
        <item x="43"/>
        <item x="41"/>
        <item x="51"/>
        <item x="46"/>
        <item x="20"/>
        <item x="49"/>
        <item x="44"/>
        <item x="59"/>
        <item x="50"/>
        <item x="47"/>
        <item x="34"/>
        <item x="70"/>
        <item x="80"/>
        <item x="9"/>
        <item x="5"/>
        <item x="55"/>
        <item x="2"/>
        <item x="75"/>
        <item x="88"/>
        <item x="85"/>
        <item x="0"/>
        <item x="19"/>
        <item x="57"/>
        <item x="17"/>
        <item x="74"/>
        <item x="18"/>
        <item x="76"/>
        <item x="60"/>
        <item x="37"/>
        <item x="36"/>
        <item x="81"/>
        <item x="31"/>
        <item x="61"/>
        <item x="15"/>
        <item x="35"/>
        <item x="8"/>
        <item x="54"/>
        <item x="3"/>
        <item x="64"/>
        <item x="33"/>
        <item x="12"/>
        <item x="63"/>
        <item x="26"/>
        <item x="72"/>
        <item x="13"/>
        <item x="65"/>
        <item x="10"/>
        <item x="66"/>
        <item x="62"/>
        <item x="16"/>
        <item x="79"/>
        <item t="default"/>
      </items>
    </pivotField>
    <pivotField axis="axisRow" measureFilter="1" sortType="descending" showAll="0">
      <items count="45">
        <item x="31"/>
        <item x="8"/>
        <item x="25"/>
        <item x="40"/>
        <item x="2"/>
        <item x="20"/>
        <item x="26"/>
        <item x="41"/>
        <item x="1"/>
        <item x="19"/>
        <item x="30"/>
        <item x="15"/>
        <item x="42"/>
        <item x="23"/>
        <item x="38"/>
        <item x="3"/>
        <item x="24"/>
        <item x="39"/>
        <item x="7"/>
        <item x="13"/>
        <item x="17"/>
        <item x="37"/>
        <item x="5"/>
        <item x="28"/>
        <item x="4"/>
        <item x="27"/>
        <item x="43"/>
        <item x="35"/>
        <item x="6"/>
        <item x="12"/>
        <item x="22"/>
        <item x="33"/>
        <item x="9"/>
        <item x="11"/>
        <item x="32"/>
        <item x="16"/>
        <item x="18"/>
        <item x="34"/>
        <item x="10"/>
        <item x="14"/>
        <item x="29"/>
        <item x="21"/>
        <item x="36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100">
        <item x="50"/>
        <item x="86"/>
        <item x="18"/>
        <item x="53"/>
        <item x="45"/>
        <item x="68"/>
        <item x="24"/>
        <item x="90"/>
        <item x="27"/>
        <item x="81"/>
        <item x="69"/>
        <item x="17"/>
        <item x="72"/>
        <item x="22"/>
        <item x="44"/>
        <item x="74"/>
        <item x="11"/>
        <item x="49"/>
        <item x="67"/>
        <item x="30"/>
        <item x="26"/>
        <item x="95"/>
        <item x="32"/>
        <item x="10"/>
        <item x="96"/>
        <item x="12"/>
        <item x="0"/>
        <item x="54"/>
        <item x="48"/>
        <item x="66"/>
        <item x="6"/>
        <item x="15"/>
        <item x="41"/>
        <item x="36"/>
        <item x="61"/>
        <item x="16"/>
        <item x="28"/>
        <item x="13"/>
        <item x="63"/>
        <item x="9"/>
        <item x="52"/>
        <item x="34"/>
        <item x="21"/>
        <item x="76"/>
        <item x="33"/>
        <item x="98"/>
        <item x="23"/>
        <item x="56"/>
        <item x="79"/>
        <item x="94"/>
        <item x="83"/>
        <item x="14"/>
        <item x="38"/>
        <item x="51"/>
        <item x="8"/>
        <item x="42"/>
        <item x="77"/>
        <item x="1"/>
        <item x="60"/>
        <item x="97"/>
        <item x="47"/>
        <item x="65"/>
        <item x="58"/>
        <item x="91"/>
        <item x="46"/>
        <item x="64"/>
        <item x="31"/>
        <item x="39"/>
        <item x="70"/>
        <item x="92"/>
        <item x="84"/>
        <item x="43"/>
        <item x="62"/>
        <item x="5"/>
        <item x="55"/>
        <item x="35"/>
        <item x="19"/>
        <item x="78"/>
        <item x="37"/>
        <item x="73"/>
        <item x="87"/>
        <item x="25"/>
        <item x="82"/>
        <item x="2"/>
        <item x="75"/>
        <item x="40"/>
        <item x="71"/>
        <item x="4"/>
        <item x="20"/>
        <item x="59"/>
        <item x="93"/>
        <item x="85"/>
        <item x="3"/>
        <item x="29"/>
        <item x="89"/>
        <item x="7"/>
        <item x="80"/>
        <item x="57"/>
        <item x="88"/>
        <item t="default"/>
      </items>
    </pivotField>
    <pivotField showAll="0">
      <items count="11">
        <item x="1"/>
        <item x="0"/>
        <item x="3"/>
        <item x="6"/>
        <item x="2"/>
        <item x="8"/>
        <item x="4"/>
        <item x="5"/>
        <item x="9"/>
        <item x="7"/>
        <item t="default"/>
      </items>
    </pivotField>
    <pivotField showAll="0">
      <items count="25">
        <item x="2"/>
        <item x="19"/>
        <item x="18"/>
        <item x="13"/>
        <item x="0"/>
        <item x="16"/>
        <item x="12"/>
        <item x="4"/>
        <item x="3"/>
        <item x="10"/>
        <item x="1"/>
        <item x="9"/>
        <item x="6"/>
        <item x="8"/>
        <item x="11"/>
        <item x="14"/>
        <item x="22"/>
        <item x="21"/>
        <item x="15"/>
        <item x="7"/>
        <item x="23"/>
        <item x="5"/>
        <item x="20"/>
        <item x="17"/>
        <item t="default"/>
      </items>
    </pivotField>
    <pivotField showAll="0">
      <items count="63">
        <item x="47"/>
        <item x="55"/>
        <item x="60"/>
        <item x="21"/>
        <item x="36"/>
        <item x="45"/>
        <item x="29"/>
        <item x="14"/>
        <item x="34"/>
        <item x="13"/>
        <item x="58"/>
        <item x="16"/>
        <item x="43"/>
        <item x="11"/>
        <item x="32"/>
        <item x="18"/>
        <item x="49"/>
        <item x="9"/>
        <item x="22"/>
        <item x="33"/>
        <item x="1"/>
        <item x="53"/>
        <item x="10"/>
        <item x="41"/>
        <item x="7"/>
        <item x="51"/>
        <item x="0"/>
        <item x="61"/>
        <item x="23"/>
        <item x="38"/>
        <item x="12"/>
        <item x="27"/>
        <item x="44"/>
        <item x="6"/>
        <item x="15"/>
        <item x="35"/>
        <item x="17"/>
        <item x="56"/>
        <item x="37"/>
        <item x="24"/>
        <item x="39"/>
        <item x="42"/>
        <item x="19"/>
        <item x="26"/>
        <item x="5"/>
        <item x="50"/>
        <item x="3"/>
        <item x="28"/>
        <item x="46"/>
        <item x="30"/>
        <item x="59"/>
        <item x="4"/>
        <item x="20"/>
        <item x="52"/>
        <item x="57"/>
        <item x="25"/>
        <item x="40"/>
        <item x="2"/>
        <item x="54"/>
        <item x="8"/>
        <item x="48"/>
        <item x="31"/>
        <item t="default"/>
      </items>
    </pivotField>
    <pivotField showAll="0">
      <items count="21">
        <item x="2"/>
        <item x="14"/>
        <item x="7"/>
        <item x="9"/>
        <item x="3"/>
        <item x="10"/>
        <item x="8"/>
        <item x="12"/>
        <item x="16"/>
        <item x="1"/>
        <item x="17"/>
        <item x="0"/>
        <item x="5"/>
        <item x="11"/>
        <item x="19"/>
        <item x="4"/>
        <item x="6"/>
        <item x="15"/>
        <item x="18"/>
        <item x="13"/>
        <item t="default"/>
      </items>
    </pivotField>
    <pivotField showAll="0">
      <items count="11">
        <item x="5"/>
        <item x="0"/>
        <item x="2"/>
        <item x="7"/>
        <item x="3"/>
        <item x="4"/>
        <item x="9"/>
        <item x="8"/>
        <item x="1"/>
        <item x="6"/>
        <item t="default"/>
      </items>
    </pivotField>
    <pivotField showAll="0">
      <items count="69">
        <item x="60"/>
        <item x="47"/>
        <item x="14"/>
        <item x="61"/>
        <item x="40"/>
        <item x="25"/>
        <item x="2"/>
        <item x="54"/>
        <item x="34"/>
        <item x="7"/>
        <item x="62"/>
        <item x="51"/>
        <item x="39"/>
        <item x="24"/>
        <item x="18"/>
        <item x="9"/>
        <item x="33"/>
        <item x="22"/>
        <item x="41"/>
        <item x="56"/>
        <item x="17"/>
        <item x="37"/>
        <item x="3"/>
        <item x="46"/>
        <item x="28"/>
        <item x="63"/>
        <item x="30"/>
        <item x="65"/>
        <item x="36"/>
        <item x="21"/>
        <item x="45"/>
        <item x="10"/>
        <item x="19"/>
        <item x="8"/>
        <item x="48"/>
        <item x="31"/>
        <item x="43"/>
        <item x="16"/>
        <item x="12"/>
        <item x="57"/>
        <item x="1"/>
        <item x="53"/>
        <item x="58"/>
        <item x="38"/>
        <item x="23"/>
        <item x="0"/>
        <item x="67"/>
        <item x="55"/>
        <item x="32"/>
        <item x="11"/>
        <item x="26"/>
        <item x="5"/>
        <item x="50"/>
        <item x="66"/>
        <item x="4"/>
        <item x="59"/>
        <item x="52"/>
        <item x="20"/>
        <item x="44"/>
        <item x="27"/>
        <item x="6"/>
        <item x="35"/>
        <item x="15"/>
        <item x="29"/>
        <item x="42"/>
        <item x="13"/>
        <item x="64"/>
        <item x="49"/>
        <item t="default"/>
      </items>
    </pivotField>
    <pivotField showAll="0">
      <items count="16">
        <item x="13"/>
        <item x="3"/>
        <item x="12"/>
        <item x="7"/>
        <item x="5"/>
        <item x="8"/>
        <item x="4"/>
        <item x="9"/>
        <item x="10"/>
        <item x="14"/>
        <item x="6"/>
        <item x="11"/>
        <item x="2"/>
        <item x="1"/>
        <item x="0"/>
        <item t="default"/>
      </items>
    </pivotField>
    <pivotField showAll="0">
      <items count="23">
        <item x="2"/>
        <item x="12"/>
        <item x="8"/>
        <item x="14"/>
        <item x="17"/>
        <item x="11"/>
        <item x="1"/>
        <item x="21"/>
        <item x="6"/>
        <item x="16"/>
        <item x="18"/>
        <item x="4"/>
        <item x="10"/>
        <item x="0"/>
        <item x="19"/>
        <item x="7"/>
        <item x="13"/>
        <item x="20"/>
        <item x="3"/>
        <item x="9"/>
        <item x="5"/>
        <item x="15"/>
        <item t="default"/>
      </items>
    </pivotField>
    <pivotField showAll="0">
      <items count="20">
        <item x="2"/>
        <item x="12"/>
        <item x="8"/>
        <item x="14"/>
        <item x="17"/>
        <item x="11"/>
        <item x="1"/>
        <item x="6"/>
        <item x="4"/>
        <item x="16"/>
        <item x="10"/>
        <item x="0"/>
        <item x="18"/>
        <item x="7"/>
        <item x="13"/>
        <item x="3"/>
        <item x="9"/>
        <item x="5"/>
        <item x="15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>
      <items count="11">
        <item x="2"/>
        <item x="9"/>
        <item x="0"/>
        <item x="4"/>
        <item x="3"/>
        <item x="8"/>
        <item x="1"/>
        <item x="7"/>
        <item x="6"/>
        <item x="5"/>
        <item t="default"/>
      </items>
    </pivotField>
    <pivotField showAll="0">
      <items count="14">
        <item x="2"/>
        <item x="12"/>
        <item x="0"/>
        <item x="4"/>
        <item x="8"/>
        <item x="3"/>
        <item x="9"/>
        <item x="1"/>
        <item x="6"/>
        <item x="7"/>
        <item x="10"/>
        <item x="5"/>
        <item x="11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numFmtId="2" showAll="0">
      <items count="45">
        <item x="2"/>
        <item x="22"/>
        <item x="15"/>
        <item x="17"/>
        <item x="4"/>
        <item x="20"/>
        <item x="0"/>
        <item x="11"/>
        <item x="16"/>
        <item x="1"/>
        <item x="18"/>
        <item x="6"/>
        <item x="24"/>
        <item x="7"/>
        <item x="3"/>
        <item x="12"/>
        <item x="10"/>
        <item x="14"/>
        <item x="38"/>
        <item x="13"/>
        <item x="36"/>
        <item x="9"/>
        <item x="19"/>
        <item x="30"/>
        <item x="8"/>
        <item x="25"/>
        <item x="43"/>
        <item x="35"/>
        <item x="31"/>
        <item x="32"/>
        <item x="33"/>
        <item x="42"/>
        <item x="27"/>
        <item x="5"/>
        <item x="26"/>
        <item x="34"/>
        <item x="23"/>
        <item x="37"/>
        <item x="21"/>
        <item x="40"/>
        <item x="41"/>
        <item x="39"/>
        <item x="29"/>
        <item x="28"/>
        <item t="default"/>
      </items>
    </pivotField>
    <pivotField numFmtId="2" showAll="0">
      <items count="45">
        <item x="2"/>
        <item x="22"/>
        <item x="15"/>
        <item x="17"/>
        <item x="4"/>
        <item x="20"/>
        <item x="0"/>
        <item x="11"/>
        <item x="16"/>
        <item x="1"/>
        <item x="18"/>
        <item x="6"/>
        <item x="24"/>
        <item x="7"/>
        <item x="3"/>
        <item x="12"/>
        <item x="10"/>
        <item x="14"/>
        <item x="38"/>
        <item x="13"/>
        <item x="36"/>
        <item x="9"/>
        <item x="19"/>
        <item x="30"/>
        <item x="8"/>
        <item x="25"/>
        <item x="43"/>
        <item x="35"/>
        <item x="31"/>
        <item x="32"/>
        <item x="33"/>
        <item x="42"/>
        <item x="27"/>
        <item x="5"/>
        <item x="26"/>
        <item x="34"/>
        <item x="23"/>
        <item x="37"/>
        <item x="21"/>
        <item x="40"/>
        <item x="41"/>
        <item x="39"/>
        <item x="29"/>
        <item x="28"/>
        <item t="default"/>
      </items>
    </pivotField>
  </pivotFields>
  <rowFields count="1">
    <field x="4"/>
  </rowFields>
  <rowItems count="5">
    <i>
      <x v="13"/>
    </i>
    <i>
      <x v="6"/>
    </i>
    <i>
      <x v="2"/>
    </i>
    <i>
      <x v="38"/>
    </i>
    <i t="grand">
      <x/>
    </i>
  </rowItems>
  <colItems count="1">
    <i/>
  </colItems>
  <dataFields count="1">
    <dataField name="Count of  Equipment     " fld="5" subtotal="count" baseField="0" baseItem="0"/>
  </dataFields>
  <formats count="5">
    <format dxfId="70">
      <pivotArea outline="0" collapsedLevelsAreSubtotals="1" fieldPosition="0"/>
    </format>
    <format dxfId="71">
      <pivotArea type="all" dataOnly="0" outline="0" fieldPosition="0"/>
    </format>
    <format dxfId="72">
      <pivotArea outline="0" collapsedLevelsAreSubtotals="1" fieldPosition="0"/>
    </format>
    <format dxfId="73">
      <pivotArea dataOnly="0" labelOnly="1" outline="0" fieldPosition="0"/>
    </format>
    <format dxfId="74">
      <pivotArea dataOnly="0" labelOnly="1" outline="0" fieldPosition="0"/>
    </format>
  </formats>
  <pivotTableStyleInfo name="PivotStyleLight16" showRowHeaders="1" showColHeaders="1" showLastColumn="1"/>
  <filters count="1">
    <filter evalOrder="-1" fld="4" iMeasureFld="0" id="6" type="count">
      <autoFilter ref="A1">
        <filterColumn colId="0">
          <top10 filterVal="4" 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 chartFormat="4">
  <location ref="A53:B59" firstHeaderRow="1" firstDataRow="1" firstDataCol="1"/>
  <pivotFields count="21">
    <pivotField showAll="0">
      <items count="2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showAll="0">
      <items count="110">
        <item x="83"/>
        <item x="101"/>
        <item x="32"/>
        <item x="14"/>
        <item x="104"/>
        <item x="58"/>
        <item x="52"/>
        <item x="74"/>
        <item x="65"/>
        <item x="1"/>
        <item x="21"/>
        <item x="100"/>
        <item x="90"/>
        <item x="95"/>
        <item x="22"/>
        <item x="105"/>
        <item x="29"/>
        <item x="88"/>
        <item x="102"/>
        <item x="7"/>
        <item x="84"/>
        <item x="11"/>
        <item x="28"/>
        <item x="106"/>
        <item x="38"/>
        <item x="6"/>
        <item x="53"/>
        <item x="75"/>
        <item x="66"/>
        <item x="23"/>
        <item x="86"/>
        <item x="27"/>
        <item x="96"/>
        <item x="4"/>
        <item x="91"/>
        <item x="56"/>
        <item x="40"/>
        <item x="25"/>
        <item x="39"/>
        <item x="48"/>
        <item x="30"/>
        <item x="42"/>
        <item x="45"/>
        <item x="24"/>
        <item x="43"/>
        <item x="41"/>
        <item x="51"/>
        <item x="46"/>
        <item x="20"/>
        <item x="49"/>
        <item x="44"/>
        <item x="59"/>
        <item x="50"/>
        <item x="47"/>
        <item x="34"/>
        <item x="87"/>
        <item x="9"/>
        <item x="98"/>
        <item x="5"/>
        <item x="55"/>
        <item x="77"/>
        <item x="68"/>
        <item x="2"/>
        <item x="93"/>
        <item x="108"/>
        <item x="103"/>
        <item x="0"/>
        <item x="57"/>
        <item x="19"/>
        <item x="85"/>
        <item x="17"/>
        <item x="92"/>
        <item x="94"/>
        <item x="18"/>
        <item x="60"/>
        <item x="37"/>
        <item x="36"/>
        <item x="99"/>
        <item x="31"/>
        <item x="61"/>
        <item x="78"/>
        <item x="69"/>
        <item x="15"/>
        <item x="35"/>
        <item x="54"/>
        <item x="76"/>
        <item x="67"/>
        <item x="8"/>
        <item x="3"/>
        <item x="73"/>
        <item x="64"/>
        <item x="33"/>
        <item x="63"/>
        <item x="80"/>
        <item x="71"/>
        <item x="12"/>
        <item x="107"/>
        <item x="89"/>
        <item x="26"/>
        <item x="81"/>
        <item x="72"/>
        <item x="13"/>
        <item x="10"/>
        <item x="82"/>
        <item x="62"/>
        <item x="79"/>
        <item x="70"/>
        <item x="97"/>
        <item x="16"/>
        <item t="default"/>
      </items>
    </pivotField>
    <pivotField showAll="0">
      <items count="70">
        <item x="24"/>
        <item x="65"/>
        <item x="54"/>
        <item x="1"/>
        <item x="44"/>
        <item x="61"/>
        <item x="16"/>
        <item x="13"/>
        <item x="43"/>
        <item x="21"/>
        <item x="27"/>
        <item x="67"/>
        <item x="57"/>
        <item x="68"/>
        <item x="50"/>
        <item x="18"/>
        <item x="36"/>
        <item x="17"/>
        <item x="58"/>
        <item x="11"/>
        <item x="33"/>
        <item x="10"/>
        <item x="53"/>
        <item x="28"/>
        <item x="34"/>
        <item x="7"/>
        <item x="62"/>
        <item x="20"/>
        <item x="31"/>
        <item x="42"/>
        <item x="6"/>
        <item x="45"/>
        <item x="25"/>
        <item x="55"/>
        <item x="8"/>
        <item x="46"/>
        <item x="64"/>
        <item x="5"/>
        <item x="47"/>
        <item x="2"/>
        <item x="59"/>
        <item x="19"/>
        <item x="37"/>
        <item x="48"/>
        <item x="32"/>
        <item x="41"/>
        <item x="0"/>
        <item x="22"/>
        <item x="63"/>
        <item x="49"/>
        <item x="14"/>
        <item x="38"/>
        <item x="30"/>
        <item x="39"/>
        <item x="23"/>
        <item x="15"/>
        <item x="40"/>
        <item x="4"/>
        <item x="29"/>
        <item x="35"/>
        <item x="9"/>
        <item x="3"/>
        <item x="52"/>
        <item x="12"/>
        <item x="51"/>
        <item x="56"/>
        <item x="26"/>
        <item x="66"/>
        <item x="60"/>
        <item t="default"/>
      </items>
    </pivotField>
    <pivotField showAll="0">
      <items count="90">
        <item x="67"/>
        <item x="32"/>
        <item x="83"/>
        <item x="14"/>
        <item x="58"/>
        <item x="1"/>
        <item x="52"/>
        <item x="21"/>
        <item x="82"/>
        <item x="73"/>
        <item x="77"/>
        <item x="22"/>
        <item x="86"/>
        <item x="29"/>
        <item x="71"/>
        <item x="7"/>
        <item x="84"/>
        <item x="11"/>
        <item x="68"/>
        <item x="28"/>
        <item x="87"/>
        <item x="38"/>
        <item x="6"/>
        <item x="53"/>
        <item x="23"/>
        <item x="27"/>
        <item x="69"/>
        <item x="78"/>
        <item x="4"/>
        <item x="56"/>
        <item x="40"/>
        <item x="25"/>
        <item x="39"/>
        <item x="48"/>
        <item x="30"/>
        <item x="42"/>
        <item x="45"/>
        <item x="24"/>
        <item x="43"/>
        <item x="41"/>
        <item x="51"/>
        <item x="46"/>
        <item x="20"/>
        <item x="49"/>
        <item x="44"/>
        <item x="59"/>
        <item x="50"/>
        <item x="47"/>
        <item x="34"/>
        <item x="70"/>
        <item x="80"/>
        <item x="9"/>
        <item x="5"/>
        <item x="55"/>
        <item x="2"/>
        <item x="75"/>
        <item x="88"/>
        <item x="85"/>
        <item x="0"/>
        <item x="19"/>
        <item x="57"/>
        <item x="17"/>
        <item x="74"/>
        <item x="18"/>
        <item x="76"/>
        <item x="60"/>
        <item x="37"/>
        <item x="36"/>
        <item x="81"/>
        <item x="31"/>
        <item x="61"/>
        <item x="15"/>
        <item x="35"/>
        <item x="8"/>
        <item x="54"/>
        <item x="3"/>
        <item x="64"/>
        <item x="33"/>
        <item x="12"/>
        <item x="63"/>
        <item x="26"/>
        <item x="72"/>
        <item x="13"/>
        <item x="65"/>
        <item x="10"/>
        <item x="66"/>
        <item x="62"/>
        <item x="16"/>
        <item x="79"/>
        <item t="default"/>
      </items>
    </pivotField>
    <pivotField showAll="0">
      <items count="45">
        <item x="0"/>
        <item x="36"/>
        <item x="21"/>
        <item x="29"/>
        <item x="14"/>
        <item x="10"/>
        <item x="34"/>
        <item x="18"/>
        <item x="16"/>
        <item x="32"/>
        <item x="11"/>
        <item x="9"/>
        <item x="33"/>
        <item x="22"/>
        <item x="12"/>
        <item x="6"/>
        <item x="35"/>
        <item x="43"/>
        <item x="27"/>
        <item x="4"/>
        <item x="28"/>
        <item x="5"/>
        <item x="37"/>
        <item x="17"/>
        <item x="13"/>
        <item x="7"/>
        <item x="39"/>
        <item x="24"/>
        <item x="3"/>
        <item x="38"/>
        <item x="23"/>
        <item x="42"/>
        <item x="15"/>
        <item x="30"/>
        <item x="19"/>
        <item x="1"/>
        <item x="41"/>
        <item x="26"/>
        <item x="20"/>
        <item x="2"/>
        <item x="40"/>
        <item x="25"/>
        <item x="8"/>
        <item x="31"/>
        <item t="default"/>
      </items>
    </pivotField>
    <pivotField axis="axisRow" measureFilter="1" sortType="descending" showAll="0">
      <items count="100">
        <item x="88"/>
        <item x="57"/>
        <item x="80"/>
        <item x="7"/>
        <item x="89"/>
        <item x="29"/>
        <item x="3"/>
        <item x="85"/>
        <item x="93"/>
        <item x="59"/>
        <item x="20"/>
        <item x="4"/>
        <item x="71"/>
        <item x="40"/>
        <item x="75"/>
        <item x="2"/>
        <item x="82"/>
        <item x="25"/>
        <item x="87"/>
        <item x="73"/>
        <item x="37"/>
        <item x="78"/>
        <item x="19"/>
        <item x="35"/>
        <item x="55"/>
        <item x="5"/>
        <item x="62"/>
        <item x="43"/>
        <item x="84"/>
        <item x="92"/>
        <item x="70"/>
        <item x="39"/>
        <item x="31"/>
        <item x="64"/>
        <item x="46"/>
        <item x="91"/>
        <item x="58"/>
        <item x="65"/>
        <item x="47"/>
        <item x="97"/>
        <item x="60"/>
        <item x="1"/>
        <item x="77"/>
        <item x="42"/>
        <item x="8"/>
        <item x="51"/>
        <item x="38"/>
        <item x="14"/>
        <item x="83"/>
        <item x="94"/>
        <item x="79"/>
        <item x="56"/>
        <item x="23"/>
        <item x="98"/>
        <item x="33"/>
        <item x="76"/>
        <item x="21"/>
        <item x="34"/>
        <item x="52"/>
        <item x="9"/>
        <item x="63"/>
        <item x="13"/>
        <item x="28"/>
        <item x="16"/>
        <item x="61"/>
        <item x="36"/>
        <item x="41"/>
        <item x="15"/>
        <item x="6"/>
        <item x="66"/>
        <item x="48"/>
        <item x="54"/>
        <item x="0"/>
        <item x="12"/>
        <item x="96"/>
        <item x="10"/>
        <item x="32"/>
        <item x="95"/>
        <item x="26"/>
        <item x="30"/>
        <item x="67"/>
        <item x="49"/>
        <item x="11"/>
        <item x="74"/>
        <item x="44"/>
        <item x="22"/>
        <item x="72"/>
        <item x="17"/>
        <item x="69"/>
        <item x="81"/>
        <item x="27"/>
        <item x="90"/>
        <item x="24"/>
        <item x="68"/>
        <item x="45"/>
        <item x="53"/>
        <item x="18"/>
        <item x="86"/>
        <item x="5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1">
        <item x="1"/>
        <item x="0"/>
        <item x="3"/>
        <item x="6"/>
        <item x="2"/>
        <item x="8"/>
        <item x="4"/>
        <item x="5"/>
        <item x="9"/>
        <item x="7"/>
        <item t="default"/>
      </items>
    </pivotField>
    <pivotField showAll="0">
      <items count="25">
        <item x="2"/>
        <item x="19"/>
        <item x="18"/>
        <item x="13"/>
        <item x="0"/>
        <item x="16"/>
        <item x="12"/>
        <item x="4"/>
        <item x="3"/>
        <item x="10"/>
        <item x="1"/>
        <item x="9"/>
        <item x="6"/>
        <item x="8"/>
        <item x="11"/>
        <item x="14"/>
        <item x="22"/>
        <item x="21"/>
        <item x="15"/>
        <item x="7"/>
        <item x="23"/>
        <item x="5"/>
        <item x="20"/>
        <item x="17"/>
        <item t="default"/>
      </items>
    </pivotField>
    <pivotField showAll="0">
      <items count="63">
        <item x="47"/>
        <item x="55"/>
        <item x="60"/>
        <item x="21"/>
        <item x="36"/>
        <item x="45"/>
        <item x="29"/>
        <item x="14"/>
        <item x="34"/>
        <item x="13"/>
        <item x="58"/>
        <item x="16"/>
        <item x="43"/>
        <item x="11"/>
        <item x="32"/>
        <item x="18"/>
        <item x="49"/>
        <item x="9"/>
        <item x="22"/>
        <item x="33"/>
        <item x="1"/>
        <item x="53"/>
        <item x="10"/>
        <item x="41"/>
        <item x="7"/>
        <item x="51"/>
        <item x="0"/>
        <item x="61"/>
        <item x="23"/>
        <item x="38"/>
        <item x="12"/>
        <item x="27"/>
        <item x="44"/>
        <item x="6"/>
        <item x="15"/>
        <item x="35"/>
        <item x="17"/>
        <item x="56"/>
        <item x="37"/>
        <item x="24"/>
        <item x="39"/>
        <item x="42"/>
        <item x="19"/>
        <item x="26"/>
        <item x="5"/>
        <item x="50"/>
        <item x="3"/>
        <item x="28"/>
        <item x="46"/>
        <item x="30"/>
        <item x="59"/>
        <item x="4"/>
        <item x="20"/>
        <item x="52"/>
        <item x="57"/>
        <item x="25"/>
        <item x="40"/>
        <item x="2"/>
        <item x="54"/>
        <item x="8"/>
        <item x="48"/>
        <item x="31"/>
        <item t="default"/>
      </items>
    </pivotField>
    <pivotField showAll="0">
      <items count="21">
        <item x="2"/>
        <item x="14"/>
        <item x="7"/>
        <item x="9"/>
        <item x="3"/>
        <item x="10"/>
        <item x="8"/>
        <item x="12"/>
        <item x="16"/>
        <item x="1"/>
        <item x="17"/>
        <item x="0"/>
        <item x="5"/>
        <item x="11"/>
        <item x="19"/>
        <item x="4"/>
        <item x="6"/>
        <item x="15"/>
        <item x="18"/>
        <item x="13"/>
        <item t="default"/>
      </items>
    </pivotField>
    <pivotField showAll="0">
      <items count="11">
        <item x="5"/>
        <item x="0"/>
        <item x="2"/>
        <item x="7"/>
        <item x="3"/>
        <item x="4"/>
        <item x="9"/>
        <item x="8"/>
        <item x="1"/>
        <item x="6"/>
        <item t="default"/>
      </items>
    </pivotField>
    <pivotField showAll="0">
      <items count="69">
        <item x="60"/>
        <item x="47"/>
        <item x="14"/>
        <item x="61"/>
        <item x="40"/>
        <item x="25"/>
        <item x="2"/>
        <item x="54"/>
        <item x="34"/>
        <item x="7"/>
        <item x="62"/>
        <item x="51"/>
        <item x="39"/>
        <item x="24"/>
        <item x="18"/>
        <item x="9"/>
        <item x="33"/>
        <item x="22"/>
        <item x="41"/>
        <item x="56"/>
        <item x="17"/>
        <item x="37"/>
        <item x="3"/>
        <item x="46"/>
        <item x="28"/>
        <item x="63"/>
        <item x="30"/>
        <item x="65"/>
        <item x="36"/>
        <item x="21"/>
        <item x="45"/>
        <item x="10"/>
        <item x="19"/>
        <item x="8"/>
        <item x="48"/>
        <item x="31"/>
        <item x="43"/>
        <item x="16"/>
        <item x="12"/>
        <item x="57"/>
        <item x="1"/>
        <item x="53"/>
        <item x="58"/>
        <item x="38"/>
        <item x="23"/>
        <item x="0"/>
        <item x="67"/>
        <item x="55"/>
        <item x="32"/>
        <item x="11"/>
        <item x="26"/>
        <item x="5"/>
        <item x="50"/>
        <item x="66"/>
        <item x="4"/>
        <item x="59"/>
        <item x="52"/>
        <item x="20"/>
        <item x="44"/>
        <item x="27"/>
        <item x="6"/>
        <item x="35"/>
        <item x="15"/>
        <item x="29"/>
        <item x="42"/>
        <item x="13"/>
        <item x="64"/>
        <item x="49"/>
        <item t="default"/>
      </items>
    </pivotField>
    <pivotField showAll="0">
      <items count="16">
        <item x="13"/>
        <item x="3"/>
        <item x="12"/>
        <item x="7"/>
        <item x="5"/>
        <item x="8"/>
        <item x="4"/>
        <item x="9"/>
        <item x="10"/>
        <item x="14"/>
        <item x="6"/>
        <item x="11"/>
        <item x="2"/>
        <item x="1"/>
        <item x="0"/>
        <item t="default"/>
      </items>
    </pivotField>
    <pivotField showAll="0">
      <items count="23">
        <item x="2"/>
        <item x="12"/>
        <item x="8"/>
        <item x="14"/>
        <item x="17"/>
        <item x="11"/>
        <item x="1"/>
        <item x="21"/>
        <item x="6"/>
        <item x="16"/>
        <item x="18"/>
        <item x="4"/>
        <item x="10"/>
        <item x="0"/>
        <item x="19"/>
        <item x="7"/>
        <item x="13"/>
        <item x="20"/>
        <item x="3"/>
        <item x="9"/>
        <item x="5"/>
        <item x="15"/>
        <item t="default"/>
      </items>
    </pivotField>
    <pivotField showAll="0">
      <items count="20">
        <item x="2"/>
        <item x="12"/>
        <item x="8"/>
        <item x="14"/>
        <item x="17"/>
        <item x="11"/>
        <item x="1"/>
        <item x="6"/>
        <item x="4"/>
        <item x="16"/>
        <item x="10"/>
        <item x="0"/>
        <item x="18"/>
        <item x="7"/>
        <item x="13"/>
        <item x="3"/>
        <item x="9"/>
        <item x="5"/>
        <item x="15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dataField="1" showAll="0">
      <items count="11">
        <item x="2"/>
        <item x="9"/>
        <item x="0"/>
        <item x="4"/>
        <item x="3"/>
        <item x="8"/>
        <item x="1"/>
        <item x="7"/>
        <item x="6"/>
        <item x="5"/>
        <item t="default"/>
      </items>
    </pivotField>
    <pivotField showAll="0">
      <items count="14">
        <item x="2"/>
        <item x="12"/>
        <item x="0"/>
        <item x="4"/>
        <item x="8"/>
        <item x="3"/>
        <item x="9"/>
        <item x="1"/>
        <item x="6"/>
        <item x="7"/>
        <item x="10"/>
        <item x="5"/>
        <item x="11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numFmtId="2" showAll="0">
      <items count="45">
        <item x="2"/>
        <item x="22"/>
        <item x="15"/>
        <item x="17"/>
        <item x="4"/>
        <item x="20"/>
        <item x="0"/>
        <item x="11"/>
        <item x="16"/>
        <item x="1"/>
        <item x="18"/>
        <item x="6"/>
        <item x="24"/>
        <item x="7"/>
        <item x="3"/>
        <item x="12"/>
        <item x="10"/>
        <item x="14"/>
        <item x="38"/>
        <item x="13"/>
        <item x="36"/>
        <item x="9"/>
        <item x="19"/>
        <item x="30"/>
        <item x="8"/>
        <item x="25"/>
        <item x="43"/>
        <item x="35"/>
        <item x="31"/>
        <item x="32"/>
        <item x="33"/>
        <item x="42"/>
        <item x="27"/>
        <item x="5"/>
        <item x="26"/>
        <item x="34"/>
        <item x="23"/>
        <item x="37"/>
        <item x="21"/>
        <item x="40"/>
        <item x="41"/>
        <item x="39"/>
        <item x="29"/>
        <item x="28"/>
        <item t="default"/>
      </items>
    </pivotField>
    <pivotField numFmtId="2" showAll="0">
      <items count="45">
        <item x="2"/>
        <item x="22"/>
        <item x="15"/>
        <item x="17"/>
        <item x="4"/>
        <item x="20"/>
        <item x="0"/>
        <item x="11"/>
        <item x="16"/>
        <item x="1"/>
        <item x="18"/>
        <item x="6"/>
        <item x="24"/>
        <item x="7"/>
        <item x="3"/>
        <item x="12"/>
        <item x="10"/>
        <item x="14"/>
        <item x="38"/>
        <item x="13"/>
        <item x="36"/>
        <item x="9"/>
        <item x="19"/>
        <item x="30"/>
        <item x="8"/>
        <item x="25"/>
        <item x="43"/>
        <item x="35"/>
        <item x="31"/>
        <item x="32"/>
        <item x="33"/>
        <item x="42"/>
        <item x="27"/>
        <item x="5"/>
        <item x="26"/>
        <item x="34"/>
        <item x="23"/>
        <item x="37"/>
        <item x="21"/>
        <item x="40"/>
        <item x="41"/>
        <item x="39"/>
        <item x="29"/>
        <item x="28"/>
        <item t="default"/>
      </items>
    </pivotField>
  </pivotFields>
  <rowFields count="1">
    <field x="5"/>
  </rowFields>
  <rowItems count="6">
    <i>
      <x v="39"/>
    </i>
    <i>
      <x v="77"/>
    </i>
    <i>
      <x v="98"/>
    </i>
    <i>
      <x v="35"/>
    </i>
    <i>
      <x v="4"/>
    </i>
    <i t="grand">
      <x/>
    </i>
  </rowItems>
  <colItems count="1">
    <i/>
  </colItems>
  <dataFields count="1">
    <dataField name="Sum of  Maintenance Cost (USD/year) " fld="16" baseField="0" baseItem="0"/>
  </dataFields>
  <formats count="13">
    <format dxfId="75">
      <pivotArea outline="0" collapsedLevelsAreSubtotals="1" fieldPosition="0"/>
    </format>
    <format dxfId="76">
      <pivotArea collapsedLevelsAreSubtotals="1" fieldPosition="0"/>
    </format>
    <format dxfId="77">
      <pivotArea collapsedLevelsAreSubtotals="1" fieldPosition="0"/>
    </format>
    <format dxfId="78">
      <pivotArea collapsedLevelsAreSubtotals="1" fieldPosition="0"/>
    </format>
    <format dxfId="79">
      <pivotArea collapsedLevelsAreSubtotals="1" fieldPosition="0"/>
    </format>
    <format dxfId="80">
      <pivotArea collapsedLevelsAreSubtotals="1" fieldPosition="0"/>
    </format>
    <format dxfId="81">
      <pivotArea collapsedLevelsAreSubtotals="1" fieldPosition="0"/>
    </format>
    <format dxfId="82">
      <pivotArea collapsedLevelsAreSubtotals="1" fieldPosition="0"/>
    </format>
    <format dxfId="83">
      <pivotArea collapsedLevelsAreSubtotals="1" fieldPosition="0"/>
    </format>
    <format dxfId="84">
      <pivotArea collapsedLevelsAreSubtotals="1" fieldPosition="0"/>
    </format>
    <format dxfId="85">
      <pivotArea collapsedLevelsAreSubtotals="1" fieldPosition="0"/>
    </format>
    <format dxfId="86">
      <pivotArea collapsedLevelsAreSubtotals="1" fieldPosition="0"/>
    </format>
    <format dxfId="87">
      <pivotArea collapsedLevelsAreSubtotals="1" fieldPosition="0"/>
    </format>
  </formats>
  <pivotTableStyleInfo name="PivotStyleLight16" showRowHeaders="1" showColHeaders="1" showLastColumn="1"/>
  <filters count="1">
    <filter evalOrder="-1" fld="5" iMeasureFld="0" id="4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>
  <location ref="A70:A71" firstHeaderRow="1" firstDataRow="1" firstDataCol="0"/>
  <pivotFields count="21">
    <pivotField showAll="0">
      <items count="2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showAll="0">
      <items count="110">
        <item x="83"/>
        <item x="101"/>
        <item x="32"/>
        <item x="14"/>
        <item x="104"/>
        <item x="58"/>
        <item x="52"/>
        <item x="74"/>
        <item x="65"/>
        <item x="1"/>
        <item x="21"/>
        <item x="100"/>
        <item x="90"/>
        <item x="95"/>
        <item x="22"/>
        <item x="105"/>
        <item x="29"/>
        <item x="88"/>
        <item x="102"/>
        <item x="7"/>
        <item x="84"/>
        <item x="11"/>
        <item x="28"/>
        <item x="106"/>
        <item x="38"/>
        <item x="6"/>
        <item x="53"/>
        <item x="75"/>
        <item x="66"/>
        <item x="23"/>
        <item x="86"/>
        <item x="27"/>
        <item x="96"/>
        <item x="4"/>
        <item x="91"/>
        <item x="56"/>
        <item x="40"/>
        <item x="25"/>
        <item x="39"/>
        <item x="48"/>
        <item x="30"/>
        <item x="42"/>
        <item x="45"/>
        <item x="24"/>
        <item x="43"/>
        <item x="41"/>
        <item x="51"/>
        <item x="46"/>
        <item x="20"/>
        <item x="49"/>
        <item x="44"/>
        <item x="59"/>
        <item x="50"/>
        <item x="47"/>
        <item x="34"/>
        <item x="87"/>
        <item x="9"/>
        <item x="98"/>
        <item x="5"/>
        <item x="55"/>
        <item x="77"/>
        <item x="68"/>
        <item x="2"/>
        <item x="93"/>
        <item x="108"/>
        <item x="103"/>
        <item x="0"/>
        <item x="57"/>
        <item x="19"/>
        <item x="85"/>
        <item x="17"/>
        <item x="92"/>
        <item x="94"/>
        <item x="18"/>
        <item x="60"/>
        <item x="37"/>
        <item x="36"/>
        <item x="99"/>
        <item x="31"/>
        <item x="61"/>
        <item x="78"/>
        <item x="69"/>
        <item x="15"/>
        <item x="35"/>
        <item x="54"/>
        <item x="76"/>
        <item x="67"/>
        <item x="8"/>
        <item x="3"/>
        <item x="73"/>
        <item x="64"/>
        <item x="33"/>
        <item x="63"/>
        <item x="80"/>
        <item x="71"/>
        <item x="12"/>
        <item x="107"/>
        <item x="89"/>
        <item x="26"/>
        <item x="81"/>
        <item x="72"/>
        <item x="13"/>
        <item x="10"/>
        <item x="82"/>
        <item x="62"/>
        <item x="79"/>
        <item x="70"/>
        <item x="97"/>
        <item x="16"/>
        <item t="default"/>
      </items>
    </pivotField>
    <pivotField showAll="0">
      <items count="70">
        <item x="24"/>
        <item x="65"/>
        <item x="54"/>
        <item x="1"/>
        <item x="44"/>
        <item x="61"/>
        <item x="16"/>
        <item x="13"/>
        <item x="43"/>
        <item x="21"/>
        <item x="27"/>
        <item x="67"/>
        <item x="57"/>
        <item x="68"/>
        <item x="50"/>
        <item x="18"/>
        <item x="36"/>
        <item x="17"/>
        <item x="58"/>
        <item x="11"/>
        <item x="33"/>
        <item x="10"/>
        <item x="53"/>
        <item x="28"/>
        <item x="34"/>
        <item x="7"/>
        <item x="62"/>
        <item x="20"/>
        <item x="31"/>
        <item x="42"/>
        <item x="6"/>
        <item x="45"/>
        <item x="25"/>
        <item x="55"/>
        <item x="8"/>
        <item x="46"/>
        <item x="64"/>
        <item x="5"/>
        <item x="47"/>
        <item x="2"/>
        <item x="59"/>
        <item x="19"/>
        <item x="37"/>
        <item x="48"/>
        <item x="32"/>
        <item x="41"/>
        <item x="0"/>
        <item x="22"/>
        <item x="63"/>
        <item x="49"/>
        <item x="14"/>
        <item x="38"/>
        <item x="30"/>
        <item x="39"/>
        <item x="23"/>
        <item x="15"/>
        <item x="40"/>
        <item x="4"/>
        <item x="29"/>
        <item x="35"/>
        <item x="9"/>
        <item x="3"/>
        <item x="52"/>
        <item x="12"/>
        <item x="51"/>
        <item x="56"/>
        <item x="26"/>
        <item x="66"/>
        <item x="60"/>
        <item t="default"/>
      </items>
    </pivotField>
    <pivotField showAll="0">
      <items count="90">
        <item x="67"/>
        <item x="32"/>
        <item x="83"/>
        <item x="14"/>
        <item x="58"/>
        <item x="1"/>
        <item x="52"/>
        <item x="21"/>
        <item x="82"/>
        <item x="73"/>
        <item x="77"/>
        <item x="22"/>
        <item x="86"/>
        <item x="29"/>
        <item x="71"/>
        <item x="7"/>
        <item x="84"/>
        <item x="11"/>
        <item x="68"/>
        <item x="28"/>
        <item x="87"/>
        <item x="38"/>
        <item x="6"/>
        <item x="53"/>
        <item x="23"/>
        <item x="27"/>
        <item x="69"/>
        <item x="78"/>
        <item x="4"/>
        <item x="56"/>
        <item x="40"/>
        <item x="25"/>
        <item x="39"/>
        <item x="48"/>
        <item x="30"/>
        <item x="42"/>
        <item x="45"/>
        <item x="24"/>
        <item x="43"/>
        <item x="41"/>
        <item x="51"/>
        <item x="46"/>
        <item x="20"/>
        <item x="49"/>
        <item x="44"/>
        <item x="59"/>
        <item x="50"/>
        <item x="47"/>
        <item x="34"/>
        <item x="70"/>
        <item x="80"/>
        <item x="9"/>
        <item x="5"/>
        <item x="55"/>
        <item x="2"/>
        <item x="75"/>
        <item x="88"/>
        <item x="85"/>
        <item x="0"/>
        <item x="19"/>
        <item x="57"/>
        <item x="17"/>
        <item x="74"/>
        <item x="18"/>
        <item x="76"/>
        <item x="60"/>
        <item x="37"/>
        <item x="36"/>
        <item x="81"/>
        <item x="31"/>
        <item x="61"/>
        <item x="15"/>
        <item x="35"/>
        <item x="8"/>
        <item x="54"/>
        <item x="3"/>
        <item x="64"/>
        <item x="33"/>
        <item x="12"/>
        <item x="63"/>
        <item x="26"/>
        <item x="72"/>
        <item x="13"/>
        <item x="65"/>
        <item x="10"/>
        <item x="66"/>
        <item x="62"/>
        <item x="16"/>
        <item x="79"/>
        <item t="default"/>
      </items>
    </pivotField>
    <pivotField showAll="0">
      <items count="45">
        <item x="0"/>
        <item x="36"/>
        <item x="21"/>
        <item x="29"/>
        <item x="14"/>
        <item x="10"/>
        <item x="34"/>
        <item x="18"/>
        <item x="16"/>
        <item x="32"/>
        <item x="11"/>
        <item x="9"/>
        <item x="33"/>
        <item x="22"/>
        <item x="12"/>
        <item x="6"/>
        <item x="35"/>
        <item x="43"/>
        <item x="27"/>
        <item x="4"/>
        <item x="28"/>
        <item x="5"/>
        <item x="37"/>
        <item x="17"/>
        <item x="13"/>
        <item x="7"/>
        <item x="39"/>
        <item x="24"/>
        <item x="3"/>
        <item x="38"/>
        <item x="23"/>
        <item x="42"/>
        <item x="15"/>
        <item x="30"/>
        <item x="19"/>
        <item x="1"/>
        <item x="41"/>
        <item x="26"/>
        <item x="20"/>
        <item x="2"/>
        <item x="40"/>
        <item x="25"/>
        <item x="8"/>
        <item x="31"/>
        <item t="default"/>
      </items>
    </pivotField>
    <pivotField showAll="0">
      <items count="100">
        <item x="50"/>
        <item x="86"/>
        <item x="18"/>
        <item x="53"/>
        <item x="45"/>
        <item x="68"/>
        <item x="24"/>
        <item x="90"/>
        <item x="27"/>
        <item x="81"/>
        <item x="69"/>
        <item x="17"/>
        <item x="72"/>
        <item x="22"/>
        <item x="44"/>
        <item x="74"/>
        <item x="11"/>
        <item x="49"/>
        <item x="67"/>
        <item x="30"/>
        <item x="26"/>
        <item x="95"/>
        <item x="32"/>
        <item x="10"/>
        <item x="96"/>
        <item x="12"/>
        <item x="0"/>
        <item x="54"/>
        <item x="48"/>
        <item x="66"/>
        <item x="6"/>
        <item x="15"/>
        <item x="41"/>
        <item x="36"/>
        <item x="61"/>
        <item x="16"/>
        <item x="28"/>
        <item x="13"/>
        <item x="63"/>
        <item x="9"/>
        <item x="52"/>
        <item x="34"/>
        <item x="21"/>
        <item x="76"/>
        <item x="33"/>
        <item x="98"/>
        <item x="23"/>
        <item x="56"/>
        <item x="79"/>
        <item x="94"/>
        <item x="83"/>
        <item x="14"/>
        <item x="38"/>
        <item x="51"/>
        <item x="8"/>
        <item x="42"/>
        <item x="77"/>
        <item x="1"/>
        <item x="60"/>
        <item x="97"/>
        <item x="47"/>
        <item x="65"/>
        <item x="58"/>
        <item x="91"/>
        <item x="46"/>
        <item x="64"/>
        <item x="31"/>
        <item x="39"/>
        <item x="70"/>
        <item x="92"/>
        <item x="84"/>
        <item x="43"/>
        <item x="62"/>
        <item x="5"/>
        <item x="55"/>
        <item x="35"/>
        <item x="19"/>
        <item x="78"/>
        <item x="37"/>
        <item x="73"/>
        <item x="87"/>
        <item x="25"/>
        <item x="82"/>
        <item x="2"/>
        <item x="75"/>
        <item x="40"/>
        <item x="71"/>
        <item x="4"/>
        <item x="20"/>
        <item x="59"/>
        <item x="93"/>
        <item x="85"/>
        <item x="3"/>
        <item x="29"/>
        <item x="89"/>
        <item x="7"/>
        <item x="80"/>
        <item x="57"/>
        <item x="88"/>
        <item t="default"/>
      </items>
    </pivotField>
    <pivotField dataField="1" showAll="0">
      <items count="11">
        <item x="1"/>
        <item x="0"/>
        <item x="3"/>
        <item x="6"/>
        <item x="2"/>
        <item x="8"/>
        <item x="4"/>
        <item x="5"/>
        <item x="9"/>
        <item x="7"/>
        <item t="default"/>
      </items>
    </pivotField>
    <pivotField showAll="0">
      <items count="25">
        <item x="2"/>
        <item x="19"/>
        <item x="18"/>
        <item x="13"/>
        <item x="0"/>
        <item x="16"/>
        <item x="12"/>
        <item x="4"/>
        <item x="3"/>
        <item x="10"/>
        <item x="1"/>
        <item x="9"/>
        <item x="6"/>
        <item x="8"/>
        <item x="11"/>
        <item x="14"/>
        <item x="22"/>
        <item x="21"/>
        <item x="15"/>
        <item x="7"/>
        <item x="23"/>
        <item x="5"/>
        <item x="20"/>
        <item x="17"/>
        <item t="default"/>
      </items>
    </pivotField>
    <pivotField showAll="0">
      <items count="63">
        <item x="47"/>
        <item x="55"/>
        <item x="60"/>
        <item x="21"/>
        <item x="36"/>
        <item x="45"/>
        <item x="29"/>
        <item x="14"/>
        <item x="34"/>
        <item x="13"/>
        <item x="58"/>
        <item x="16"/>
        <item x="43"/>
        <item x="11"/>
        <item x="32"/>
        <item x="18"/>
        <item x="49"/>
        <item x="9"/>
        <item x="22"/>
        <item x="33"/>
        <item x="1"/>
        <item x="53"/>
        <item x="10"/>
        <item x="41"/>
        <item x="7"/>
        <item x="51"/>
        <item x="0"/>
        <item x="61"/>
        <item x="23"/>
        <item x="38"/>
        <item x="12"/>
        <item x="27"/>
        <item x="44"/>
        <item x="6"/>
        <item x="15"/>
        <item x="35"/>
        <item x="17"/>
        <item x="56"/>
        <item x="37"/>
        <item x="24"/>
        <item x="39"/>
        <item x="42"/>
        <item x="19"/>
        <item x="26"/>
        <item x="5"/>
        <item x="50"/>
        <item x="3"/>
        <item x="28"/>
        <item x="46"/>
        <item x="30"/>
        <item x="59"/>
        <item x="4"/>
        <item x="20"/>
        <item x="52"/>
        <item x="57"/>
        <item x="25"/>
        <item x="40"/>
        <item x="2"/>
        <item x="54"/>
        <item x="8"/>
        <item x="48"/>
        <item x="31"/>
        <item t="default"/>
      </items>
    </pivotField>
    <pivotField showAll="0">
      <items count="21">
        <item x="2"/>
        <item x="14"/>
        <item x="7"/>
        <item x="9"/>
        <item x="3"/>
        <item x="10"/>
        <item x="8"/>
        <item x="12"/>
        <item x="16"/>
        <item x="1"/>
        <item x="17"/>
        <item x="0"/>
        <item x="5"/>
        <item x="11"/>
        <item x="19"/>
        <item x="4"/>
        <item x="6"/>
        <item x="15"/>
        <item x="18"/>
        <item x="13"/>
        <item t="default"/>
      </items>
    </pivotField>
    <pivotField showAll="0">
      <items count="11">
        <item x="5"/>
        <item x="0"/>
        <item x="2"/>
        <item x="7"/>
        <item x="3"/>
        <item x="4"/>
        <item x="9"/>
        <item x="8"/>
        <item x="1"/>
        <item x="6"/>
        <item t="default"/>
      </items>
    </pivotField>
    <pivotField showAll="0">
      <items count="69">
        <item x="60"/>
        <item x="47"/>
        <item x="14"/>
        <item x="61"/>
        <item x="40"/>
        <item x="25"/>
        <item x="2"/>
        <item x="54"/>
        <item x="34"/>
        <item x="7"/>
        <item x="62"/>
        <item x="51"/>
        <item x="39"/>
        <item x="24"/>
        <item x="18"/>
        <item x="9"/>
        <item x="33"/>
        <item x="22"/>
        <item x="41"/>
        <item x="56"/>
        <item x="17"/>
        <item x="37"/>
        <item x="3"/>
        <item x="46"/>
        <item x="28"/>
        <item x="63"/>
        <item x="30"/>
        <item x="65"/>
        <item x="36"/>
        <item x="21"/>
        <item x="45"/>
        <item x="10"/>
        <item x="19"/>
        <item x="8"/>
        <item x="48"/>
        <item x="31"/>
        <item x="43"/>
        <item x="16"/>
        <item x="12"/>
        <item x="57"/>
        <item x="1"/>
        <item x="53"/>
        <item x="58"/>
        <item x="38"/>
        <item x="23"/>
        <item x="0"/>
        <item x="67"/>
        <item x="55"/>
        <item x="32"/>
        <item x="11"/>
        <item x="26"/>
        <item x="5"/>
        <item x="50"/>
        <item x="66"/>
        <item x="4"/>
        <item x="59"/>
        <item x="52"/>
        <item x="20"/>
        <item x="44"/>
        <item x="27"/>
        <item x="6"/>
        <item x="35"/>
        <item x="15"/>
        <item x="29"/>
        <item x="42"/>
        <item x="13"/>
        <item x="64"/>
        <item x="49"/>
        <item t="default"/>
      </items>
    </pivotField>
    <pivotField showAll="0">
      <items count="16">
        <item x="13"/>
        <item x="3"/>
        <item x="12"/>
        <item x="7"/>
        <item x="5"/>
        <item x="8"/>
        <item x="4"/>
        <item x="9"/>
        <item x="10"/>
        <item x="14"/>
        <item x="6"/>
        <item x="11"/>
        <item x="2"/>
        <item x="1"/>
        <item x="0"/>
        <item t="default"/>
      </items>
    </pivotField>
    <pivotField showAll="0">
      <items count="23">
        <item x="2"/>
        <item x="12"/>
        <item x="8"/>
        <item x="14"/>
        <item x="17"/>
        <item x="11"/>
        <item x="1"/>
        <item x="21"/>
        <item x="6"/>
        <item x="16"/>
        <item x="18"/>
        <item x="4"/>
        <item x="10"/>
        <item x="0"/>
        <item x="19"/>
        <item x="7"/>
        <item x="13"/>
        <item x="20"/>
        <item x="3"/>
        <item x="9"/>
        <item x="5"/>
        <item x="15"/>
        <item t="default"/>
      </items>
    </pivotField>
    <pivotField showAll="0">
      <items count="20">
        <item x="2"/>
        <item x="12"/>
        <item x="8"/>
        <item x="14"/>
        <item x="17"/>
        <item x="11"/>
        <item x="1"/>
        <item x="6"/>
        <item x="4"/>
        <item x="16"/>
        <item x="10"/>
        <item x="0"/>
        <item x="18"/>
        <item x="7"/>
        <item x="13"/>
        <item x="3"/>
        <item x="9"/>
        <item x="5"/>
        <item x="15"/>
        <item t="default"/>
      </items>
    </pivotField>
    <pivotField showAll="0">
      <items count="6">
        <item x="2"/>
        <item x="0"/>
        <item x="1"/>
        <item x="3"/>
        <item x="4"/>
        <item t="default"/>
      </items>
    </pivotField>
    <pivotField showAll="0">
      <items count="11">
        <item x="2"/>
        <item x="9"/>
        <item x="0"/>
        <item x="4"/>
        <item x="3"/>
        <item x="8"/>
        <item x="1"/>
        <item x="7"/>
        <item x="6"/>
        <item x="5"/>
        <item t="default"/>
      </items>
    </pivotField>
    <pivotField showAll="0">
      <items count="14">
        <item x="2"/>
        <item x="12"/>
        <item x="0"/>
        <item x="4"/>
        <item x="8"/>
        <item x="3"/>
        <item x="9"/>
        <item x="1"/>
        <item x="6"/>
        <item x="7"/>
        <item x="10"/>
        <item x="5"/>
        <item x="11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numFmtId="2" showAll="0">
      <items count="45">
        <item x="2"/>
        <item x="22"/>
        <item x="15"/>
        <item x="17"/>
        <item x="4"/>
        <item x="20"/>
        <item x="0"/>
        <item x="11"/>
        <item x="16"/>
        <item x="1"/>
        <item x="18"/>
        <item x="6"/>
        <item x="24"/>
        <item x="7"/>
        <item x="3"/>
        <item x="12"/>
        <item x="10"/>
        <item x="14"/>
        <item x="38"/>
        <item x="13"/>
        <item x="36"/>
        <item x="9"/>
        <item x="19"/>
        <item x="30"/>
        <item x="8"/>
        <item x="25"/>
        <item x="43"/>
        <item x="35"/>
        <item x="31"/>
        <item x="32"/>
        <item x="33"/>
        <item x="42"/>
        <item x="27"/>
        <item x="5"/>
        <item x="26"/>
        <item x="34"/>
        <item x="23"/>
        <item x="37"/>
        <item x="21"/>
        <item x="40"/>
        <item x="41"/>
        <item x="39"/>
        <item x="29"/>
        <item x="28"/>
        <item t="default"/>
      </items>
    </pivotField>
    <pivotField numFmtId="2" showAll="0">
      <items count="45">
        <item x="2"/>
        <item x="22"/>
        <item x="15"/>
        <item x="17"/>
        <item x="4"/>
        <item x="20"/>
        <item x="0"/>
        <item x="11"/>
        <item x="16"/>
        <item x="1"/>
        <item x="18"/>
        <item x="6"/>
        <item x="24"/>
        <item x="7"/>
        <item x="3"/>
        <item x="12"/>
        <item x="10"/>
        <item x="14"/>
        <item x="38"/>
        <item x="13"/>
        <item x="36"/>
        <item x="9"/>
        <item x="19"/>
        <item x="30"/>
        <item x="8"/>
        <item x="25"/>
        <item x="43"/>
        <item x="35"/>
        <item x="31"/>
        <item x="32"/>
        <item x="33"/>
        <item x="42"/>
        <item x="27"/>
        <item x="5"/>
        <item x="26"/>
        <item x="34"/>
        <item x="23"/>
        <item x="37"/>
        <item x="21"/>
        <item x="40"/>
        <item x="41"/>
        <item x="39"/>
        <item x="29"/>
        <item x="28"/>
        <item t="default"/>
      </items>
    </pivotField>
  </pivotFields>
  <dataFields count="1">
    <dataField name="Total  Maintenance Cost " fld="6" baseField="0" baseItem="0"/>
  </dataFields>
  <formats count="5">
    <format dxfId="88">
      <pivotArea outline="0" collapsedLevelsAreSubtotals="1" fieldPosition="0"/>
    </format>
    <format dxfId="89">
      <pivotArea type="all" dataOnly="0" outline="0" fieldPosition="0"/>
    </format>
    <format dxfId="90">
      <pivotArea outline="0" collapsedLevelsAreSubtotals="1" fieldPosition="0"/>
    </format>
    <format dxfId="91">
      <pivotArea dataOnly="0" labelOnly="1" outline="0" fieldPosition="0"/>
    </format>
    <format dxfId="92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_Location___" sourceName=" Location    ">
  <pivotTables>
    <pivotTable tabId="20" name="PivotTable2"/>
  </pivotTables>
  <data>
    <tabular pivotCacheId="1">
      <items count="89">
        <i x="67" s="1"/>
        <i x="32" s="1"/>
        <i x="83" s="1"/>
        <i x="14" s="1"/>
        <i x="58" s="1"/>
        <i x="1" s="1"/>
        <i x="52" s="1"/>
        <i x="21" s="1"/>
        <i x="82" s="1"/>
        <i x="73" s="1"/>
        <i x="77" s="1"/>
        <i x="22" s="1"/>
        <i x="86" s="1"/>
        <i x="29" s="1"/>
        <i x="71" s="1"/>
        <i x="7" s="1"/>
        <i x="84" s="1"/>
        <i x="11" s="1"/>
        <i x="68" s="1"/>
        <i x="28" s="1"/>
        <i x="87" s="1"/>
        <i x="38" s="1"/>
        <i x="6" s="1"/>
        <i x="53" s="1"/>
        <i x="23" s="1"/>
        <i x="27" s="1"/>
        <i x="69" s="1"/>
        <i x="78" s="1"/>
        <i x="4" s="1"/>
        <i x="56" s="1"/>
        <i x="40" s="1"/>
        <i x="25" s="1"/>
        <i x="39" s="1"/>
        <i x="48" s="1"/>
        <i x="30" s="1"/>
        <i x="42" s="1"/>
        <i x="45" s="1"/>
        <i x="24" s="1"/>
        <i x="43" s="1"/>
        <i x="41" s="1"/>
        <i x="51" s="1"/>
        <i x="46" s="1"/>
        <i x="20" s="1"/>
        <i x="49" s="1"/>
        <i x="44" s="1"/>
        <i x="59" s="1"/>
        <i x="50" s="1"/>
        <i x="47" s="1"/>
        <i x="34" s="1"/>
        <i x="70" s="1"/>
        <i x="80" s="1"/>
        <i x="9" s="1"/>
        <i x="5" s="1"/>
        <i x="55" s="1"/>
        <i x="2" s="1"/>
        <i x="75" s="1"/>
        <i x="88" s="1"/>
        <i x="85" s="1"/>
        <i x="0" s="1"/>
        <i x="19" s="1"/>
        <i x="57" s="1"/>
        <i x="17" s="1"/>
        <i x="74" s="1"/>
        <i x="18" s="1"/>
        <i x="76" s="1"/>
        <i x="60" s="1"/>
        <i x="37" s="1"/>
        <i x="36" s="1"/>
        <i x="81" s="1"/>
        <i x="31" s="1"/>
        <i x="61" s="1"/>
        <i x="15" s="1"/>
        <i x="35" s="1"/>
        <i x="8" s="1"/>
        <i x="54" s="1"/>
        <i x="3" s="1"/>
        <i x="64" s="1"/>
        <i x="33" s="1"/>
        <i x="12" s="1"/>
        <i x="63" s="1"/>
        <i x="26" s="1"/>
        <i x="72" s="1"/>
        <i x="13" s="1"/>
        <i x="65" s="1"/>
        <i x="10" s="1"/>
        <i x="66" s="1"/>
        <i x="62" s="1"/>
        <i x="16" s="1"/>
        <i x="79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 Location    " cache="Slicer__Location___" caption=" Location    " columnCount="3" rowHeight="173736"/>
</slicers>
</file>

<file path=xl/tables/table1.xml><?xml version="1.0" encoding="utf-8"?>
<table xmlns="http://schemas.openxmlformats.org/spreadsheetml/2006/main" id="1" name="Procurement_data" displayName="Procurement_data" ref="A1:U262" totalsRowCount="1">
  <autoFilter xmlns:etc="http://www.wps.cn/officeDocument/2017/etCustomData" ref="A1:U261" etc:filterBottomFollowUsedRange="0">
    <filterColumn colId="0">
      <filters>
        <filter val="100"/>
        <filter val="1"/>
        <filter val="101"/>
        <filter val="2"/>
        <filter val="102"/>
        <filter val="3"/>
        <filter val="103"/>
        <filter val="4"/>
        <filter val="104"/>
        <filter val="5"/>
        <filter val="105"/>
        <filter val="6"/>
        <filter val="106"/>
        <filter val="7"/>
        <filter val="107"/>
        <filter val="8"/>
        <filter val="108"/>
        <filter val="9"/>
        <filter val="109"/>
        <filter val="110"/>
        <filter val="111"/>
        <filter val="112"/>
        <filter val="113"/>
        <filter val="114"/>
        <filter val="115"/>
        <filter val="116"/>
        <filter val="117"/>
        <filter val="118"/>
        <filter val="119"/>
        <filter val="120"/>
        <filter val="121"/>
        <filter val="122"/>
        <filter val="123"/>
        <filter val="124"/>
        <filter val="125"/>
        <filter val="126"/>
        <filter val="127"/>
        <filter val="128"/>
        <filter val="129"/>
        <filter val="130"/>
        <filter val="131"/>
        <filter val="132"/>
        <filter val="133"/>
        <filter val="134"/>
        <filter val="135"/>
        <filter val="136"/>
        <filter val="137"/>
        <filter val="138"/>
        <filter val="139"/>
        <filter val="140"/>
        <filter val="141"/>
        <filter val="142"/>
        <filter val="143"/>
        <filter val="144"/>
        <filter val="145"/>
        <filter val="146"/>
        <filter val="147"/>
        <filter val="148"/>
        <filter val="149"/>
        <filter val="150"/>
        <filter val="151"/>
        <filter val="152"/>
        <filter val="153"/>
        <filter val="154"/>
        <filter val="155"/>
        <filter val="156"/>
        <filter val="157"/>
        <filter val="158"/>
        <filter val="159"/>
        <filter val="160"/>
        <filter val="161"/>
        <filter val="162"/>
        <filter val="163"/>
        <filter val="164"/>
        <filter val="165"/>
        <filter val="166"/>
        <filter val="167"/>
        <filter val="168"/>
        <filter val="169"/>
        <filter val="170"/>
        <filter val="171"/>
        <filter val="172"/>
        <filter val="173"/>
        <filter val="174"/>
        <filter val="175"/>
        <filter val="176"/>
        <filter val="177"/>
        <filter val="178"/>
        <filter val="179"/>
        <filter val="180"/>
        <filter val="181"/>
        <filter val="182"/>
        <filter val="183"/>
        <filter val="184"/>
        <filter val="185"/>
        <filter val="186"/>
        <filter val="187"/>
        <filter val="188"/>
        <filter val="189"/>
        <filter val="190"/>
        <filter val="191"/>
        <filter val="192"/>
        <filter val="193"/>
        <filter val="194"/>
        <filter val="195"/>
        <filter val="196"/>
        <filter val="197"/>
        <filter val="198"/>
        <filter val="199"/>
        <filter val="200"/>
        <filter val="201"/>
        <filter val="202"/>
        <filter val="203"/>
        <filter val="204"/>
        <filter val="205"/>
        <filter val="206"/>
        <filter val="207"/>
        <filter val="208"/>
        <filter val="209"/>
        <filter val="210"/>
        <filter val="211"/>
        <filter val="212"/>
        <filter val="213"/>
        <filter val="214"/>
        <filter val="215"/>
        <filter val="216"/>
        <filter val="217"/>
        <filter val="218"/>
        <filter val="219"/>
        <filter val="220"/>
        <filter val="221"/>
        <filter val="222"/>
        <filter val="223"/>
        <filter val="224"/>
        <filter val="225"/>
        <filter val="226"/>
        <filter val="227"/>
        <filter val="228"/>
        <filter val="229"/>
        <filter val="230"/>
        <filter val="231"/>
        <filter val="232"/>
        <filter val="233"/>
        <filter val="234"/>
        <filter val="235"/>
        <filter val="236"/>
        <filter val="237"/>
        <filter val="238"/>
        <filter val="239"/>
        <filter val="240"/>
        <filter val="241"/>
        <filter val="242"/>
        <filter val="243"/>
        <filter val="244"/>
        <filter val="245"/>
        <filter val="246"/>
        <filter val="247"/>
        <filter val="248"/>
        <filter val="249"/>
        <filter val="250"/>
        <filter val="251"/>
        <filter val="252"/>
        <filter val="253"/>
        <filter val="254"/>
        <filter val="255"/>
        <filter val="256"/>
        <filter val="257"/>
        <filter val="258"/>
        <filter val="259"/>
        <filter val="260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0"/>
        <filter val="91"/>
        <filter val="92"/>
        <filter val="93"/>
        <filter val="94"/>
        <filter val="95"/>
        <filter val="96"/>
        <filter val="97"/>
        <filter val="98"/>
        <filter val="99"/>
      </filters>
    </filterColumn>
    <filterColumn colId="19">
      <filters>
        <filter val="1600000.00"/>
        <filter val="200000.00"/>
        <filter val="240000.00"/>
        <filter val="100000.00"/>
        <filter val="140000.00"/>
        <filter val="180000.00"/>
        <filter val="400000.00"/>
        <filter val="600000.00"/>
        <filter val="640000.00"/>
        <filter val="500000.00"/>
        <filter val="800000.00"/>
        <filter val="40000.00"/>
        <filter val="80000.00"/>
        <filter val="1500.00"/>
        <filter val="3000.00"/>
        <filter val="5000.00"/>
        <filter val="45000.00"/>
        <filter val="6000.00"/>
        <filter val="8000.00"/>
        <filter val="48000.00"/>
        <filter val="9000.00"/>
        <filter val="30000.00"/>
        <filter val="70000.00"/>
        <filter val="72000.00"/>
        <filter val="35000.00"/>
        <filter val="75000.00"/>
        <filter val="120000.00"/>
        <filter val="160000.00"/>
        <filter val="560000.00"/>
        <filter val="20000.00"/>
        <filter val="60000.00"/>
        <filter val="24000.00"/>
        <filter val="25000.00"/>
        <filter val="210000.00"/>
        <filter val="250000.00"/>
        <filter val="150000.00"/>
        <filter val="10000.00"/>
        <filter val="50000.00"/>
        <filter val="90000.00"/>
        <filter val="12000.00"/>
        <filter val="14000.00"/>
        <filter val="15000.00"/>
        <filter val="16000.00"/>
        <filter val="56000.00"/>
      </filters>
    </filterColumn>
  </autoFilter>
  <tableColumns count="21">
    <tableColumn id="1" name="Serial No"/>
    <tableColumn id="2" name="Hospital" dataDxfId="93"/>
    <tableColumn id="3" name="State"/>
    <tableColumn id="4" name="Location"/>
    <tableColumn id="5" name="Department"/>
    <tableColumn id="6" name="Equipment" dataDxfId="94"/>
    <tableColumn id="7" name=" Quantity "/>
    <tableColumn id="8" name=" Unit Price (USD) "/>
    <tableColumn id="9" name="Supplier" dataDxfId="95"/>
    <tableColumn id="10" name="Supplier Contact" dataDxfId="96"/>
    <tableColumn id="11" name=" Supplier Phone "/>
    <tableColumn id="12" name="Supplier Email" dataDxfId="97"/>
    <tableColumn id="13" name="Supplier Country" dataDxfId="98"/>
    <tableColumn id="14" name="Date Ordered" dataDxfId="99"/>
    <tableColumn id="15" name="Date Delivered" dataDxfId="100"/>
    <tableColumn id="16" name=" Warranty Period (Months) "/>
    <tableColumn id="17" name=" Maintenance Cost (USD/year) "/>
    <tableColumn id="18" name=" Installation Cost (USD) "/>
    <tableColumn id="19" name="Equipment Condition" dataDxfId="101"/>
    <tableColumn id="20" name="Procurement" dataDxfId="102">
      <calculatedColumnFormula>SUM(Procurement_data[[#This Row],[ Unit Price (USD) ]]*Procurement_data[[#This Row],[ Quantity ]])</calculatedColumnFormula>
    </tableColumn>
    <tableColumn id="21" name="Delivery Date" dataDxfId="103">
      <calculatedColumnFormula>O2-N2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4" Type="http://schemas.openxmlformats.org/officeDocument/2006/relationships/drawing" Target="../drawings/drawing1.xml"/><Relationship Id="rId13" Type="http://schemas.openxmlformats.org/officeDocument/2006/relationships/pivotTable" Target="../pivotTables/pivotTable13.xml"/><Relationship Id="rId12" Type="http://schemas.openxmlformats.org/officeDocument/2006/relationships/pivotTable" Target="../pivotTables/pivotTable12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1"/>
  <sheetViews>
    <sheetView topLeftCell="B1" workbookViewId="0">
      <selection activeCell="U1" sqref="U$1:U$1048576"/>
    </sheetView>
  </sheetViews>
  <sheetFormatPr defaultColWidth="9" defaultRowHeight="15"/>
  <cols>
    <col min="1" max="1" width="9.82857142857143" customWidth="1"/>
    <col min="2" max="2" width="28.5047619047619" style="25" customWidth="1"/>
    <col min="3" max="3" width="12" customWidth="1"/>
    <col min="4" max="4" width="16.3333333333333" customWidth="1"/>
    <col min="5" max="5" width="16.1619047619048" customWidth="1"/>
    <col min="6" max="6" width="22.1619047619048" style="25" customWidth="1"/>
    <col min="7" max="7" width="11.1619047619048" customWidth="1"/>
    <col min="8" max="8" width="9" style="26"/>
    <col min="9" max="9" width="16.5047619047619" style="25" customWidth="1"/>
    <col min="10" max="10" width="13.1619047619048" style="25" customWidth="1"/>
    <col min="11" max="11" width="21.5047619047619" customWidth="1"/>
    <col min="12" max="12" width="18.8285714285714" style="25" customWidth="1"/>
    <col min="13" max="13" width="9" style="25"/>
    <col min="14" max="14" width="13.1619047619048" style="27" customWidth="1"/>
    <col min="15" max="15" width="14.1619047619048" style="27" customWidth="1"/>
    <col min="16" max="16" width="23.8285714285714" customWidth="1"/>
    <col min="17" max="17" width="26.6666666666667" customWidth="1"/>
    <col min="18" max="18" width="20.5047619047619" customWidth="1"/>
    <col min="19" max="19" width="19.5047619047619" style="25" customWidth="1"/>
    <col min="20" max="20" width="10.6666666666667" style="11" customWidth="1"/>
    <col min="21" max="21" width="10.2857142857143" style="11"/>
  </cols>
  <sheetData>
    <row r="1" spans="1:21">
      <c r="A1" s="28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8" t="s">
        <v>6</v>
      </c>
      <c r="H1" s="29" t="s">
        <v>7</v>
      </c>
      <c r="I1" s="25" t="s">
        <v>8</v>
      </c>
      <c r="J1" s="25" t="s">
        <v>9</v>
      </c>
      <c r="K1" s="28" t="s">
        <v>10</v>
      </c>
      <c r="L1" s="25" t="s">
        <v>11</v>
      </c>
      <c r="M1" s="25" t="s">
        <v>12</v>
      </c>
      <c r="N1" s="27" t="s">
        <v>13</v>
      </c>
      <c r="O1" s="27" t="s">
        <v>14</v>
      </c>
      <c r="P1" s="28" t="s">
        <v>15</v>
      </c>
      <c r="Q1" s="26" t="s">
        <v>16</v>
      </c>
      <c r="R1" s="28" t="s">
        <v>17</v>
      </c>
      <c r="S1" s="25" t="s">
        <v>18</v>
      </c>
      <c r="T1" s="30" t="s">
        <v>19</v>
      </c>
      <c r="U1" s="11" t="s">
        <v>20</v>
      </c>
    </row>
    <row r="2" spans="1:21">
      <c r="A2" s="11">
        <v>1</v>
      </c>
      <c r="B2" s="25" t="s">
        <v>21</v>
      </c>
      <c r="C2" s="28" t="s">
        <v>22</v>
      </c>
      <c r="D2" s="28" t="s">
        <v>23</v>
      </c>
      <c r="E2" s="28" t="s">
        <v>24</v>
      </c>
      <c r="F2" s="25" t="s">
        <v>25</v>
      </c>
      <c r="G2" s="11">
        <v>2</v>
      </c>
      <c r="H2" s="11">
        <v>5000</v>
      </c>
      <c r="I2" s="25" t="s">
        <v>26</v>
      </c>
      <c r="J2" s="25" t="s">
        <v>27</v>
      </c>
      <c r="K2" s="11">
        <v>1234567890</v>
      </c>
      <c r="L2" s="25" t="s">
        <v>28</v>
      </c>
      <c r="M2" s="25" t="s">
        <v>29</v>
      </c>
      <c r="N2" s="27" t="s">
        <v>30</v>
      </c>
      <c r="O2" s="27" t="s">
        <v>31</v>
      </c>
      <c r="P2" s="11">
        <v>24</v>
      </c>
      <c r="Q2" s="11">
        <v>1000</v>
      </c>
      <c r="R2" s="11">
        <v>500</v>
      </c>
      <c r="S2" s="25" t="s">
        <v>32</v>
      </c>
      <c r="T2" s="11">
        <f>SUM(Procurement_data[[#This Row],[ Unit Price (USD) ]]*Procurement_data[[#This Row],[ Quantity ]])</f>
        <v>10000</v>
      </c>
      <c r="U2" s="11">
        <f t="shared" ref="U2:U65" si="0">O2-N2</f>
        <v>26</v>
      </c>
    </row>
    <row r="3" spans="1:21">
      <c r="A3" s="11">
        <v>2</v>
      </c>
      <c r="B3" s="25" t="s">
        <v>33</v>
      </c>
      <c r="C3" s="28" t="s">
        <v>34</v>
      </c>
      <c r="D3" s="28" t="s">
        <v>35</v>
      </c>
      <c r="E3" s="28" t="s">
        <v>36</v>
      </c>
      <c r="F3" s="25" t="s">
        <v>37</v>
      </c>
      <c r="G3" s="11">
        <v>1</v>
      </c>
      <c r="H3" s="11">
        <v>15000</v>
      </c>
      <c r="I3" s="25" t="s">
        <v>38</v>
      </c>
      <c r="J3" s="25" t="s">
        <v>39</v>
      </c>
      <c r="K3" s="11">
        <v>9876543210</v>
      </c>
      <c r="L3" s="25" t="s">
        <v>40</v>
      </c>
      <c r="M3" s="25" t="s">
        <v>41</v>
      </c>
      <c r="N3" s="27" t="s">
        <v>42</v>
      </c>
      <c r="O3" s="27" t="s">
        <v>43</v>
      </c>
      <c r="P3" s="11">
        <v>36</v>
      </c>
      <c r="Q3" s="11">
        <v>2000</v>
      </c>
      <c r="R3" s="11">
        <v>1000</v>
      </c>
      <c r="S3" s="25" t="s">
        <v>32</v>
      </c>
      <c r="T3" s="11">
        <f>SUM(Procurement_data[[#This Row],[ Unit Price (USD) ]]*Procurement_data[[#This Row],[ Quantity ]])</f>
        <v>15000</v>
      </c>
      <c r="U3" s="11">
        <f t="shared" si="0"/>
        <v>27</v>
      </c>
    </row>
    <row r="4" spans="1:21">
      <c r="A4" s="11">
        <v>3</v>
      </c>
      <c r="B4" s="25" t="s">
        <v>44</v>
      </c>
      <c r="C4" s="28" t="s">
        <v>45</v>
      </c>
      <c r="D4" s="28" t="s">
        <v>46</v>
      </c>
      <c r="E4" s="28" t="s">
        <v>47</v>
      </c>
      <c r="F4" s="25" t="s">
        <v>48</v>
      </c>
      <c r="G4" s="11">
        <v>5</v>
      </c>
      <c r="H4" s="11">
        <v>300</v>
      </c>
      <c r="I4" s="25" t="s">
        <v>49</v>
      </c>
      <c r="J4" s="25" t="s">
        <v>50</v>
      </c>
      <c r="K4" s="11">
        <v>2345678901</v>
      </c>
      <c r="L4" s="25" t="s">
        <v>51</v>
      </c>
      <c r="M4" s="25" t="s">
        <v>52</v>
      </c>
      <c r="N4" s="27" t="s">
        <v>53</v>
      </c>
      <c r="O4" s="27" t="s">
        <v>54</v>
      </c>
      <c r="P4" s="11">
        <v>12</v>
      </c>
      <c r="Q4" s="28">
        <v>500</v>
      </c>
      <c r="R4" s="11">
        <v>200</v>
      </c>
      <c r="S4" s="25" t="s">
        <v>55</v>
      </c>
      <c r="T4" s="11">
        <f>SUM(Procurement_data[[#This Row],[ Unit Price (USD) ]]*Procurement_data[[#This Row],[ Quantity ]])</f>
        <v>1500</v>
      </c>
      <c r="U4" s="11">
        <f t="shared" si="0"/>
        <v>26</v>
      </c>
    </row>
    <row r="5" spans="1:21">
      <c r="A5" s="11">
        <v>4</v>
      </c>
      <c r="B5" s="25" t="s">
        <v>56</v>
      </c>
      <c r="C5" s="28" t="s">
        <v>57</v>
      </c>
      <c r="D5" s="28" t="s">
        <v>56</v>
      </c>
      <c r="E5" s="28" t="s">
        <v>58</v>
      </c>
      <c r="F5" s="25" t="s">
        <v>59</v>
      </c>
      <c r="G5" s="11">
        <v>3</v>
      </c>
      <c r="H5" s="11">
        <v>10000</v>
      </c>
      <c r="I5" s="25" t="s">
        <v>60</v>
      </c>
      <c r="J5" s="25" t="s">
        <v>61</v>
      </c>
      <c r="K5" s="11">
        <v>3456789012</v>
      </c>
      <c r="L5" s="25" t="s">
        <v>62</v>
      </c>
      <c r="M5" s="25" t="s">
        <v>63</v>
      </c>
      <c r="N5" s="27" t="s">
        <v>64</v>
      </c>
      <c r="O5" s="27" t="s">
        <v>65</v>
      </c>
      <c r="P5" s="11">
        <v>24</v>
      </c>
      <c r="Q5" s="11">
        <v>1500</v>
      </c>
      <c r="R5" s="11">
        <v>800</v>
      </c>
      <c r="S5" s="25" t="s">
        <v>66</v>
      </c>
      <c r="T5" s="11">
        <f>SUM(Procurement_data[[#This Row],[ Unit Price (USD) ]]*Procurement_data[[#This Row],[ Quantity ]])</f>
        <v>30000</v>
      </c>
      <c r="U5" s="11">
        <f t="shared" si="0"/>
        <v>23</v>
      </c>
    </row>
    <row r="6" spans="1:21">
      <c r="A6" s="11">
        <v>5</v>
      </c>
      <c r="B6" s="25" t="s">
        <v>67</v>
      </c>
      <c r="C6" s="28" t="s">
        <v>68</v>
      </c>
      <c r="D6" s="28" t="s">
        <v>69</v>
      </c>
      <c r="E6" s="28" t="s">
        <v>70</v>
      </c>
      <c r="F6" s="25" t="s">
        <v>71</v>
      </c>
      <c r="G6" s="11">
        <v>1</v>
      </c>
      <c r="H6" s="11">
        <v>8000</v>
      </c>
      <c r="I6" s="25" t="s">
        <v>72</v>
      </c>
      <c r="J6" s="25" t="s">
        <v>73</v>
      </c>
      <c r="K6" s="11">
        <v>4567890123</v>
      </c>
      <c r="L6" s="25" t="s">
        <v>74</v>
      </c>
      <c r="M6" s="25" t="s">
        <v>75</v>
      </c>
      <c r="N6" s="27" t="s">
        <v>76</v>
      </c>
      <c r="O6" s="27" t="s">
        <v>77</v>
      </c>
      <c r="P6" s="11">
        <v>24</v>
      </c>
      <c r="Q6" s="11">
        <v>1200</v>
      </c>
      <c r="R6" s="11">
        <v>600</v>
      </c>
      <c r="S6" s="25" t="s">
        <v>32</v>
      </c>
      <c r="T6" s="11">
        <f>SUM(Procurement_data[[#This Row],[ Unit Price (USD) ]]*Procurement_data[[#This Row],[ Quantity ]])</f>
        <v>8000</v>
      </c>
      <c r="U6" s="11">
        <f t="shared" si="0"/>
        <v>23</v>
      </c>
    </row>
    <row r="7" spans="1:21">
      <c r="A7" s="11">
        <v>6</v>
      </c>
      <c r="B7" s="25" t="s">
        <v>78</v>
      </c>
      <c r="C7" s="28" t="s">
        <v>79</v>
      </c>
      <c r="D7" s="28" t="s">
        <v>80</v>
      </c>
      <c r="E7" s="28" t="s">
        <v>81</v>
      </c>
      <c r="F7" s="25" t="s">
        <v>82</v>
      </c>
      <c r="G7" s="11">
        <v>1</v>
      </c>
      <c r="H7" s="11">
        <v>200000</v>
      </c>
      <c r="I7" s="25" t="s">
        <v>83</v>
      </c>
      <c r="J7" s="25" t="s">
        <v>84</v>
      </c>
      <c r="K7" s="11">
        <v>1122334455</v>
      </c>
      <c r="L7" s="25" t="s">
        <v>85</v>
      </c>
      <c r="M7" s="25" t="s">
        <v>86</v>
      </c>
      <c r="N7" s="27" t="s">
        <v>31</v>
      </c>
      <c r="O7" s="27" t="s">
        <v>87</v>
      </c>
      <c r="P7" s="11">
        <v>48</v>
      </c>
      <c r="Q7" s="11">
        <v>5000</v>
      </c>
      <c r="R7" s="11">
        <v>2000</v>
      </c>
      <c r="S7" s="25" t="s">
        <v>32</v>
      </c>
      <c r="T7" s="11">
        <f>SUM(Procurement_data[[#This Row],[ Unit Price (USD) ]]*Procurement_data[[#This Row],[ Quantity ]])</f>
        <v>200000</v>
      </c>
      <c r="U7" s="11">
        <f t="shared" si="0"/>
        <v>25</v>
      </c>
    </row>
    <row r="8" spans="1:21">
      <c r="A8" s="11">
        <v>7</v>
      </c>
      <c r="B8" s="25" t="s">
        <v>88</v>
      </c>
      <c r="C8" s="28" t="s">
        <v>89</v>
      </c>
      <c r="D8" s="28" t="s">
        <v>90</v>
      </c>
      <c r="E8" s="28" t="s">
        <v>91</v>
      </c>
      <c r="F8" s="25" t="s">
        <v>92</v>
      </c>
      <c r="G8" s="11">
        <v>2</v>
      </c>
      <c r="H8" s="11">
        <v>10000</v>
      </c>
      <c r="I8" s="25" t="s">
        <v>93</v>
      </c>
      <c r="J8" s="25" t="s">
        <v>94</v>
      </c>
      <c r="K8" s="11">
        <v>9988776655</v>
      </c>
      <c r="L8" s="25" t="s">
        <v>95</v>
      </c>
      <c r="M8" s="25" t="s">
        <v>96</v>
      </c>
      <c r="N8" s="27" t="s">
        <v>97</v>
      </c>
      <c r="O8" s="27" t="s">
        <v>98</v>
      </c>
      <c r="P8" s="11">
        <v>36</v>
      </c>
      <c r="Q8" s="11">
        <v>1500</v>
      </c>
      <c r="R8" s="11">
        <v>1000</v>
      </c>
      <c r="S8" s="25" t="s">
        <v>66</v>
      </c>
      <c r="T8" s="11">
        <f>SUM(Procurement_data[[#This Row],[ Unit Price (USD) ]]*Procurement_data[[#This Row],[ Quantity ]])</f>
        <v>20000</v>
      </c>
      <c r="U8" s="11">
        <f t="shared" si="0"/>
        <v>26</v>
      </c>
    </row>
    <row r="9" spans="1:21">
      <c r="A9" s="11">
        <v>8</v>
      </c>
      <c r="B9" s="25" t="s">
        <v>99</v>
      </c>
      <c r="C9" s="28" t="s">
        <v>100</v>
      </c>
      <c r="D9" s="28" t="s">
        <v>101</v>
      </c>
      <c r="E9" s="28" t="s">
        <v>102</v>
      </c>
      <c r="F9" s="25" t="s">
        <v>103</v>
      </c>
      <c r="G9" s="11">
        <v>1</v>
      </c>
      <c r="H9" s="11">
        <v>25000</v>
      </c>
      <c r="I9" s="25" t="s">
        <v>104</v>
      </c>
      <c r="J9" s="25" t="s">
        <v>105</v>
      </c>
      <c r="K9" s="11">
        <v>3322114455</v>
      </c>
      <c r="L9" s="25" t="s">
        <v>106</v>
      </c>
      <c r="M9" s="25" t="s">
        <v>107</v>
      </c>
      <c r="N9" s="27" t="s">
        <v>108</v>
      </c>
      <c r="O9" s="27" t="s">
        <v>109</v>
      </c>
      <c r="P9" s="11">
        <v>36</v>
      </c>
      <c r="Q9" s="11">
        <v>2000</v>
      </c>
      <c r="R9" s="11">
        <v>1200</v>
      </c>
      <c r="S9" s="25" t="s">
        <v>32</v>
      </c>
      <c r="T9" s="11">
        <f>SUM(Procurement_data[[#This Row],[ Unit Price (USD) ]]*Procurement_data[[#This Row],[ Quantity ]])</f>
        <v>25000</v>
      </c>
      <c r="U9" s="11">
        <f t="shared" si="0"/>
        <v>26</v>
      </c>
    </row>
    <row r="10" spans="1:21">
      <c r="A10" s="11">
        <v>9</v>
      </c>
      <c r="B10" s="25" t="s">
        <v>110</v>
      </c>
      <c r="C10" s="28" t="s">
        <v>111</v>
      </c>
      <c r="D10" s="28" t="s">
        <v>112</v>
      </c>
      <c r="E10" s="28" t="s">
        <v>113</v>
      </c>
      <c r="F10" s="25" t="s">
        <v>114</v>
      </c>
      <c r="G10" s="11">
        <v>1</v>
      </c>
      <c r="H10" s="11">
        <v>75000</v>
      </c>
      <c r="I10" s="25" t="s">
        <v>115</v>
      </c>
      <c r="J10" s="25" t="s">
        <v>116</v>
      </c>
      <c r="K10" s="11">
        <v>7755332211</v>
      </c>
      <c r="L10" s="25" t="s">
        <v>117</v>
      </c>
      <c r="M10" s="25" t="s">
        <v>118</v>
      </c>
      <c r="N10" s="27" t="s">
        <v>119</v>
      </c>
      <c r="O10" s="27" t="s">
        <v>42</v>
      </c>
      <c r="P10" s="11">
        <v>48</v>
      </c>
      <c r="Q10" s="11">
        <v>3000</v>
      </c>
      <c r="R10" s="11">
        <v>1500</v>
      </c>
      <c r="S10" s="25" t="s">
        <v>32</v>
      </c>
      <c r="T10" s="11">
        <f>SUM(Procurement_data[[#This Row],[ Unit Price (USD) ]]*Procurement_data[[#This Row],[ Quantity ]])</f>
        <v>75000</v>
      </c>
      <c r="U10" s="11">
        <f t="shared" si="0"/>
        <v>26</v>
      </c>
    </row>
    <row r="11" spans="1:21">
      <c r="A11" s="11">
        <v>10</v>
      </c>
      <c r="B11" s="25" t="s">
        <v>120</v>
      </c>
      <c r="C11" s="28" t="s">
        <v>121</v>
      </c>
      <c r="D11" s="28" t="s">
        <v>122</v>
      </c>
      <c r="E11" s="28" t="s">
        <v>123</v>
      </c>
      <c r="F11" s="25" t="s">
        <v>124</v>
      </c>
      <c r="G11" s="11">
        <v>2</v>
      </c>
      <c r="H11" s="11">
        <v>30000</v>
      </c>
      <c r="I11" s="25" t="s">
        <v>125</v>
      </c>
      <c r="J11" s="25" t="s">
        <v>126</v>
      </c>
      <c r="K11" s="11">
        <v>6677889900</v>
      </c>
      <c r="L11" s="25" t="s">
        <v>127</v>
      </c>
      <c r="M11" s="25" t="s">
        <v>29</v>
      </c>
      <c r="N11" s="27" t="s">
        <v>128</v>
      </c>
      <c r="O11" s="27" t="s">
        <v>129</v>
      </c>
      <c r="P11" s="11">
        <v>24</v>
      </c>
      <c r="Q11" s="11">
        <v>1000</v>
      </c>
      <c r="R11" s="11">
        <v>800</v>
      </c>
      <c r="S11" s="25" t="s">
        <v>32</v>
      </c>
      <c r="T11" s="11">
        <f>SUM(Procurement_data[[#This Row],[ Unit Price (USD) ]]*Procurement_data[[#This Row],[ Quantity ]])</f>
        <v>60000</v>
      </c>
      <c r="U11" s="11">
        <f t="shared" si="0"/>
        <v>25</v>
      </c>
    </row>
    <row r="12" spans="1:21">
      <c r="A12" s="11">
        <v>11</v>
      </c>
      <c r="B12" s="25" t="s">
        <v>130</v>
      </c>
      <c r="C12" s="28" t="s">
        <v>131</v>
      </c>
      <c r="D12" s="28" t="s">
        <v>132</v>
      </c>
      <c r="E12" s="28" t="s">
        <v>133</v>
      </c>
      <c r="F12" s="25" t="s">
        <v>134</v>
      </c>
      <c r="G12" s="11">
        <v>3</v>
      </c>
      <c r="H12" s="11">
        <v>5000</v>
      </c>
      <c r="I12" s="25" t="s">
        <v>135</v>
      </c>
      <c r="J12" s="25" t="s">
        <v>136</v>
      </c>
      <c r="K12" s="11">
        <v>1122334455</v>
      </c>
      <c r="L12" s="25" t="s">
        <v>137</v>
      </c>
      <c r="M12" s="25" t="s">
        <v>29</v>
      </c>
      <c r="N12" s="27" t="s">
        <v>30</v>
      </c>
      <c r="O12" s="27" t="s">
        <v>31</v>
      </c>
      <c r="P12" s="11">
        <v>24</v>
      </c>
      <c r="Q12" s="11">
        <v>1000</v>
      </c>
      <c r="R12" s="11">
        <v>500</v>
      </c>
      <c r="S12" s="25" t="s">
        <v>32</v>
      </c>
      <c r="T12" s="11">
        <f>SUM(Procurement_data[[#This Row],[ Unit Price (USD) ]]*Procurement_data[[#This Row],[ Quantity ]])</f>
        <v>15000</v>
      </c>
      <c r="U12" s="11">
        <f t="shared" si="0"/>
        <v>26</v>
      </c>
    </row>
    <row r="13" spans="1:21">
      <c r="A13" s="11">
        <v>12</v>
      </c>
      <c r="B13" s="25" t="s">
        <v>138</v>
      </c>
      <c r="C13" s="28" t="s">
        <v>139</v>
      </c>
      <c r="D13" s="28" t="s">
        <v>140</v>
      </c>
      <c r="E13" s="28" t="s">
        <v>141</v>
      </c>
      <c r="F13" s="25" t="s">
        <v>142</v>
      </c>
      <c r="G13" s="11">
        <v>1</v>
      </c>
      <c r="H13" s="11">
        <v>8000</v>
      </c>
      <c r="I13" s="25" t="s">
        <v>143</v>
      </c>
      <c r="J13" s="25" t="s">
        <v>144</v>
      </c>
      <c r="K13" s="11">
        <v>9988776655</v>
      </c>
      <c r="L13" s="25" t="s">
        <v>145</v>
      </c>
      <c r="M13" s="25" t="s">
        <v>146</v>
      </c>
      <c r="N13" s="27" t="s">
        <v>42</v>
      </c>
      <c r="O13" s="27" t="s">
        <v>43</v>
      </c>
      <c r="P13" s="11">
        <v>36</v>
      </c>
      <c r="Q13" s="11">
        <v>1200</v>
      </c>
      <c r="R13" s="11">
        <v>700</v>
      </c>
      <c r="S13" s="25" t="s">
        <v>66</v>
      </c>
      <c r="T13" s="11">
        <f>SUM(Procurement_data[[#This Row],[ Unit Price (USD) ]]*Procurement_data[[#This Row],[ Quantity ]])</f>
        <v>8000</v>
      </c>
      <c r="U13" s="11">
        <f t="shared" si="0"/>
        <v>27</v>
      </c>
    </row>
    <row r="14" spans="1:21">
      <c r="A14" s="11">
        <v>13</v>
      </c>
      <c r="B14" s="25" t="s">
        <v>147</v>
      </c>
      <c r="C14" s="28" t="s">
        <v>148</v>
      </c>
      <c r="D14" s="28" t="s">
        <v>149</v>
      </c>
      <c r="E14" s="28" t="s">
        <v>150</v>
      </c>
      <c r="F14" s="25" t="s">
        <v>151</v>
      </c>
      <c r="G14" s="11">
        <v>2</v>
      </c>
      <c r="H14" s="11">
        <v>20000</v>
      </c>
      <c r="I14" s="25" t="s">
        <v>152</v>
      </c>
      <c r="J14" s="25" t="s">
        <v>153</v>
      </c>
      <c r="K14" s="11">
        <v>3322114455</v>
      </c>
      <c r="L14" s="25" t="s">
        <v>154</v>
      </c>
      <c r="M14" s="25" t="s">
        <v>155</v>
      </c>
      <c r="N14" s="27" t="s">
        <v>53</v>
      </c>
      <c r="O14" s="27" t="s">
        <v>54</v>
      </c>
      <c r="P14" s="11">
        <v>48</v>
      </c>
      <c r="Q14" s="11">
        <v>2500</v>
      </c>
      <c r="R14" s="11">
        <v>1500</v>
      </c>
      <c r="S14" s="25" t="s">
        <v>32</v>
      </c>
      <c r="T14" s="11">
        <f>SUM(Procurement_data[[#This Row],[ Unit Price (USD) ]]*Procurement_data[[#This Row],[ Quantity ]])</f>
        <v>40000</v>
      </c>
      <c r="U14" s="11">
        <f t="shared" si="0"/>
        <v>26</v>
      </c>
    </row>
    <row r="15" spans="1:21">
      <c r="A15" s="11">
        <v>14</v>
      </c>
      <c r="B15" s="25" t="s">
        <v>156</v>
      </c>
      <c r="C15" s="28" t="s">
        <v>157</v>
      </c>
      <c r="D15" s="28" t="s">
        <v>158</v>
      </c>
      <c r="E15" s="28" t="s">
        <v>159</v>
      </c>
      <c r="F15" s="25" t="s">
        <v>160</v>
      </c>
      <c r="G15" s="11">
        <v>1</v>
      </c>
      <c r="H15" s="11">
        <v>12000</v>
      </c>
      <c r="I15" s="25" t="s">
        <v>161</v>
      </c>
      <c r="J15" s="25" t="s">
        <v>162</v>
      </c>
      <c r="K15" s="11">
        <v>7755332211</v>
      </c>
      <c r="L15" s="25" t="s">
        <v>163</v>
      </c>
      <c r="M15" s="25" t="s">
        <v>164</v>
      </c>
      <c r="N15" s="27" t="s">
        <v>64</v>
      </c>
      <c r="O15" s="27" t="s">
        <v>65</v>
      </c>
      <c r="P15" s="11">
        <v>36</v>
      </c>
      <c r="Q15" s="11">
        <v>1500</v>
      </c>
      <c r="R15" s="11">
        <v>900</v>
      </c>
      <c r="S15" s="25" t="s">
        <v>32</v>
      </c>
      <c r="T15" s="11">
        <f>SUM(Procurement_data[[#This Row],[ Unit Price (USD) ]]*Procurement_data[[#This Row],[ Quantity ]])</f>
        <v>12000</v>
      </c>
      <c r="U15" s="11">
        <f t="shared" si="0"/>
        <v>23</v>
      </c>
    </row>
    <row r="16" spans="1:21">
      <c r="A16" s="11">
        <v>15</v>
      </c>
      <c r="B16" s="25" t="s">
        <v>165</v>
      </c>
      <c r="C16" s="28" t="s">
        <v>166</v>
      </c>
      <c r="D16" s="28" t="s">
        <v>167</v>
      </c>
      <c r="E16" s="28" t="s">
        <v>168</v>
      </c>
      <c r="F16" s="25" t="s">
        <v>169</v>
      </c>
      <c r="G16" s="11">
        <v>1</v>
      </c>
      <c r="H16" s="11">
        <v>35000</v>
      </c>
      <c r="I16" s="25" t="s">
        <v>170</v>
      </c>
      <c r="J16" s="25" t="s">
        <v>171</v>
      </c>
      <c r="K16" s="11">
        <v>6677889900</v>
      </c>
      <c r="L16" s="25" t="s">
        <v>172</v>
      </c>
      <c r="M16" s="25" t="s">
        <v>173</v>
      </c>
      <c r="N16" s="27" t="s">
        <v>76</v>
      </c>
      <c r="O16" s="27" t="s">
        <v>77</v>
      </c>
      <c r="P16" s="11">
        <v>48</v>
      </c>
      <c r="Q16" s="11">
        <v>3000</v>
      </c>
      <c r="R16" s="11">
        <v>1800</v>
      </c>
      <c r="S16" s="25" t="s">
        <v>66</v>
      </c>
      <c r="T16" s="11">
        <f>SUM(Procurement_data[[#This Row],[ Unit Price (USD) ]]*Procurement_data[[#This Row],[ Quantity ]])</f>
        <v>35000</v>
      </c>
      <c r="U16" s="11">
        <f t="shared" si="0"/>
        <v>23</v>
      </c>
    </row>
    <row r="17" spans="1:21">
      <c r="A17" s="11">
        <v>16</v>
      </c>
      <c r="B17" s="25" t="s">
        <v>174</v>
      </c>
      <c r="C17" s="28" t="s">
        <v>175</v>
      </c>
      <c r="D17" s="28" t="s">
        <v>176</v>
      </c>
      <c r="E17" s="28" t="s">
        <v>177</v>
      </c>
      <c r="F17" s="25" t="s">
        <v>92</v>
      </c>
      <c r="G17" s="11">
        <v>1</v>
      </c>
      <c r="H17" s="11">
        <v>10000</v>
      </c>
      <c r="I17" s="25" t="s">
        <v>93</v>
      </c>
      <c r="J17" s="25" t="s">
        <v>94</v>
      </c>
      <c r="K17" s="11">
        <v>1122334455</v>
      </c>
      <c r="L17" s="25" t="s">
        <v>95</v>
      </c>
      <c r="M17" s="25" t="s">
        <v>96</v>
      </c>
      <c r="N17" s="27" t="s">
        <v>97</v>
      </c>
      <c r="O17" s="27" t="s">
        <v>98</v>
      </c>
      <c r="P17" s="11">
        <v>36</v>
      </c>
      <c r="Q17" s="11">
        <v>1500</v>
      </c>
      <c r="R17" s="11">
        <v>1000</v>
      </c>
      <c r="S17" s="25" t="s">
        <v>66</v>
      </c>
      <c r="T17" s="11">
        <f>SUM(Procurement_data[[#This Row],[ Unit Price (USD) ]]*Procurement_data[[#This Row],[ Quantity ]])</f>
        <v>10000</v>
      </c>
      <c r="U17" s="11">
        <f t="shared" si="0"/>
        <v>26</v>
      </c>
    </row>
    <row r="18" spans="1:21">
      <c r="A18" s="11">
        <v>17</v>
      </c>
      <c r="B18" s="25" t="s">
        <v>178</v>
      </c>
      <c r="C18" s="28" t="s">
        <v>179</v>
      </c>
      <c r="D18" s="28" t="s">
        <v>180</v>
      </c>
      <c r="E18" s="28" t="s">
        <v>181</v>
      </c>
      <c r="F18" s="25" t="s">
        <v>182</v>
      </c>
      <c r="G18" s="11">
        <v>2</v>
      </c>
      <c r="H18" s="11">
        <v>25000</v>
      </c>
      <c r="I18" s="25" t="s">
        <v>183</v>
      </c>
      <c r="J18" s="25" t="s">
        <v>184</v>
      </c>
      <c r="K18" s="11">
        <v>9988776655</v>
      </c>
      <c r="L18" s="25" t="s">
        <v>185</v>
      </c>
      <c r="M18" s="25" t="s">
        <v>155</v>
      </c>
      <c r="N18" s="27" t="s">
        <v>108</v>
      </c>
      <c r="O18" s="27" t="s">
        <v>109</v>
      </c>
      <c r="P18" s="11">
        <v>48</v>
      </c>
      <c r="Q18" s="11">
        <v>2000</v>
      </c>
      <c r="R18" s="11">
        <v>1200</v>
      </c>
      <c r="S18" s="25" t="s">
        <v>32</v>
      </c>
      <c r="T18" s="11">
        <f>SUM(Procurement_data[[#This Row],[ Unit Price (USD) ]]*Procurement_data[[#This Row],[ Quantity ]])</f>
        <v>50000</v>
      </c>
      <c r="U18" s="11">
        <f t="shared" si="0"/>
        <v>26</v>
      </c>
    </row>
    <row r="19" spans="1:21">
      <c r="A19" s="11">
        <v>18</v>
      </c>
      <c r="B19" s="25" t="s">
        <v>186</v>
      </c>
      <c r="C19" s="28" t="s">
        <v>187</v>
      </c>
      <c r="D19" s="28" t="s">
        <v>188</v>
      </c>
      <c r="E19" s="28" t="s">
        <v>81</v>
      </c>
      <c r="F19" s="25" t="s">
        <v>189</v>
      </c>
      <c r="G19" s="11">
        <v>3</v>
      </c>
      <c r="H19" s="11">
        <v>15000</v>
      </c>
      <c r="I19" s="25" t="s">
        <v>190</v>
      </c>
      <c r="J19" s="25" t="s">
        <v>61</v>
      </c>
      <c r="K19" s="11">
        <v>3322114455</v>
      </c>
      <c r="L19" s="25" t="s">
        <v>191</v>
      </c>
      <c r="M19" s="25" t="s">
        <v>63</v>
      </c>
      <c r="N19" s="27" t="s">
        <v>119</v>
      </c>
      <c r="O19" s="27" t="s">
        <v>42</v>
      </c>
      <c r="P19" s="11">
        <v>36</v>
      </c>
      <c r="Q19" s="11">
        <v>1800</v>
      </c>
      <c r="R19" s="11">
        <v>1000</v>
      </c>
      <c r="S19" s="25" t="s">
        <v>55</v>
      </c>
      <c r="T19" s="11">
        <f>SUM(Procurement_data[[#This Row],[ Unit Price (USD) ]]*Procurement_data[[#This Row],[ Quantity ]])</f>
        <v>45000</v>
      </c>
      <c r="U19" s="11">
        <f t="shared" si="0"/>
        <v>26</v>
      </c>
    </row>
    <row r="20" spans="1:21">
      <c r="A20" s="11">
        <v>19</v>
      </c>
      <c r="B20" s="25" t="s">
        <v>192</v>
      </c>
      <c r="C20" s="28" t="s">
        <v>193</v>
      </c>
      <c r="D20" s="28" t="s">
        <v>194</v>
      </c>
      <c r="E20" s="28" t="s">
        <v>195</v>
      </c>
      <c r="F20" s="25" t="s">
        <v>196</v>
      </c>
      <c r="G20" s="11">
        <v>1</v>
      </c>
      <c r="H20" s="11">
        <v>5000</v>
      </c>
      <c r="I20" s="25" t="s">
        <v>197</v>
      </c>
      <c r="J20" s="25" t="s">
        <v>126</v>
      </c>
      <c r="K20" s="11">
        <v>7755332211</v>
      </c>
      <c r="L20" s="25" t="s">
        <v>198</v>
      </c>
      <c r="M20" s="25" t="s">
        <v>29</v>
      </c>
      <c r="N20" s="27" t="s">
        <v>128</v>
      </c>
      <c r="O20" s="27" t="s">
        <v>129</v>
      </c>
      <c r="P20" s="11">
        <v>24</v>
      </c>
      <c r="Q20" s="11">
        <v>800</v>
      </c>
      <c r="R20" s="11">
        <v>600</v>
      </c>
      <c r="S20" s="25" t="s">
        <v>32</v>
      </c>
      <c r="T20" s="11">
        <f>SUM(Procurement_data[[#This Row],[ Unit Price (USD) ]]*Procurement_data[[#This Row],[ Quantity ]])</f>
        <v>5000</v>
      </c>
      <c r="U20" s="11">
        <f t="shared" si="0"/>
        <v>25</v>
      </c>
    </row>
    <row r="21" spans="1:21">
      <c r="A21" s="11">
        <v>20</v>
      </c>
      <c r="B21" s="25" t="s">
        <v>199</v>
      </c>
      <c r="C21" s="28" t="s">
        <v>200</v>
      </c>
      <c r="D21" s="28" t="s">
        <v>201</v>
      </c>
      <c r="E21" s="28" t="s">
        <v>202</v>
      </c>
      <c r="F21" s="25" t="s">
        <v>203</v>
      </c>
      <c r="G21" s="11">
        <v>2</v>
      </c>
      <c r="H21" s="11">
        <v>7000</v>
      </c>
      <c r="I21" s="25" t="s">
        <v>204</v>
      </c>
      <c r="J21" s="25" t="s">
        <v>116</v>
      </c>
      <c r="K21" s="11">
        <v>6677889900</v>
      </c>
      <c r="L21" s="25" t="s">
        <v>205</v>
      </c>
      <c r="M21" s="25" t="s">
        <v>118</v>
      </c>
      <c r="N21" s="27" t="s">
        <v>206</v>
      </c>
      <c r="O21" s="27" t="s">
        <v>128</v>
      </c>
      <c r="P21" s="11">
        <v>36</v>
      </c>
      <c r="Q21" s="11">
        <v>1200</v>
      </c>
      <c r="R21" s="11">
        <v>800</v>
      </c>
      <c r="S21" s="25" t="s">
        <v>32</v>
      </c>
      <c r="T21" s="11">
        <f>SUM(Procurement_data[[#This Row],[ Unit Price (USD) ]]*Procurement_data[[#This Row],[ Quantity ]])</f>
        <v>14000</v>
      </c>
      <c r="U21" s="11">
        <f t="shared" si="0"/>
        <v>26</v>
      </c>
    </row>
    <row r="22" spans="1:21">
      <c r="A22" s="11">
        <v>21</v>
      </c>
      <c r="B22" s="25" t="s">
        <v>207</v>
      </c>
      <c r="C22" s="28" t="s">
        <v>175</v>
      </c>
      <c r="D22" s="28" t="s">
        <v>208</v>
      </c>
      <c r="E22" s="28" t="s">
        <v>209</v>
      </c>
      <c r="F22" s="25" t="s">
        <v>71</v>
      </c>
      <c r="G22" s="11">
        <v>1</v>
      </c>
      <c r="H22" s="11">
        <v>10000</v>
      </c>
      <c r="I22" s="25" t="s">
        <v>72</v>
      </c>
      <c r="J22" s="25" t="s">
        <v>73</v>
      </c>
      <c r="K22" s="11">
        <v>1122334455</v>
      </c>
      <c r="L22" s="25" t="s">
        <v>74</v>
      </c>
      <c r="M22" s="25" t="s">
        <v>75</v>
      </c>
      <c r="N22" s="27" t="s">
        <v>210</v>
      </c>
      <c r="O22" s="27" t="s">
        <v>206</v>
      </c>
      <c r="P22" s="11">
        <v>24</v>
      </c>
      <c r="Q22" s="11">
        <v>1000</v>
      </c>
      <c r="R22" s="11">
        <v>700</v>
      </c>
      <c r="S22" s="25" t="s">
        <v>66</v>
      </c>
      <c r="T22" s="11">
        <f>SUM(Procurement_data[[#This Row],[ Unit Price (USD) ]]*Procurement_data[[#This Row],[ Quantity ]])</f>
        <v>10000</v>
      </c>
      <c r="U22" s="11">
        <f t="shared" si="0"/>
        <v>24</v>
      </c>
    </row>
    <row r="23" spans="1:21">
      <c r="A23" s="11">
        <v>22</v>
      </c>
      <c r="B23" s="25" t="s">
        <v>211</v>
      </c>
      <c r="C23" s="28" t="s">
        <v>212</v>
      </c>
      <c r="D23" s="28" t="s">
        <v>213</v>
      </c>
      <c r="E23" s="28" t="s">
        <v>24</v>
      </c>
      <c r="F23" s="25" t="s">
        <v>214</v>
      </c>
      <c r="G23" s="11">
        <v>2</v>
      </c>
      <c r="H23" s="11">
        <v>3000</v>
      </c>
      <c r="I23" s="25" t="s">
        <v>215</v>
      </c>
      <c r="J23" s="25" t="s">
        <v>136</v>
      </c>
      <c r="K23" s="11">
        <v>9988776655</v>
      </c>
      <c r="L23" s="25" t="s">
        <v>216</v>
      </c>
      <c r="M23" s="25" t="s">
        <v>29</v>
      </c>
      <c r="N23" s="27" t="s">
        <v>217</v>
      </c>
      <c r="O23" s="27" t="s">
        <v>210</v>
      </c>
      <c r="P23" s="11">
        <v>36</v>
      </c>
      <c r="Q23" s="11">
        <v>800</v>
      </c>
      <c r="R23" s="11">
        <v>500</v>
      </c>
      <c r="S23" s="25" t="s">
        <v>218</v>
      </c>
      <c r="T23" s="11">
        <f>SUM(Procurement_data[[#This Row],[ Unit Price (USD) ]]*Procurement_data[[#This Row],[ Quantity ]])</f>
        <v>6000</v>
      </c>
      <c r="U23" s="11">
        <f t="shared" si="0"/>
        <v>26</v>
      </c>
    </row>
    <row r="24" spans="1:21">
      <c r="A24" s="11">
        <v>23</v>
      </c>
      <c r="B24" s="25" t="s">
        <v>219</v>
      </c>
      <c r="C24" s="28" t="s">
        <v>220</v>
      </c>
      <c r="D24" s="28" t="s">
        <v>221</v>
      </c>
      <c r="E24" s="28" t="s">
        <v>123</v>
      </c>
      <c r="F24" s="25" t="s">
        <v>222</v>
      </c>
      <c r="G24" s="11">
        <v>1</v>
      </c>
      <c r="H24" s="11">
        <v>12000</v>
      </c>
      <c r="I24" s="25" t="s">
        <v>125</v>
      </c>
      <c r="J24" s="25" t="s">
        <v>126</v>
      </c>
      <c r="K24" s="11">
        <v>3322114455</v>
      </c>
      <c r="L24" s="25" t="s">
        <v>127</v>
      </c>
      <c r="M24" s="25" t="s">
        <v>29</v>
      </c>
      <c r="N24" s="27" t="s">
        <v>31</v>
      </c>
      <c r="O24" s="27" t="s">
        <v>87</v>
      </c>
      <c r="P24" s="11">
        <v>24</v>
      </c>
      <c r="Q24" s="11">
        <v>1500</v>
      </c>
      <c r="R24" s="11">
        <v>1000</v>
      </c>
      <c r="S24" s="25" t="s">
        <v>32</v>
      </c>
      <c r="T24" s="11">
        <f>SUM(Procurement_data[[#This Row],[ Unit Price (USD) ]]*Procurement_data[[#This Row],[ Quantity ]])</f>
        <v>12000</v>
      </c>
      <c r="U24" s="11">
        <f t="shared" si="0"/>
        <v>25</v>
      </c>
    </row>
    <row r="25" spans="1:21">
      <c r="A25" s="11">
        <v>24</v>
      </c>
      <c r="B25" s="25" t="s">
        <v>223</v>
      </c>
      <c r="C25" s="28" t="s">
        <v>22</v>
      </c>
      <c r="D25" s="28" t="s">
        <v>224</v>
      </c>
      <c r="E25" s="28" t="s">
        <v>58</v>
      </c>
      <c r="F25" s="25" t="s">
        <v>225</v>
      </c>
      <c r="G25" s="11">
        <v>2</v>
      </c>
      <c r="H25" s="11">
        <v>8000</v>
      </c>
      <c r="I25" s="25" t="s">
        <v>226</v>
      </c>
      <c r="J25" s="25" t="s">
        <v>227</v>
      </c>
      <c r="K25" s="11">
        <v>7755332211</v>
      </c>
      <c r="L25" s="25" t="s">
        <v>228</v>
      </c>
      <c r="M25" s="25" t="s">
        <v>229</v>
      </c>
      <c r="N25" s="27" t="s">
        <v>77</v>
      </c>
      <c r="O25" s="27" t="s">
        <v>230</v>
      </c>
      <c r="P25" s="11">
        <v>36</v>
      </c>
      <c r="Q25" s="11">
        <v>1000</v>
      </c>
      <c r="R25" s="11">
        <v>700</v>
      </c>
      <c r="S25" s="25" t="s">
        <v>66</v>
      </c>
      <c r="T25" s="11">
        <f>SUM(Procurement_data[[#This Row],[ Unit Price (USD) ]]*Procurement_data[[#This Row],[ Quantity ]])</f>
        <v>16000</v>
      </c>
      <c r="U25" s="11">
        <f t="shared" si="0"/>
        <v>25</v>
      </c>
    </row>
    <row r="26" spans="1:21">
      <c r="A26" s="11">
        <v>25</v>
      </c>
      <c r="B26" s="25" t="s">
        <v>231</v>
      </c>
      <c r="C26" s="28" t="s">
        <v>22</v>
      </c>
      <c r="D26" s="28" t="s">
        <v>232</v>
      </c>
      <c r="E26" s="28" t="s">
        <v>102</v>
      </c>
      <c r="F26" s="25" t="s">
        <v>233</v>
      </c>
      <c r="G26" s="11">
        <v>1</v>
      </c>
      <c r="H26" s="11">
        <v>25000</v>
      </c>
      <c r="I26" s="25" t="s">
        <v>234</v>
      </c>
      <c r="J26" s="25" t="s">
        <v>105</v>
      </c>
      <c r="K26" s="11">
        <v>6677889900</v>
      </c>
      <c r="L26" s="25" t="s">
        <v>235</v>
      </c>
      <c r="M26" s="25" t="s">
        <v>107</v>
      </c>
      <c r="N26" s="27" t="s">
        <v>54</v>
      </c>
      <c r="O26" s="27" t="s">
        <v>236</v>
      </c>
      <c r="P26" s="11">
        <v>48</v>
      </c>
      <c r="Q26" s="11">
        <v>2000</v>
      </c>
      <c r="R26" s="11">
        <v>1200</v>
      </c>
      <c r="S26" s="25" t="s">
        <v>32</v>
      </c>
      <c r="T26" s="11">
        <f>SUM(Procurement_data[[#This Row],[ Unit Price (USD) ]]*Procurement_data[[#This Row],[ Quantity ]])</f>
        <v>25000</v>
      </c>
      <c r="U26" s="11">
        <f t="shared" si="0"/>
        <v>25</v>
      </c>
    </row>
    <row r="27" spans="1:21">
      <c r="A27" s="11">
        <v>26</v>
      </c>
      <c r="B27" s="25" t="s">
        <v>237</v>
      </c>
      <c r="C27" s="28" t="s">
        <v>175</v>
      </c>
      <c r="D27" s="28" t="s">
        <v>238</v>
      </c>
      <c r="E27" s="28" t="s">
        <v>47</v>
      </c>
      <c r="F27" s="25" t="s">
        <v>239</v>
      </c>
      <c r="G27" s="11">
        <v>1</v>
      </c>
      <c r="H27" s="11">
        <v>40000</v>
      </c>
      <c r="I27" s="25" t="s">
        <v>240</v>
      </c>
      <c r="J27" s="25" t="s">
        <v>50</v>
      </c>
      <c r="K27" s="11">
        <v>1122334455</v>
      </c>
      <c r="L27" s="25" t="s">
        <v>241</v>
      </c>
      <c r="M27" s="25" t="s">
        <v>52</v>
      </c>
      <c r="N27" s="27" t="s">
        <v>53</v>
      </c>
      <c r="O27" s="27" t="s">
        <v>54</v>
      </c>
      <c r="P27" s="11">
        <v>36</v>
      </c>
      <c r="Q27" s="11">
        <v>2500</v>
      </c>
      <c r="R27" s="11">
        <v>1500</v>
      </c>
      <c r="S27" s="25" t="s">
        <v>32</v>
      </c>
      <c r="T27" s="11">
        <f>SUM(Procurement_data[[#This Row],[ Unit Price (USD) ]]*Procurement_data[[#This Row],[ Quantity ]])</f>
        <v>40000</v>
      </c>
      <c r="U27" s="11">
        <f t="shared" si="0"/>
        <v>26</v>
      </c>
    </row>
    <row r="28" spans="1:21">
      <c r="A28" s="11">
        <v>27</v>
      </c>
      <c r="B28" s="25" t="s">
        <v>242</v>
      </c>
      <c r="C28" s="28" t="s">
        <v>243</v>
      </c>
      <c r="D28" s="28" t="s">
        <v>244</v>
      </c>
      <c r="E28" s="28" t="s">
        <v>36</v>
      </c>
      <c r="F28" s="25" t="s">
        <v>245</v>
      </c>
      <c r="G28" s="11">
        <v>1</v>
      </c>
      <c r="H28" s="11">
        <v>200000</v>
      </c>
      <c r="I28" s="25" t="s">
        <v>246</v>
      </c>
      <c r="J28" s="25" t="s">
        <v>84</v>
      </c>
      <c r="K28" s="11">
        <v>9988776655</v>
      </c>
      <c r="L28" s="25" t="s">
        <v>247</v>
      </c>
      <c r="M28" s="25" t="s">
        <v>86</v>
      </c>
      <c r="N28" s="27" t="s">
        <v>64</v>
      </c>
      <c r="O28" s="27" t="s">
        <v>65</v>
      </c>
      <c r="P28" s="11">
        <v>48</v>
      </c>
      <c r="Q28" s="11">
        <v>5000</v>
      </c>
      <c r="R28" s="11">
        <v>3000</v>
      </c>
      <c r="S28" s="25" t="s">
        <v>32</v>
      </c>
      <c r="T28" s="11">
        <f>SUM(Procurement_data[[#This Row],[ Unit Price (USD) ]]*Procurement_data[[#This Row],[ Quantity ]])</f>
        <v>200000</v>
      </c>
      <c r="U28" s="11">
        <f t="shared" si="0"/>
        <v>23</v>
      </c>
    </row>
    <row r="29" spans="1:21">
      <c r="A29" s="11">
        <v>28</v>
      </c>
      <c r="B29" s="25" t="s">
        <v>248</v>
      </c>
      <c r="C29" s="28" t="s">
        <v>249</v>
      </c>
      <c r="D29" s="28" t="s">
        <v>250</v>
      </c>
      <c r="E29" s="28" t="s">
        <v>251</v>
      </c>
      <c r="F29" s="25" t="s">
        <v>252</v>
      </c>
      <c r="G29" s="11">
        <v>1</v>
      </c>
      <c r="H29" s="11">
        <v>70000</v>
      </c>
      <c r="I29" s="25" t="s">
        <v>253</v>
      </c>
      <c r="J29" s="25" t="s">
        <v>94</v>
      </c>
      <c r="K29" s="11">
        <v>3322114455</v>
      </c>
      <c r="L29" s="25" t="s">
        <v>254</v>
      </c>
      <c r="M29" s="25" t="s">
        <v>96</v>
      </c>
      <c r="N29" s="27" t="s">
        <v>108</v>
      </c>
      <c r="O29" s="27" t="s">
        <v>109</v>
      </c>
      <c r="P29" s="11">
        <v>36</v>
      </c>
      <c r="Q29" s="11">
        <v>3000</v>
      </c>
      <c r="R29" s="11">
        <v>2000</v>
      </c>
      <c r="S29" s="25" t="s">
        <v>66</v>
      </c>
      <c r="T29" s="11">
        <f>SUM(Procurement_data[[#This Row],[ Unit Price (USD) ]]*Procurement_data[[#This Row],[ Quantity ]])</f>
        <v>70000</v>
      </c>
      <c r="U29" s="11">
        <f t="shared" si="0"/>
        <v>26</v>
      </c>
    </row>
    <row r="30" spans="1:21">
      <c r="A30" s="11">
        <v>29</v>
      </c>
      <c r="B30" s="25" t="s">
        <v>255</v>
      </c>
      <c r="C30" s="28" t="s">
        <v>256</v>
      </c>
      <c r="D30" s="28" t="s">
        <v>257</v>
      </c>
      <c r="E30" s="28" t="s">
        <v>70</v>
      </c>
      <c r="F30" s="25" t="s">
        <v>258</v>
      </c>
      <c r="G30" s="11">
        <v>2</v>
      </c>
      <c r="H30" s="11">
        <v>6000</v>
      </c>
      <c r="I30" s="25" t="s">
        <v>226</v>
      </c>
      <c r="J30" s="25" t="s">
        <v>227</v>
      </c>
      <c r="K30" s="11">
        <v>7755332211</v>
      </c>
      <c r="L30" s="25" t="s">
        <v>228</v>
      </c>
      <c r="M30" s="25" t="s">
        <v>229</v>
      </c>
      <c r="N30" s="27" t="s">
        <v>210</v>
      </c>
      <c r="O30" s="27" t="s">
        <v>206</v>
      </c>
      <c r="P30" s="11">
        <v>24</v>
      </c>
      <c r="Q30" s="11">
        <v>800</v>
      </c>
      <c r="R30" s="11">
        <v>500</v>
      </c>
      <c r="S30" s="25" t="s">
        <v>218</v>
      </c>
      <c r="T30" s="11">
        <f>SUM(Procurement_data[[#This Row],[ Unit Price (USD) ]]*Procurement_data[[#This Row],[ Quantity ]])</f>
        <v>12000</v>
      </c>
      <c r="U30" s="11">
        <f t="shared" si="0"/>
        <v>24</v>
      </c>
    </row>
    <row r="31" spans="1:21">
      <c r="A31" s="11">
        <v>30</v>
      </c>
      <c r="B31" s="25" t="s">
        <v>259</v>
      </c>
      <c r="C31" s="28" t="s">
        <v>260</v>
      </c>
      <c r="D31" s="28" t="s">
        <v>261</v>
      </c>
      <c r="E31" s="28" t="s">
        <v>133</v>
      </c>
      <c r="F31" s="25" t="s">
        <v>59</v>
      </c>
      <c r="G31" s="11">
        <v>2</v>
      </c>
      <c r="H31" s="11">
        <v>25000</v>
      </c>
      <c r="I31" s="25" t="s">
        <v>60</v>
      </c>
      <c r="J31" s="25" t="s">
        <v>61</v>
      </c>
      <c r="K31" s="11">
        <v>6677889900</v>
      </c>
      <c r="L31" s="25" t="s">
        <v>62</v>
      </c>
      <c r="M31" s="25" t="s">
        <v>63</v>
      </c>
      <c r="N31" s="27" t="s">
        <v>217</v>
      </c>
      <c r="O31" s="27" t="s">
        <v>210</v>
      </c>
      <c r="P31" s="11">
        <v>36</v>
      </c>
      <c r="Q31" s="11">
        <v>1500</v>
      </c>
      <c r="R31" s="11">
        <v>1000</v>
      </c>
      <c r="S31" s="25" t="s">
        <v>66</v>
      </c>
      <c r="T31" s="11">
        <f>SUM(Procurement_data[[#This Row],[ Unit Price (USD) ]]*Procurement_data[[#This Row],[ Quantity ]])</f>
        <v>50000</v>
      </c>
      <c r="U31" s="11">
        <f t="shared" si="0"/>
        <v>26</v>
      </c>
    </row>
    <row r="32" spans="1:21">
      <c r="A32" s="11">
        <v>31</v>
      </c>
      <c r="B32" s="25" t="s">
        <v>262</v>
      </c>
      <c r="C32" s="28" t="s">
        <v>166</v>
      </c>
      <c r="D32" s="28" t="s">
        <v>263</v>
      </c>
      <c r="E32" s="28" t="s">
        <v>168</v>
      </c>
      <c r="F32" s="25" t="s">
        <v>264</v>
      </c>
      <c r="G32" s="11">
        <v>1</v>
      </c>
      <c r="H32" s="11">
        <v>15000</v>
      </c>
      <c r="I32" s="25" t="s">
        <v>265</v>
      </c>
      <c r="J32" s="25" t="s">
        <v>266</v>
      </c>
      <c r="K32" s="11">
        <v>6677889900</v>
      </c>
      <c r="L32" s="25" t="s">
        <v>267</v>
      </c>
      <c r="M32" s="25" t="s">
        <v>268</v>
      </c>
      <c r="N32" s="27" t="s">
        <v>31</v>
      </c>
      <c r="O32" s="27" t="s">
        <v>87</v>
      </c>
      <c r="P32" s="11">
        <v>36</v>
      </c>
      <c r="Q32" s="11">
        <v>2000</v>
      </c>
      <c r="R32" s="11">
        <v>1200</v>
      </c>
      <c r="S32" s="25" t="s">
        <v>32</v>
      </c>
      <c r="T32" s="11">
        <f>SUM(Procurement_data[[#This Row],[ Unit Price (USD) ]]*Procurement_data[[#This Row],[ Quantity ]])</f>
        <v>15000</v>
      </c>
      <c r="U32" s="11">
        <f t="shared" si="0"/>
        <v>25</v>
      </c>
    </row>
    <row r="33" spans="1:21">
      <c r="A33" s="11">
        <v>32</v>
      </c>
      <c r="B33" s="25" t="s">
        <v>269</v>
      </c>
      <c r="C33" s="28" t="s">
        <v>200</v>
      </c>
      <c r="D33" s="28" t="s">
        <v>270</v>
      </c>
      <c r="E33" s="28" t="s">
        <v>202</v>
      </c>
      <c r="F33" s="25" t="s">
        <v>271</v>
      </c>
      <c r="G33" s="11">
        <v>3</v>
      </c>
      <c r="H33" s="11">
        <v>3000</v>
      </c>
      <c r="I33" s="25" t="s">
        <v>272</v>
      </c>
      <c r="J33" s="25" t="s">
        <v>61</v>
      </c>
      <c r="K33" s="11">
        <v>7755332211</v>
      </c>
      <c r="L33" s="25" t="s">
        <v>273</v>
      </c>
      <c r="M33" s="25" t="s">
        <v>63</v>
      </c>
      <c r="N33" s="27" t="s">
        <v>30</v>
      </c>
      <c r="O33" s="27" t="s">
        <v>31</v>
      </c>
      <c r="P33" s="11">
        <v>24</v>
      </c>
      <c r="Q33" s="11">
        <v>1000</v>
      </c>
      <c r="R33" s="11">
        <v>500</v>
      </c>
      <c r="S33" s="25" t="s">
        <v>55</v>
      </c>
      <c r="T33" s="11">
        <f>SUM(Procurement_data[[#This Row],[ Unit Price (USD) ]]*Procurement_data[[#This Row],[ Quantity ]])</f>
        <v>9000</v>
      </c>
      <c r="U33" s="11">
        <f t="shared" si="0"/>
        <v>26</v>
      </c>
    </row>
    <row r="34" spans="1:21">
      <c r="A34" s="11">
        <v>33</v>
      </c>
      <c r="B34" s="25" t="s">
        <v>274</v>
      </c>
      <c r="C34" s="28" t="s">
        <v>275</v>
      </c>
      <c r="D34" s="28" t="s">
        <v>276</v>
      </c>
      <c r="E34" s="28" t="s">
        <v>113</v>
      </c>
      <c r="F34" s="25" t="s">
        <v>277</v>
      </c>
      <c r="G34" s="11">
        <v>1</v>
      </c>
      <c r="H34" s="11">
        <v>10000</v>
      </c>
      <c r="I34" s="25" t="s">
        <v>278</v>
      </c>
      <c r="J34" s="25" t="s">
        <v>116</v>
      </c>
      <c r="K34" s="11">
        <v>6677889900</v>
      </c>
      <c r="L34" s="25" t="s">
        <v>279</v>
      </c>
      <c r="M34" s="25" t="s">
        <v>118</v>
      </c>
      <c r="N34" s="27" t="s">
        <v>42</v>
      </c>
      <c r="O34" s="27" t="s">
        <v>43</v>
      </c>
      <c r="P34" s="11">
        <v>36</v>
      </c>
      <c r="Q34" s="11">
        <v>1500</v>
      </c>
      <c r="R34" s="11">
        <v>1000</v>
      </c>
      <c r="S34" s="25" t="s">
        <v>66</v>
      </c>
      <c r="T34" s="11">
        <f>SUM(Procurement_data[[#This Row],[ Unit Price (USD) ]]*Procurement_data[[#This Row],[ Quantity ]])</f>
        <v>10000</v>
      </c>
      <c r="U34" s="11">
        <f t="shared" si="0"/>
        <v>27</v>
      </c>
    </row>
    <row r="35" spans="1:21">
      <c r="A35" s="11">
        <v>34</v>
      </c>
      <c r="B35" s="25" t="s">
        <v>280</v>
      </c>
      <c r="C35" s="28" t="s">
        <v>131</v>
      </c>
      <c r="D35" s="28" t="s">
        <v>281</v>
      </c>
      <c r="E35" s="28" t="s">
        <v>141</v>
      </c>
      <c r="F35" s="25" t="s">
        <v>282</v>
      </c>
      <c r="G35" s="11">
        <v>2</v>
      </c>
      <c r="H35" s="11">
        <v>8000</v>
      </c>
      <c r="I35" s="25" t="s">
        <v>143</v>
      </c>
      <c r="J35" s="25" t="s">
        <v>144</v>
      </c>
      <c r="K35" s="11">
        <v>7755332211</v>
      </c>
      <c r="L35" s="25" t="s">
        <v>145</v>
      </c>
      <c r="M35" s="25" t="s">
        <v>146</v>
      </c>
      <c r="N35" s="27" t="s">
        <v>53</v>
      </c>
      <c r="O35" s="27" t="s">
        <v>54</v>
      </c>
      <c r="P35" s="11">
        <v>24</v>
      </c>
      <c r="Q35" s="11">
        <v>1200</v>
      </c>
      <c r="R35" s="11">
        <v>700</v>
      </c>
      <c r="S35" s="25" t="s">
        <v>32</v>
      </c>
      <c r="T35" s="11">
        <f>SUM(Procurement_data[[#This Row],[ Unit Price (USD) ]]*Procurement_data[[#This Row],[ Quantity ]])</f>
        <v>16000</v>
      </c>
      <c r="U35" s="11">
        <f t="shared" si="0"/>
        <v>26</v>
      </c>
    </row>
    <row r="36" spans="1:21">
      <c r="A36" s="11">
        <v>35</v>
      </c>
      <c r="B36" s="25" t="s">
        <v>283</v>
      </c>
      <c r="C36" s="28" t="s">
        <v>68</v>
      </c>
      <c r="D36" s="28" t="s">
        <v>284</v>
      </c>
      <c r="E36" s="28" t="s">
        <v>123</v>
      </c>
      <c r="F36" s="25" t="s">
        <v>285</v>
      </c>
      <c r="G36" s="11">
        <v>1</v>
      </c>
      <c r="H36" s="11">
        <v>10000</v>
      </c>
      <c r="I36" s="25" t="s">
        <v>125</v>
      </c>
      <c r="J36" s="25" t="s">
        <v>126</v>
      </c>
      <c r="K36" s="11">
        <v>3322114455</v>
      </c>
      <c r="L36" s="25" t="s">
        <v>127</v>
      </c>
      <c r="M36" s="25" t="s">
        <v>29</v>
      </c>
      <c r="N36" s="27" t="s">
        <v>64</v>
      </c>
      <c r="O36" s="27" t="s">
        <v>65</v>
      </c>
      <c r="P36" s="11">
        <v>36</v>
      </c>
      <c r="Q36" s="11">
        <v>1500</v>
      </c>
      <c r="R36" s="11">
        <v>800</v>
      </c>
      <c r="S36" s="25" t="s">
        <v>66</v>
      </c>
      <c r="T36" s="11">
        <f>SUM(Procurement_data[[#This Row],[ Unit Price (USD) ]]*Procurement_data[[#This Row],[ Quantity ]])</f>
        <v>10000</v>
      </c>
      <c r="U36" s="11">
        <f t="shared" si="0"/>
        <v>23</v>
      </c>
    </row>
    <row r="37" spans="1:21">
      <c r="A37" s="11">
        <v>36</v>
      </c>
      <c r="B37" s="25" t="s">
        <v>286</v>
      </c>
      <c r="C37" s="28" t="s">
        <v>193</v>
      </c>
      <c r="D37" s="28" t="s">
        <v>287</v>
      </c>
      <c r="E37" s="28" t="s">
        <v>195</v>
      </c>
      <c r="F37" s="25" t="s">
        <v>288</v>
      </c>
      <c r="G37" s="11">
        <v>1</v>
      </c>
      <c r="H37" s="11">
        <v>6000</v>
      </c>
      <c r="I37" s="25" t="s">
        <v>289</v>
      </c>
      <c r="J37" s="25" t="s">
        <v>105</v>
      </c>
      <c r="K37" s="11">
        <v>9988776655</v>
      </c>
      <c r="L37" s="25" t="s">
        <v>290</v>
      </c>
      <c r="M37" s="25" t="s">
        <v>107</v>
      </c>
      <c r="N37" s="27" t="s">
        <v>76</v>
      </c>
      <c r="O37" s="27" t="s">
        <v>77</v>
      </c>
      <c r="P37" s="11">
        <v>24</v>
      </c>
      <c r="Q37" s="11">
        <v>800</v>
      </c>
      <c r="R37" s="11">
        <v>500</v>
      </c>
      <c r="S37" s="25" t="s">
        <v>218</v>
      </c>
      <c r="T37" s="11">
        <f>SUM(Procurement_data[[#This Row],[ Unit Price (USD) ]]*Procurement_data[[#This Row],[ Quantity ]])</f>
        <v>6000</v>
      </c>
      <c r="U37" s="11">
        <f t="shared" si="0"/>
        <v>23</v>
      </c>
    </row>
    <row r="38" spans="1:21">
      <c r="A38" s="11">
        <v>37</v>
      </c>
      <c r="B38" s="25" t="s">
        <v>291</v>
      </c>
      <c r="C38" s="28" t="s">
        <v>200</v>
      </c>
      <c r="D38" s="28" t="s">
        <v>292</v>
      </c>
      <c r="E38" s="28" t="s">
        <v>91</v>
      </c>
      <c r="F38" s="25" t="s">
        <v>293</v>
      </c>
      <c r="G38" s="11">
        <v>1</v>
      </c>
      <c r="H38" s="11">
        <v>25000</v>
      </c>
      <c r="I38" s="25" t="s">
        <v>93</v>
      </c>
      <c r="J38" s="25" t="s">
        <v>94</v>
      </c>
      <c r="K38" s="11">
        <v>6677889900</v>
      </c>
      <c r="L38" s="25" t="s">
        <v>95</v>
      </c>
      <c r="M38" s="25" t="s">
        <v>96</v>
      </c>
      <c r="N38" s="27" t="s">
        <v>97</v>
      </c>
      <c r="O38" s="27" t="s">
        <v>98</v>
      </c>
      <c r="P38" s="11">
        <v>48</v>
      </c>
      <c r="Q38" s="11">
        <v>2000</v>
      </c>
      <c r="R38" s="11">
        <v>1200</v>
      </c>
      <c r="S38" s="25" t="s">
        <v>32</v>
      </c>
      <c r="T38" s="11">
        <f>SUM(Procurement_data[[#This Row],[ Unit Price (USD) ]]*Procurement_data[[#This Row],[ Quantity ]])</f>
        <v>25000</v>
      </c>
      <c r="U38" s="11">
        <f t="shared" si="0"/>
        <v>26</v>
      </c>
    </row>
    <row r="39" spans="1:21">
      <c r="A39" s="11">
        <v>38</v>
      </c>
      <c r="B39" s="25" t="s">
        <v>294</v>
      </c>
      <c r="C39" s="28" t="s">
        <v>212</v>
      </c>
      <c r="D39" s="28" t="s">
        <v>295</v>
      </c>
      <c r="E39" s="28" t="s">
        <v>24</v>
      </c>
      <c r="F39" s="25" t="s">
        <v>296</v>
      </c>
      <c r="G39" s="11">
        <v>2</v>
      </c>
      <c r="H39" s="11">
        <v>20000</v>
      </c>
      <c r="I39" s="25" t="s">
        <v>215</v>
      </c>
      <c r="J39" s="25" t="s">
        <v>136</v>
      </c>
      <c r="K39" s="11">
        <v>7755332211</v>
      </c>
      <c r="L39" s="25" t="s">
        <v>216</v>
      </c>
      <c r="M39" s="25" t="s">
        <v>29</v>
      </c>
      <c r="N39" s="27" t="s">
        <v>217</v>
      </c>
      <c r="O39" s="27" t="s">
        <v>210</v>
      </c>
      <c r="P39" s="11">
        <v>36</v>
      </c>
      <c r="Q39" s="11">
        <v>1200</v>
      </c>
      <c r="R39" s="11">
        <v>700</v>
      </c>
      <c r="S39" s="25" t="s">
        <v>66</v>
      </c>
      <c r="T39" s="11">
        <f>SUM(Procurement_data[[#This Row],[ Unit Price (USD) ]]*Procurement_data[[#This Row],[ Quantity ]])</f>
        <v>40000</v>
      </c>
      <c r="U39" s="11">
        <f t="shared" si="0"/>
        <v>26</v>
      </c>
    </row>
    <row r="40" spans="1:21">
      <c r="A40" s="11">
        <v>39</v>
      </c>
      <c r="B40" s="25" t="s">
        <v>297</v>
      </c>
      <c r="C40" s="28" t="s">
        <v>200</v>
      </c>
      <c r="D40" s="28" t="s">
        <v>298</v>
      </c>
      <c r="E40" s="28" t="s">
        <v>81</v>
      </c>
      <c r="F40" s="25" t="s">
        <v>299</v>
      </c>
      <c r="G40" s="11">
        <v>1</v>
      </c>
      <c r="H40" s="11">
        <v>500000</v>
      </c>
      <c r="I40" s="25" t="s">
        <v>300</v>
      </c>
      <c r="J40" s="25" t="s">
        <v>61</v>
      </c>
      <c r="K40" s="11">
        <v>3322114455</v>
      </c>
      <c r="L40" s="25" t="s">
        <v>301</v>
      </c>
      <c r="M40" s="25" t="s">
        <v>63</v>
      </c>
      <c r="N40" s="27" t="s">
        <v>31</v>
      </c>
      <c r="O40" s="27" t="s">
        <v>87</v>
      </c>
      <c r="P40" s="11">
        <v>48</v>
      </c>
      <c r="Q40" s="11">
        <v>5000</v>
      </c>
      <c r="R40" s="11">
        <v>3000</v>
      </c>
      <c r="S40" s="25" t="s">
        <v>32</v>
      </c>
      <c r="T40" s="11">
        <f>SUM(Procurement_data[[#This Row],[ Unit Price (USD) ]]*Procurement_data[[#This Row],[ Quantity ]])</f>
        <v>500000</v>
      </c>
      <c r="U40" s="11">
        <f t="shared" si="0"/>
        <v>25</v>
      </c>
    </row>
    <row r="41" spans="1:21">
      <c r="A41" s="11">
        <v>40</v>
      </c>
      <c r="B41" s="25" t="s">
        <v>302</v>
      </c>
      <c r="C41" s="28" t="s">
        <v>166</v>
      </c>
      <c r="D41" s="28" t="s">
        <v>303</v>
      </c>
      <c r="E41" s="28" t="s">
        <v>58</v>
      </c>
      <c r="F41" s="25" t="s">
        <v>304</v>
      </c>
      <c r="G41" s="11">
        <v>2</v>
      </c>
      <c r="H41" s="11">
        <v>5000</v>
      </c>
      <c r="I41" s="25" t="s">
        <v>226</v>
      </c>
      <c r="J41" s="25" t="s">
        <v>227</v>
      </c>
      <c r="K41" s="11">
        <v>6677889900</v>
      </c>
      <c r="L41" s="25" t="s">
        <v>228</v>
      </c>
      <c r="M41" s="25" t="s">
        <v>229</v>
      </c>
      <c r="N41" s="27" t="s">
        <v>30</v>
      </c>
      <c r="O41" s="27" t="s">
        <v>31</v>
      </c>
      <c r="P41" s="11">
        <v>24</v>
      </c>
      <c r="Q41" s="11">
        <v>1000</v>
      </c>
      <c r="R41" s="11">
        <v>500</v>
      </c>
      <c r="S41" s="25" t="s">
        <v>55</v>
      </c>
      <c r="T41" s="11">
        <f>SUM(Procurement_data[[#This Row],[ Unit Price (USD) ]]*Procurement_data[[#This Row],[ Quantity ]])</f>
        <v>10000</v>
      </c>
      <c r="U41" s="11">
        <f t="shared" si="0"/>
        <v>26</v>
      </c>
    </row>
    <row r="42" spans="1:21">
      <c r="A42" s="11">
        <v>41</v>
      </c>
      <c r="B42" s="25" t="s">
        <v>305</v>
      </c>
      <c r="C42" s="28" t="s">
        <v>306</v>
      </c>
      <c r="D42" s="28" t="s">
        <v>307</v>
      </c>
      <c r="E42" s="28" t="s">
        <v>102</v>
      </c>
      <c r="F42" s="25" t="s">
        <v>308</v>
      </c>
      <c r="G42" s="11">
        <v>1</v>
      </c>
      <c r="H42" s="11">
        <v>15000</v>
      </c>
      <c r="I42" s="25" t="s">
        <v>234</v>
      </c>
      <c r="J42" s="25" t="s">
        <v>105</v>
      </c>
      <c r="K42" s="11">
        <v>7755332211</v>
      </c>
      <c r="L42" s="25" t="s">
        <v>235</v>
      </c>
      <c r="M42" s="25" t="s">
        <v>107</v>
      </c>
      <c r="N42" s="27" t="s">
        <v>42</v>
      </c>
      <c r="O42" s="27" t="s">
        <v>43</v>
      </c>
      <c r="P42" s="11">
        <v>36</v>
      </c>
      <c r="Q42" s="11">
        <v>2000</v>
      </c>
      <c r="R42" s="11">
        <v>1200</v>
      </c>
      <c r="S42" s="25" t="s">
        <v>32</v>
      </c>
      <c r="T42" s="11">
        <f>SUM(Procurement_data[[#This Row],[ Unit Price (USD) ]]*Procurement_data[[#This Row],[ Quantity ]])</f>
        <v>15000</v>
      </c>
      <c r="U42" s="11">
        <f t="shared" si="0"/>
        <v>27</v>
      </c>
    </row>
    <row r="43" spans="1:21">
      <c r="A43" s="11">
        <v>42</v>
      </c>
      <c r="B43" s="25" t="s">
        <v>309</v>
      </c>
      <c r="C43" s="28" t="s">
        <v>139</v>
      </c>
      <c r="D43" s="28" t="s">
        <v>310</v>
      </c>
      <c r="E43" s="28" t="s">
        <v>47</v>
      </c>
      <c r="F43" s="25" t="s">
        <v>311</v>
      </c>
      <c r="G43" s="11">
        <v>1</v>
      </c>
      <c r="H43" s="11">
        <v>8000</v>
      </c>
      <c r="I43" s="25" t="s">
        <v>240</v>
      </c>
      <c r="J43" s="25" t="s">
        <v>50</v>
      </c>
      <c r="K43" s="11">
        <v>3322114455</v>
      </c>
      <c r="L43" s="25" t="s">
        <v>241</v>
      </c>
      <c r="M43" s="25" t="s">
        <v>52</v>
      </c>
      <c r="N43" s="27" t="s">
        <v>53</v>
      </c>
      <c r="O43" s="27" t="s">
        <v>54</v>
      </c>
      <c r="P43" s="11">
        <v>48</v>
      </c>
      <c r="Q43" s="11">
        <v>1500</v>
      </c>
      <c r="R43" s="11">
        <v>1000</v>
      </c>
      <c r="S43" s="25" t="s">
        <v>66</v>
      </c>
      <c r="T43" s="11">
        <f>SUM(Procurement_data[[#This Row],[ Unit Price (USD) ]]*Procurement_data[[#This Row],[ Quantity ]])</f>
        <v>8000</v>
      </c>
      <c r="U43" s="11">
        <f t="shared" si="0"/>
        <v>26</v>
      </c>
    </row>
    <row r="44" spans="1:21">
      <c r="A44" s="11">
        <v>43</v>
      </c>
      <c r="B44" s="25" t="s">
        <v>312</v>
      </c>
      <c r="C44" s="28" t="s">
        <v>212</v>
      </c>
      <c r="D44" s="28" t="s">
        <v>313</v>
      </c>
      <c r="E44" s="28" t="s">
        <v>36</v>
      </c>
      <c r="F44" s="25" t="s">
        <v>314</v>
      </c>
      <c r="G44" s="11">
        <v>1</v>
      </c>
      <c r="H44" s="11">
        <v>30000</v>
      </c>
      <c r="I44" s="25" t="s">
        <v>315</v>
      </c>
      <c r="J44" s="25" t="s">
        <v>61</v>
      </c>
      <c r="K44" s="11">
        <v>6677889900</v>
      </c>
      <c r="L44" s="25" t="s">
        <v>316</v>
      </c>
      <c r="M44" s="25" t="s">
        <v>63</v>
      </c>
      <c r="N44" s="27" t="s">
        <v>64</v>
      </c>
      <c r="O44" s="27" t="s">
        <v>65</v>
      </c>
      <c r="P44" s="11">
        <v>36</v>
      </c>
      <c r="Q44" s="11">
        <v>1800</v>
      </c>
      <c r="R44" s="11">
        <v>1000</v>
      </c>
      <c r="S44" s="25" t="s">
        <v>55</v>
      </c>
      <c r="T44" s="11">
        <f>SUM(Procurement_data[[#This Row],[ Unit Price (USD) ]]*Procurement_data[[#This Row],[ Quantity ]])</f>
        <v>30000</v>
      </c>
      <c r="U44" s="11">
        <f t="shared" si="0"/>
        <v>23</v>
      </c>
    </row>
    <row r="45" spans="1:21">
      <c r="A45" s="11">
        <v>44</v>
      </c>
      <c r="B45" s="25" t="s">
        <v>317</v>
      </c>
      <c r="C45" s="28" t="s">
        <v>175</v>
      </c>
      <c r="D45" s="28" t="s">
        <v>318</v>
      </c>
      <c r="E45" s="28" t="s">
        <v>177</v>
      </c>
      <c r="F45" s="25" t="s">
        <v>319</v>
      </c>
      <c r="G45" s="11">
        <v>3</v>
      </c>
      <c r="H45" s="11">
        <v>2000</v>
      </c>
      <c r="I45" s="25" t="s">
        <v>320</v>
      </c>
      <c r="J45" s="25" t="s">
        <v>266</v>
      </c>
      <c r="K45" s="11">
        <v>7755332211</v>
      </c>
      <c r="L45" s="25" t="s">
        <v>321</v>
      </c>
      <c r="M45" s="25" t="s">
        <v>268</v>
      </c>
      <c r="N45" s="27" t="s">
        <v>76</v>
      </c>
      <c r="O45" s="27" t="s">
        <v>77</v>
      </c>
      <c r="P45" s="11">
        <v>24</v>
      </c>
      <c r="Q45" s="11">
        <v>800</v>
      </c>
      <c r="R45" s="11">
        <v>600</v>
      </c>
      <c r="S45" s="25" t="s">
        <v>218</v>
      </c>
      <c r="T45" s="11">
        <f>SUM(Procurement_data[[#This Row],[ Unit Price (USD) ]]*Procurement_data[[#This Row],[ Quantity ]])</f>
        <v>6000</v>
      </c>
      <c r="U45" s="11">
        <f t="shared" si="0"/>
        <v>23</v>
      </c>
    </row>
    <row r="46" spans="1:21">
      <c r="A46" s="11">
        <v>45</v>
      </c>
      <c r="B46" s="25" t="s">
        <v>322</v>
      </c>
      <c r="C46" s="28" t="s">
        <v>323</v>
      </c>
      <c r="D46" s="28" t="s">
        <v>324</v>
      </c>
      <c r="E46" s="28" t="s">
        <v>181</v>
      </c>
      <c r="F46" s="25" t="s">
        <v>325</v>
      </c>
      <c r="G46" s="11">
        <v>1</v>
      </c>
      <c r="H46" s="11">
        <v>25000</v>
      </c>
      <c r="I46" s="25" t="s">
        <v>183</v>
      </c>
      <c r="J46" s="25" t="s">
        <v>184</v>
      </c>
      <c r="K46" s="11">
        <v>3322114455</v>
      </c>
      <c r="L46" s="25" t="s">
        <v>185</v>
      </c>
      <c r="M46" s="25" t="s">
        <v>155</v>
      </c>
      <c r="N46" s="27" t="s">
        <v>97</v>
      </c>
      <c r="O46" s="27" t="s">
        <v>98</v>
      </c>
      <c r="P46" s="11">
        <v>36</v>
      </c>
      <c r="Q46" s="11">
        <v>2000</v>
      </c>
      <c r="R46" s="11">
        <v>1200</v>
      </c>
      <c r="S46" s="25" t="s">
        <v>32</v>
      </c>
      <c r="T46" s="11">
        <f>SUM(Procurement_data[[#This Row],[ Unit Price (USD) ]]*Procurement_data[[#This Row],[ Quantity ]])</f>
        <v>25000</v>
      </c>
      <c r="U46" s="11">
        <f t="shared" si="0"/>
        <v>26</v>
      </c>
    </row>
    <row r="47" spans="1:21">
      <c r="A47" s="11">
        <v>46</v>
      </c>
      <c r="B47" s="25" t="s">
        <v>326</v>
      </c>
      <c r="C47" s="28" t="s">
        <v>306</v>
      </c>
      <c r="D47" s="28" t="s">
        <v>327</v>
      </c>
      <c r="E47" s="28" t="s">
        <v>123</v>
      </c>
      <c r="F47" s="25" t="s">
        <v>328</v>
      </c>
      <c r="G47" s="11">
        <v>2</v>
      </c>
      <c r="H47" s="11">
        <v>15000</v>
      </c>
      <c r="I47" s="25" t="s">
        <v>125</v>
      </c>
      <c r="J47" s="25" t="s">
        <v>126</v>
      </c>
      <c r="K47" s="11">
        <v>6677889900</v>
      </c>
      <c r="L47" s="25" t="s">
        <v>127</v>
      </c>
      <c r="M47" s="25" t="s">
        <v>29</v>
      </c>
      <c r="N47" s="27" t="s">
        <v>53</v>
      </c>
      <c r="O47" s="27" t="s">
        <v>54</v>
      </c>
      <c r="P47" s="11">
        <v>48</v>
      </c>
      <c r="Q47" s="11">
        <v>1500</v>
      </c>
      <c r="R47" s="11">
        <v>800</v>
      </c>
      <c r="S47" s="25" t="s">
        <v>66</v>
      </c>
      <c r="T47" s="11">
        <f>SUM(Procurement_data[[#This Row],[ Unit Price (USD) ]]*Procurement_data[[#This Row],[ Quantity ]])</f>
        <v>30000</v>
      </c>
      <c r="U47" s="11">
        <f t="shared" si="0"/>
        <v>26</v>
      </c>
    </row>
    <row r="48" spans="1:21">
      <c r="A48" s="11">
        <v>47</v>
      </c>
      <c r="B48" s="25" t="s">
        <v>329</v>
      </c>
      <c r="C48" s="28" t="s">
        <v>166</v>
      </c>
      <c r="D48" s="28" t="s">
        <v>330</v>
      </c>
      <c r="E48" s="28" t="s">
        <v>195</v>
      </c>
      <c r="F48" s="25" t="s">
        <v>331</v>
      </c>
      <c r="G48" s="11">
        <v>3</v>
      </c>
      <c r="H48" s="11">
        <v>1000</v>
      </c>
      <c r="I48" s="25" t="s">
        <v>289</v>
      </c>
      <c r="J48" s="25" t="s">
        <v>105</v>
      </c>
      <c r="K48" s="11">
        <v>7755332211</v>
      </c>
      <c r="L48" s="25" t="s">
        <v>290</v>
      </c>
      <c r="M48" s="25" t="s">
        <v>107</v>
      </c>
      <c r="N48" s="27" t="s">
        <v>64</v>
      </c>
      <c r="O48" s="27" t="s">
        <v>65</v>
      </c>
      <c r="P48" s="11">
        <v>24</v>
      </c>
      <c r="Q48" s="11">
        <v>500</v>
      </c>
      <c r="R48" s="11">
        <v>300</v>
      </c>
      <c r="S48" s="25" t="s">
        <v>218</v>
      </c>
      <c r="T48" s="11">
        <f>SUM(Procurement_data[[#This Row],[ Unit Price (USD) ]]*Procurement_data[[#This Row],[ Quantity ]])</f>
        <v>3000</v>
      </c>
      <c r="U48" s="11">
        <f t="shared" si="0"/>
        <v>23</v>
      </c>
    </row>
    <row r="49" spans="1:21">
      <c r="A49" s="11">
        <v>48</v>
      </c>
      <c r="B49" s="25" t="s">
        <v>332</v>
      </c>
      <c r="C49" s="28" t="s">
        <v>175</v>
      </c>
      <c r="D49" s="28" t="s">
        <v>333</v>
      </c>
      <c r="E49" s="28" t="s">
        <v>251</v>
      </c>
      <c r="F49" s="25" t="s">
        <v>334</v>
      </c>
      <c r="G49" s="11">
        <v>1</v>
      </c>
      <c r="H49" s="11">
        <v>40000</v>
      </c>
      <c r="I49" s="25" t="s">
        <v>253</v>
      </c>
      <c r="J49" s="25" t="s">
        <v>94</v>
      </c>
      <c r="K49" s="11">
        <v>3322114455</v>
      </c>
      <c r="L49" s="25" t="s">
        <v>254</v>
      </c>
      <c r="M49" s="25" t="s">
        <v>96</v>
      </c>
      <c r="N49" s="27" t="s">
        <v>30</v>
      </c>
      <c r="O49" s="27" t="s">
        <v>31</v>
      </c>
      <c r="P49" s="11">
        <v>36</v>
      </c>
      <c r="Q49" s="11">
        <v>3000</v>
      </c>
      <c r="R49" s="11">
        <v>2000</v>
      </c>
      <c r="S49" s="25" t="s">
        <v>32</v>
      </c>
      <c r="T49" s="11">
        <f>SUM(Procurement_data[[#This Row],[ Unit Price (USD) ]]*Procurement_data[[#This Row],[ Quantity ]])</f>
        <v>40000</v>
      </c>
      <c r="U49" s="11">
        <f t="shared" si="0"/>
        <v>26</v>
      </c>
    </row>
    <row r="50" spans="1:21">
      <c r="A50" s="11">
        <v>49</v>
      </c>
      <c r="B50" s="25" t="s">
        <v>335</v>
      </c>
      <c r="C50" s="28" t="s">
        <v>166</v>
      </c>
      <c r="D50" s="28" t="s">
        <v>336</v>
      </c>
      <c r="E50" s="28" t="s">
        <v>24</v>
      </c>
      <c r="F50" s="25" t="s">
        <v>337</v>
      </c>
      <c r="G50" s="11">
        <v>1</v>
      </c>
      <c r="H50" s="11">
        <v>40000</v>
      </c>
      <c r="I50" s="25" t="s">
        <v>338</v>
      </c>
      <c r="J50" s="25" t="s">
        <v>136</v>
      </c>
      <c r="K50" s="11">
        <v>6677889900</v>
      </c>
      <c r="L50" s="25" t="s">
        <v>339</v>
      </c>
      <c r="M50" s="25" t="s">
        <v>29</v>
      </c>
      <c r="N50" s="27" t="s">
        <v>42</v>
      </c>
      <c r="O50" s="27" t="s">
        <v>43</v>
      </c>
      <c r="P50" s="11">
        <v>48</v>
      </c>
      <c r="Q50" s="11">
        <v>2500</v>
      </c>
      <c r="R50" s="11">
        <v>1500</v>
      </c>
      <c r="S50" s="25" t="s">
        <v>32</v>
      </c>
      <c r="T50" s="11">
        <f>SUM(Procurement_data[[#This Row],[ Unit Price (USD) ]]*Procurement_data[[#This Row],[ Quantity ]])</f>
        <v>40000</v>
      </c>
      <c r="U50" s="11">
        <f t="shared" si="0"/>
        <v>27</v>
      </c>
    </row>
    <row r="51" spans="1:21">
      <c r="A51" s="11">
        <v>50</v>
      </c>
      <c r="B51" s="25" t="s">
        <v>340</v>
      </c>
      <c r="C51" s="28" t="s">
        <v>175</v>
      </c>
      <c r="D51" s="28" t="s">
        <v>341</v>
      </c>
      <c r="E51" s="28" t="s">
        <v>202</v>
      </c>
      <c r="F51" s="25" t="s">
        <v>342</v>
      </c>
      <c r="G51" s="11">
        <v>2</v>
      </c>
      <c r="H51" s="11">
        <v>3000</v>
      </c>
      <c r="I51" s="25" t="s">
        <v>60</v>
      </c>
      <c r="J51" s="25" t="s">
        <v>61</v>
      </c>
      <c r="K51" s="11">
        <v>7755332211</v>
      </c>
      <c r="L51" s="25" t="s">
        <v>62</v>
      </c>
      <c r="M51" s="25" t="s">
        <v>63</v>
      </c>
      <c r="N51" s="27" t="s">
        <v>53</v>
      </c>
      <c r="O51" s="27" t="s">
        <v>54</v>
      </c>
      <c r="P51" s="11">
        <v>24</v>
      </c>
      <c r="Q51" s="11">
        <v>1000</v>
      </c>
      <c r="R51" s="11">
        <v>500</v>
      </c>
      <c r="S51" s="25" t="s">
        <v>55</v>
      </c>
      <c r="T51" s="11">
        <f>SUM(Procurement_data[[#This Row],[ Unit Price (USD) ]]*Procurement_data[[#This Row],[ Quantity ]])</f>
        <v>6000</v>
      </c>
      <c r="U51" s="11">
        <f t="shared" si="0"/>
        <v>26</v>
      </c>
    </row>
    <row r="52" ht="14" customHeight="1" spans="1:21">
      <c r="A52" s="11">
        <v>51</v>
      </c>
      <c r="B52" s="25" t="s">
        <v>309</v>
      </c>
      <c r="C52" s="28" t="s">
        <v>139</v>
      </c>
      <c r="D52" s="28" t="s">
        <v>310</v>
      </c>
      <c r="E52" s="28" t="s">
        <v>47</v>
      </c>
      <c r="F52" s="25" t="s">
        <v>343</v>
      </c>
      <c r="G52" s="11">
        <v>1</v>
      </c>
      <c r="H52" s="11">
        <v>20000</v>
      </c>
      <c r="I52" s="25" t="s">
        <v>344</v>
      </c>
      <c r="J52" s="25" t="s">
        <v>50</v>
      </c>
      <c r="K52" s="11">
        <v>3322114455</v>
      </c>
      <c r="L52" s="25" t="s">
        <v>345</v>
      </c>
      <c r="M52" s="25" t="s">
        <v>52</v>
      </c>
      <c r="N52" s="27" t="s">
        <v>31</v>
      </c>
      <c r="O52" s="27" t="s">
        <v>87</v>
      </c>
      <c r="P52" s="11">
        <v>36</v>
      </c>
      <c r="Q52" s="11">
        <v>2500</v>
      </c>
      <c r="R52" s="11">
        <v>1500</v>
      </c>
      <c r="S52" s="25" t="s">
        <v>32</v>
      </c>
      <c r="T52" s="11">
        <f>SUM(Procurement_data[[#This Row],[ Unit Price (USD) ]]*Procurement_data[[#This Row],[ Quantity ]])</f>
        <v>20000</v>
      </c>
      <c r="U52" s="11">
        <f t="shared" si="0"/>
        <v>25</v>
      </c>
    </row>
    <row r="53" spans="1:21">
      <c r="A53" s="11">
        <v>52</v>
      </c>
      <c r="B53" s="25" t="s">
        <v>274</v>
      </c>
      <c r="C53" s="28" t="s">
        <v>275</v>
      </c>
      <c r="D53" s="28" t="s">
        <v>276</v>
      </c>
      <c r="E53" s="28" t="s">
        <v>113</v>
      </c>
      <c r="F53" s="25" t="s">
        <v>346</v>
      </c>
      <c r="G53" s="11">
        <v>1</v>
      </c>
      <c r="H53" s="11">
        <v>70000</v>
      </c>
      <c r="I53" s="25" t="s">
        <v>115</v>
      </c>
      <c r="J53" s="25" t="s">
        <v>116</v>
      </c>
      <c r="K53" s="11">
        <v>6677889900</v>
      </c>
      <c r="L53" s="25" t="s">
        <v>117</v>
      </c>
      <c r="M53" s="25" t="s">
        <v>118</v>
      </c>
      <c r="N53" s="27" t="s">
        <v>30</v>
      </c>
      <c r="O53" s="27" t="s">
        <v>31</v>
      </c>
      <c r="P53" s="11">
        <v>48</v>
      </c>
      <c r="Q53" s="11">
        <v>3000</v>
      </c>
      <c r="R53" s="11">
        <v>2000</v>
      </c>
      <c r="S53" s="25" t="s">
        <v>66</v>
      </c>
      <c r="T53" s="11">
        <f>SUM(Procurement_data[[#This Row],[ Unit Price (USD) ]]*Procurement_data[[#This Row],[ Quantity ]])</f>
        <v>70000</v>
      </c>
      <c r="U53" s="11">
        <f t="shared" si="0"/>
        <v>26</v>
      </c>
    </row>
    <row r="54" spans="1:21">
      <c r="A54" s="11">
        <v>53</v>
      </c>
      <c r="B54" s="25" t="s">
        <v>283</v>
      </c>
      <c r="C54" s="28" t="s">
        <v>68</v>
      </c>
      <c r="D54" s="28" t="s">
        <v>284</v>
      </c>
      <c r="E54" s="28" t="s">
        <v>123</v>
      </c>
      <c r="F54" s="25" t="s">
        <v>124</v>
      </c>
      <c r="G54" s="11">
        <v>1</v>
      </c>
      <c r="H54" s="11">
        <v>30000</v>
      </c>
      <c r="I54" s="25" t="s">
        <v>125</v>
      </c>
      <c r="J54" s="25" t="s">
        <v>126</v>
      </c>
      <c r="K54" s="11">
        <v>7755332211</v>
      </c>
      <c r="L54" s="25" t="s">
        <v>127</v>
      </c>
      <c r="M54" s="25" t="s">
        <v>29</v>
      </c>
      <c r="N54" s="27" t="s">
        <v>97</v>
      </c>
      <c r="O54" s="27" t="s">
        <v>98</v>
      </c>
      <c r="P54" s="11">
        <v>36</v>
      </c>
      <c r="Q54" s="11">
        <v>1500</v>
      </c>
      <c r="R54" s="11">
        <v>800</v>
      </c>
      <c r="S54" s="25" t="s">
        <v>66</v>
      </c>
      <c r="T54" s="11">
        <f>SUM(Procurement_data[[#This Row],[ Unit Price (USD) ]]*Procurement_data[[#This Row],[ Quantity ]])</f>
        <v>30000</v>
      </c>
      <c r="U54" s="11">
        <f t="shared" si="0"/>
        <v>26</v>
      </c>
    </row>
    <row r="55" spans="1:21">
      <c r="A55" s="11">
        <v>54</v>
      </c>
      <c r="B55" s="25" t="s">
        <v>286</v>
      </c>
      <c r="C55" s="28" t="s">
        <v>193</v>
      </c>
      <c r="D55" s="28" t="s">
        <v>287</v>
      </c>
      <c r="E55" s="28" t="s">
        <v>195</v>
      </c>
      <c r="F55" s="25" t="s">
        <v>196</v>
      </c>
      <c r="G55" s="11">
        <v>1</v>
      </c>
      <c r="H55" s="11">
        <v>5000</v>
      </c>
      <c r="I55" s="25" t="s">
        <v>197</v>
      </c>
      <c r="J55" s="25" t="s">
        <v>162</v>
      </c>
      <c r="K55" s="11">
        <v>9988776655</v>
      </c>
      <c r="L55" s="25" t="s">
        <v>347</v>
      </c>
      <c r="M55" s="25" t="s">
        <v>164</v>
      </c>
      <c r="N55" s="27" t="s">
        <v>53</v>
      </c>
      <c r="O55" s="27" t="s">
        <v>54</v>
      </c>
      <c r="P55" s="11">
        <v>24</v>
      </c>
      <c r="Q55" s="11">
        <v>800</v>
      </c>
      <c r="R55" s="11">
        <v>600</v>
      </c>
      <c r="S55" s="25" t="s">
        <v>32</v>
      </c>
      <c r="T55" s="11">
        <f>SUM(Procurement_data[[#This Row],[ Unit Price (USD) ]]*Procurement_data[[#This Row],[ Quantity ]])</f>
        <v>5000</v>
      </c>
      <c r="U55" s="11">
        <f t="shared" si="0"/>
        <v>26</v>
      </c>
    </row>
    <row r="56" spans="1:21">
      <c r="A56" s="11">
        <v>55</v>
      </c>
      <c r="B56" s="25" t="s">
        <v>291</v>
      </c>
      <c r="C56" s="28" t="s">
        <v>200</v>
      </c>
      <c r="D56" s="28" t="s">
        <v>292</v>
      </c>
      <c r="E56" s="28" t="s">
        <v>91</v>
      </c>
      <c r="F56" s="25" t="s">
        <v>92</v>
      </c>
      <c r="G56" s="11">
        <v>2</v>
      </c>
      <c r="H56" s="11">
        <v>10000</v>
      </c>
      <c r="I56" s="25" t="s">
        <v>93</v>
      </c>
      <c r="J56" s="25" t="s">
        <v>94</v>
      </c>
      <c r="K56" s="11">
        <v>6677889900</v>
      </c>
      <c r="L56" s="25" t="s">
        <v>95</v>
      </c>
      <c r="M56" s="25" t="s">
        <v>96</v>
      </c>
      <c r="N56" s="27" t="s">
        <v>64</v>
      </c>
      <c r="O56" s="27" t="s">
        <v>65</v>
      </c>
      <c r="P56" s="11">
        <v>48</v>
      </c>
      <c r="Q56" s="11">
        <v>2000</v>
      </c>
      <c r="R56" s="11">
        <v>1200</v>
      </c>
      <c r="S56" s="25" t="s">
        <v>32</v>
      </c>
      <c r="T56" s="11">
        <f>SUM(Procurement_data[[#This Row],[ Unit Price (USD) ]]*Procurement_data[[#This Row],[ Quantity ]])</f>
        <v>20000</v>
      </c>
      <c r="U56" s="11">
        <f t="shared" si="0"/>
        <v>23</v>
      </c>
    </row>
    <row r="57" spans="1:21">
      <c r="A57" s="11">
        <v>56</v>
      </c>
      <c r="B57" s="25" t="s">
        <v>294</v>
      </c>
      <c r="C57" s="28" t="s">
        <v>212</v>
      </c>
      <c r="D57" s="28" t="s">
        <v>295</v>
      </c>
      <c r="E57" s="28" t="s">
        <v>24</v>
      </c>
      <c r="F57" s="25" t="s">
        <v>25</v>
      </c>
      <c r="G57" s="11">
        <v>1</v>
      </c>
      <c r="H57" s="11">
        <v>8000</v>
      </c>
      <c r="I57" s="25" t="s">
        <v>215</v>
      </c>
      <c r="J57" s="25" t="s">
        <v>136</v>
      </c>
      <c r="K57" s="11">
        <v>7755332211</v>
      </c>
      <c r="L57" s="25" t="s">
        <v>216</v>
      </c>
      <c r="M57" s="25" t="s">
        <v>29</v>
      </c>
      <c r="N57" s="27" t="s">
        <v>30</v>
      </c>
      <c r="O57" s="27" t="s">
        <v>31</v>
      </c>
      <c r="P57" s="11">
        <v>36</v>
      </c>
      <c r="Q57" s="11">
        <v>1000</v>
      </c>
      <c r="R57" s="11">
        <v>500</v>
      </c>
      <c r="S57" s="25" t="s">
        <v>55</v>
      </c>
      <c r="T57" s="11">
        <f>SUM(Procurement_data[[#This Row],[ Unit Price (USD) ]]*Procurement_data[[#This Row],[ Quantity ]])</f>
        <v>8000</v>
      </c>
      <c r="U57" s="11">
        <f t="shared" si="0"/>
        <v>26</v>
      </c>
    </row>
    <row r="58" spans="1:21">
      <c r="A58" s="11">
        <v>57</v>
      </c>
      <c r="B58" s="25" t="s">
        <v>297</v>
      </c>
      <c r="C58" s="28" t="s">
        <v>200</v>
      </c>
      <c r="D58" s="28" t="s">
        <v>298</v>
      </c>
      <c r="E58" s="28" t="s">
        <v>81</v>
      </c>
      <c r="F58" s="25" t="s">
        <v>82</v>
      </c>
      <c r="G58" s="11">
        <v>1</v>
      </c>
      <c r="H58" s="11">
        <v>250000</v>
      </c>
      <c r="I58" s="25" t="s">
        <v>83</v>
      </c>
      <c r="J58" s="25" t="s">
        <v>84</v>
      </c>
      <c r="K58" s="11">
        <v>3322114455</v>
      </c>
      <c r="L58" s="25" t="s">
        <v>85</v>
      </c>
      <c r="M58" s="25" t="s">
        <v>86</v>
      </c>
      <c r="N58" s="27" t="s">
        <v>97</v>
      </c>
      <c r="O58" s="27" t="s">
        <v>98</v>
      </c>
      <c r="P58" s="11">
        <v>48</v>
      </c>
      <c r="Q58" s="11">
        <v>5000</v>
      </c>
      <c r="R58" s="11">
        <v>3000</v>
      </c>
      <c r="S58" s="25" t="s">
        <v>32</v>
      </c>
      <c r="T58" s="11">
        <f>SUM(Procurement_data[[#This Row],[ Unit Price (USD) ]]*Procurement_data[[#This Row],[ Quantity ]])</f>
        <v>250000</v>
      </c>
      <c r="U58" s="11">
        <f t="shared" si="0"/>
        <v>26</v>
      </c>
    </row>
    <row r="59" spans="1:21">
      <c r="A59" s="11">
        <v>58</v>
      </c>
      <c r="B59" s="25" t="s">
        <v>302</v>
      </c>
      <c r="C59" s="28" t="s">
        <v>166</v>
      </c>
      <c r="D59" s="28" t="s">
        <v>303</v>
      </c>
      <c r="E59" s="28" t="s">
        <v>58</v>
      </c>
      <c r="F59" s="25" t="s">
        <v>225</v>
      </c>
      <c r="G59" s="11">
        <v>2</v>
      </c>
      <c r="H59" s="11">
        <v>8000</v>
      </c>
      <c r="I59" s="25" t="s">
        <v>226</v>
      </c>
      <c r="J59" s="25" t="s">
        <v>227</v>
      </c>
      <c r="K59" s="11">
        <v>6677889900</v>
      </c>
      <c r="L59" s="25" t="s">
        <v>228</v>
      </c>
      <c r="M59" s="25" t="s">
        <v>229</v>
      </c>
      <c r="N59" s="27" t="s">
        <v>53</v>
      </c>
      <c r="O59" s="27" t="s">
        <v>54</v>
      </c>
      <c r="P59" s="11">
        <v>24</v>
      </c>
      <c r="Q59" s="11">
        <v>1000</v>
      </c>
      <c r="R59" s="11">
        <v>500</v>
      </c>
      <c r="S59" s="25" t="s">
        <v>55</v>
      </c>
      <c r="T59" s="11">
        <f>SUM(Procurement_data[[#This Row],[ Unit Price (USD) ]]*Procurement_data[[#This Row],[ Quantity ]])</f>
        <v>16000</v>
      </c>
      <c r="U59" s="11">
        <f t="shared" si="0"/>
        <v>26</v>
      </c>
    </row>
    <row r="60" spans="1:21">
      <c r="A60" s="11">
        <v>59</v>
      </c>
      <c r="B60" s="25" t="s">
        <v>305</v>
      </c>
      <c r="C60" s="28" t="s">
        <v>306</v>
      </c>
      <c r="D60" s="28" t="s">
        <v>307</v>
      </c>
      <c r="E60" s="28" t="s">
        <v>102</v>
      </c>
      <c r="F60" s="25" t="s">
        <v>103</v>
      </c>
      <c r="G60" s="11">
        <v>1</v>
      </c>
      <c r="H60" s="11">
        <v>40000</v>
      </c>
      <c r="I60" s="25" t="s">
        <v>104</v>
      </c>
      <c r="J60" s="25" t="s">
        <v>105</v>
      </c>
      <c r="K60" s="11">
        <v>7755332211</v>
      </c>
      <c r="L60" s="25" t="s">
        <v>106</v>
      </c>
      <c r="M60" s="25" t="s">
        <v>107</v>
      </c>
      <c r="N60" s="27" t="s">
        <v>64</v>
      </c>
      <c r="O60" s="27" t="s">
        <v>65</v>
      </c>
      <c r="P60" s="11">
        <v>36</v>
      </c>
      <c r="Q60" s="11">
        <v>1500</v>
      </c>
      <c r="R60" s="11">
        <v>800</v>
      </c>
      <c r="S60" s="25" t="s">
        <v>66</v>
      </c>
      <c r="T60" s="11">
        <f>SUM(Procurement_data[[#This Row],[ Unit Price (USD) ]]*Procurement_data[[#This Row],[ Quantity ]])</f>
        <v>40000</v>
      </c>
      <c r="U60" s="11">
        <f t="shared" si="0"/>
        <v>23</v>
      </c>
    </row>
    <row r="61" spans="1:21">
      <c r="A61" s="11">
        <v>60</v>
      </c>
      <c r="B61" s="25" t="s">
        <v>309</v>
      </c>
      <c r="C61" s="28" t="s">
        <v>139</v>
      </c>
      <c r="D61" s="28" t="s">
        <v>310</v>
      </c>
      <c r="E61" s="28" t="s">
        <v>47</v>
      </c>
      <c r="F61" s="25" t="s">
        <v>348</v>
      </c>
      <c r="G61" s="11">
        <v>1</v>
      </c>
      <c r="H61" s="11">
        <v>30000</v>
      </c>
      <c r="I61" s="25" t="s">
        <v>240</v>
      </c>
      <c r="J61" s="25" t="s">
        <v>50</v>
      </c>
      <c r="K61" s="11">
        <v>3322114455</v>
      </c>
      <c r="L61" s="25" t="s">
        <v>241</v>
      </c>
      <c r="M61" s="25" t="s">
        <v>52</v>
      </c>
      <c r="N61" s="27" t="s">
        <v>76</v>
      </c>
      <c r="O61" s="27" t="s">
        <v>77</v>
      </c>
      <c r="P61" s="11">
        <v>48</v>
      </c>
      <c r="Q61" s="11">
        <v>2000</v>
      </c>
      <c r="R61" s="11">
        <v>1200</v>
      </c>
      <c r="S61" s="25" t="s">
        <v>32</v>
      </c>
      <c r="T61" s="11">
        <f>SUM(Procurement_data[[#This Row],[ Unit Price (USD) ]]*Procurement_data[[#This Row],[ Quantity ]])</f>
        <v>30000</v>
      </c>
      <c r="U61" s="11">
        <f t="shared" si="0"/>
        <v>23</v>
      </c>
    </row>
    <row r="62" spans="1:21">
      <c r="A62" s="11">
        <v>61</v>
      </c>
      <c r="B62" s="25" t="s">
        <v>335</v>
      </c>
      <c r="C62" s="28" t="s">
        <v>166</v>
      </c>
      <c r="D62" s="28" t="s">
        <v>336</v>
      </c>
      <c r="E62" s="28" t="s">
        <v>36</v>
      </c>
      <c r="F62" s="25" t="s">
        <v>71</v>
      </c>
      <c r="G62" s="11">
        <v>1</v>
      </c>
      <c r="H62" s="11">
        <v>40000</v>
      </c>
      <c r="I62" s="25" t="s">
        <v>72</v>
      </c>
      <c r="J62" s="25" t="s">
        <v>73</v>
      </c>
      <c r="K62" s="11">
        <v>6677889900</v>
      </c>
      <c r="L62" s="25" t="s">
        <v>74</v>
      </c>
      <c r="M62" s="25" t="s">
        <v>75</v>
      </c>
      <c r="N62" s="27" t="s">
        <v>42</v>
      </c>
      <c r="O62" s="27" t="s">
        <v>43</v>
      </c>
      <c r="P62" s="11">
        <v>36</v>
      </c>
      <c r="Q62" s="11">
        <v>2000</v>
      </c>
      <c r="R62" s="11">
        <v>1200</v>
      </c>
      <c r="S62" s="25" t="s">
        <v>32</v>
      </c>
      <c r="T62" s="11">
        <f>SUM(Procurement_data[[#This Row],[ Unit Price (USD) ]]*Procurement_data[[#This Row],[ Quantity ]])</f>
        <v>40000</v>
      </c>
      <c r="U62" s="11">
        <f t="shared" si="0"/>
        <v>27</v>
      </c>
    </row>
    <row r="63" spans="1:21">
      <c r="A63" s="11">
        <v>62</v>
      </c>
      <c r="B63" s="25" t="s">
        <v>332</v>
      </c>
      <c r="C63" s="28" t="s">
        <v>175</v>
      </c>
      <c r="D63" s="28" t="s">
        <v>333</v>
      </c>
      <c r="E63" s="28" t="s">
        <v>251</v>
      </c>
      <c r="F63" s="25" t="s">
        <v>37</v>
      </c>
      <c r="G63" s="11">
        <v>1</v>
      </c>
      <c r="H63" s="11">
        <v>500000</v>
      </c>
      <c r="I63" s="25" t="s">
        <v>38</v>
      </c>
      <c r="J63" s="25" t="s">
        <v>39</v>
      </c>
      <c r="K63" s="11">
        <v>7755332211</v>
      </c>
      <c r="L63" s="25" t="s">
        <v>40</v>
      </c>
      <c r="M63" s="25" t="s">
        <v>41</v>
      </c>
      <c r="N63" s="27" t="s">
        <v>53</v>
      </c>
      <c r="O63" s="27" t="s">
        <v>54</v>
      </c>
      <c r="P63" s="11">
        <v>48</v>
      </c>
      <c r="Q63" s="11">
        <v>5000</v>
      </c>
      <c r="R63" s="11">
        <v>3000</v>
      </c>
      <c r="S63" s="25" t="s">
        <v>32</v>
      </c>
      <c r="T63" s="11">
        <f>SUM(Procurement_data[[#This Row],[ Unit Price (USD) ]]*Procurement_data[[#This Row],[ Quantity ]])</f>
        <v>500000</v>
      </c>
      <c r="U63" s="11">
        <f t="shared" si="0"/>
        <v>26</v>
      </c>
    </row>
    <row r="64" spans="1:21">
      <c r="A64" s="11">
        <v>63</v>
      </c>
      <c r="B64" s="25" t="s">
        <v>329</v>
      </c>
      <c r="C64" s="28" t="s">
        <v>166</v>
      </c>
      <c r="D64" s="28" t="s">
        <v>330</v>
      </c>
      <c r="E64" s="28" t="s">
        <v>195</v>
      </c>
      <c r="F64" s="25" t="s">
        <v>349</v>
      </c>
      <c r="G64" s="11">
        <v>1</v>
      </c>
      <c r="H64" s="11">
        <v>15000</v>
      </c>
      <c r="I64" s="25" t="s">
        <v>49</v>
      </c>
      <c r="J64" s="25" t="s">
        <v>50</v>
      </c>
      <c r="K64" s="11">
        <v>3322114455</v>
      </c>
      <c r="L64" s="25" t="s">
        <v>51</v>
      </c>
      <c r="M64" s="25" t="s">
        <v>52</v>
      </c>
      <c r="N64" s="27" t="s">
        <v>31</v>
      </c>
      <c r="O64" s="27" t="s">
        <v>87</v>
      </c>
      <c r="P64" s="11">
        <v>36</v>
      </c>
      <c r="Q64" s="11">
        <v>2500</v>
      </c>
      <c r="R64" s="11">
        <v>1500</v>
      </c>
      <c r="S64" s="25" t="s">
        <v>32</v>
      </c>
      <c r="T64" s="11">
        <f>SUM(Procurement_data[[#This Row],[ Unit Price (USD) ]]*Procurement_data[[#This Row],[ Quantity ]])</f>
        <v>15000</v>
      </c>
      <c r="U64" s="11">
        <f t="shared" si="0"/>
        <v>25</v>
      </c>
    </row>
    <row r="65" spans="1:21">
      <c r="A65" s="11">
        <v>64</v>
      </c>
      <c r="B65" s="25" t="s">
        <v>317</v>
      </c>
      <c r="C65" s="28" t="s">
        <v>175</v>
      </c>
      <c r="D65" s="28" t="s">
        <v>318</v>
      </c>
      <c r="E65" s="28" t="s">
        <v>177</v>
      </c>
      <c r="F65" s="25" t="s">
        <v>350</v>
      </c>
      <c r="G65" s="11">
        <v>3</v>
      </c>
      <c r="H65" s="11">
        <v>2000</v>
      </c>
      <c r="I65" s="25" t="s">
        <v>320</v>
      </c>
      <c r="J65" s="25" t="s">
        <v>266</v>
      </c>
      <c r="K65" s="11">
        <v>6677889900</v>
      </c>
      <c r="L65" s="25" t="s">
        <v>321</v>
      </c>
      <c r="M65" s="25" t="s">
        <v>268</v>
      </c>
      <c r="N65" s="27" t="s">
        <v>30</v>
      </c>
      <c r="O65" s="27" t="s">
        <v>31</v>
      </c>
      <c r="P65" s="11">
        <v>24</v>
      </c>
      <c r="Q65" s="11">
        <v>800</v>
      </c>
      <c r="R65" s="11">
        <v>600</v>
      </c>
      <c r="S65" s="25" t="s">
        <v>218</v>
      </c>
      <c r="T65" s="11">
        <f>SUM(Procurement_data[[#This Row],[ Unit Price (USD) ]]*Procurement_data[[#This Row],[ Quantity ]])</f>
        <v>6000</v>
      </c>
      <c r="U65" s="11">
        <f t="shared" si="0"/>
        <v>26</v>
      </c>
    </row>
    <row r="66" spans="1:21">
      <c r="A66" s="11">
        <v>65</v>
      </c>
      <c r="B66" s="25" t="s">
        <v>322</v>
      </c>
      <c r="C66" s="28" t="s">
        <v>323</v>
      </c>
      <c r="D66" s="28" t="s">
        <v>324</v>
      </c>
      <c r="E66" s="28" t="s">
        <v>181</v>
      </c>
      <c r="F66" s="25" t="s">
        <v>351</v>
      </c>
      <c r="G66" s="11">
        <v>1</v>
      </c>
      <c r="H66" s="11">
        <v>25000</v>
      </c>
      <c r="I66" s="25" t="s">
        <v>183</v>
      </c>
      <c r="J66" s="25" t="s">
        <v>184</v>
      </c>
      <c r="K66" s="11">
        <v>7755332211</v>
      </c>
      <c r="L66" s="25" t="s">
        <v>185</v>
      </c>
      <c r="M66" s="25" t="s">
        <v>155</v>
      </c>
      <c r="N66" s="27" t="s">
        <v>97</v>
      </c>
      <c r="O66" s="27" t="s">
        <v>98</v>
      </c>
      <c r="P66" s="11">
        <v>36</v>
      </c>
      <c r="Q66" s="11">
        <v>2000</v>
      </c>
      <c r="R66" s="11">
        <v>1200</v>
      </c>
      <c r="S66" s="25" t="s">
        <v>32</v>
      </c>
      <c r="T66" s="11">
        <f>SUM(Procurement_data[[#This Row],[ Unit Price (USD) ]]*Procurement_data[[#This Row],[ Quantity ]])</f>
        <v>25000</v>
      </c>
      <c r="U66" s="11">
        <f t="shared" ref="U66:U129" si="1">O66-N66</f>
        <v>26</v>
      </c>
    </row>
    <row r="67" spans="1:21">
      <c r="A67" s="11">
        <v>66</v>
      </c>
      <c r="B67" s="25" t="s">
        <v>326</v>
      </c>
      <c r="C67" s="28" t="s">
        <v>306</v>
      </c>
      <c r="D67" s="28" t="s">
        <v>327</v>
      </c>
      <c r="E67" s="28" t="s">
        <v>123</v>
      </c>
      <c r="F67" s="25" t="s">
        <v>222</v>
      </c>
      <c r="G67" s="11">
        <v>2</v>
      </c>
      <c r="H67" s="11">
        <v>12000</v>
      </c>
      <c r="I67" s="25" t="s">
        <v>125</v>
      </c>
      <c r="J67" s="25" t="s">
        <v>126</v>
      </c>
      <c r="K67" s="11">
        <v>3322114455</v>
      </c>
      <c r="L67" s="25" t="s">
        <v>127</v>
      </c>
      <c r="M67" s="25" t="s">
        <v>29</v>
      </c>
      <c r="N67" s="27" t="s">
        <v>53</v>
      </c>
      <c r="O67" s="27" t="s">
        <v>54</v>
      </c>
      <c r="P67" s="11">
        <v>48</v>
      </c>
      <c r="Q67" s="11">
        <v>1500</v>
      </c>
      <c r="R67" s="11">
        <v>800</v>
      </c>
      <c r="S67" s="25" t="s">
        <v>66</v>
      </c>
      <c r="T67" s="11">
        <f>SUM(Procurement_data[[#This Row],[ Unit Price (USD) ]]*Procurement_data[[#This Row],[ Quantity ]])</f>
        <v>24000</v>
      </c>
      <c r="U67" s="11">
        <f t="shared" si="1"/>
        <v>26</v>
      </c>
    </row>
    <row r="68" spans="1:21">
      <c r="A68" s="11">
        <v>67</v>
      </c>
      <c r="B68" s="25" t="s">
        <v>329</v>
      </c>
      <c r="C68" s="28" t="s">
        <v>166</v>
      </c>
      <c r="D68" s="28" t="s">
        <v>330</v>
      </c>
      <c r="E68" s="28" t="s">
        <v>195</v>
      </c>
      <c r="F68" s="25" t="s">
        <v>331</v>
      </c>
      <c r="G68" s="11">
        <v>3</v>
      </c>
      <c r="H68" s="11">
        <v>1000</v>
      </c>
      <c r="I68" s="25" t="s">
        <v>289</v>
      </c>
      <c r="J68" s="25" t="s">
        <v>105</v>
      </c>
      <c r="K68" s="11">
        <v>7755332211</v>
      </c>
      <c r="L68" s="25" t="s">
        <v>290</v>
      </c>
      <c r="M68" s="25" t="s">
        <v>107</v>
      </c>
      <c r="N68" s="27" t="s">
        <v>64</v>
      </c>
      <c r="O68" s="27" t="s">
        <v>65</v>
      </c>
      <c r="P68" s="11">
        <v>24</v>
      </c>
      <c r="Q68" s="11">
        <v>500</v>
      </c>
      <c r="R68" s="11">
        <v>300</v>
      </c>
      <c r="S68" s="25" t="s">
        <v>218</v>
      </c>
      <c r="T68" s="11">
        <f>SUM(Procurement_data[[#This Row],[ Unit Price (USD) ]]*Procurement_data[[#This Row],[ Quantity ]])</f>
        <v>3000</v>
      </c>
      <c r="U68" s="11">
        <f t="shared" si="1"/>
        <v>23</v>
      </c>
    </row>
    <row r="69" spans="1:21">
      <c r="A69" s="11">
        <v>68</v>
      </c>
      <c r="B69" s="25" t="s">
        <v>332</v>
      </c>
      <c r="C69" s="28" t="s">
        <v>175</v>
      </c>
      <c r="D69" s="28" t="s">
        <v>333</v>
      </c>
      <c r="E69" s="28" t="s">
        <v>251</v>
      </c>
      <c r="F69" s="25" t="s">
        <v>334</v>
      </c>
      <c r="G69" s="11">
        <v>1</v>
      </c>
      <c r="H69" s="11">
        <v>40000</v>
      </c>
      <c r="I69" s="25" t="s">
        <v>253</v>
      </c>
      <c r="J69" s="25" t="s">
        <v>94</v>
      </c>
      <c r="K69" s="11">
        <v>3322114455</v>
      </c>
      <c r="L69" s="25" t="s">
        <v>254</v>
      </c>
      <c r="M69" s="25" t="s">
        <v>96</v>
      </c>
      <c r="N69" s="27" t="s">
        <v>30</v>
      </c>
      <c r="O69" s="27" t="s">
        <v>31</v>
      </c>
      <c r="P69" s="11">
        <v>36</v>
      </c>
      <c r="Q69" s="11">
        <v>3000</v>
      </c>
      <c r="R69" s="11">
        <v>2000</v>
      </c>
      <c r="S69" s="25" t="s">
        <v>32</v>
      </c>
      <c r="T69" s="11">
        <f>SUM(Procurement_data[[#This Row],[ Unit Price (USD) ]]*Procurement_data[[#This Row],[ Quantity ]])</f>
        <v>40000</v>
      </c>
      <c r="U69" s="11">
        <f t="shared" si="1"/>
        <v>26</v>
      </c>
    </row>
    <row r="70" spans="1:21">
      <c r="A70" s="11">
        <v>69</v>
      </c>
      <c r="B70" s="25" t="s">
        <v>335</v>
      </c>
      <c r="C70" s="28" t="s">
        <v>166</v>
      </c>
      <c r="D70" s="28" t="s">
        <v>336</v>
      </c>
      <c r="E70" s="28" t="s">
        <v>24</v>
      </c>
      <c r="F70" s="25" t="s">
        <v>337</v>
      </c>
      <c r="G70" s="11">
        <v>1</v>
      </c>
      <c r="H70" s="11">
        <v>40000</v>
      </c>
      <c r="I70" s="25" t="s">
        <v>338</v>
      </c>
      <c r="J70" s="25" t="s">
        <v>136</v>
      </c>
      <c r="K70" s="11">
        <v>6677889900</v>
      </c>
      <c r="L70" s="25" t="s">
        <v>339</v>
      </c>
      <c r="M70" s="25" t="s">
        <v>29</v>
      </c>
      <c r="N70" s="27" t="s">
        <v>42</v>
      </c>
      <c r="O70" s="27" t="s">
        <v>43</v>
      </c>
      <c r="P70" s="11">
        <v>48</v>
      </c>
      <c r="Q70" s="11">
        <v>2500</v>
      </c>
      <c r="R70" s="11">
        <v>1500</v>
      </c>
      <c r="S70" s="25" t="s">
        <v>32</v>
      </c>
      <c r="T70" s="11">
        <f>SUM(Procurement_data[[#This Row],[ Unit Price (USD) ]]*Procurement_data[[#This Row],[ Quantity ]])</f>
        <v>40000</v>
      </c>
      <c r="U70" s="11">
        <f t="shared" si="1"/>
        <v>27</v>
      </c>
    </row>
    <row r="71" spans="1:21">
      <c r="A71" s="11">
        <v>70</v>
      </c>
      <c r="B71" s="25" t="s">
        <v>340</v>
      </c>
      <c r="C71" s="28" t="s">
        <v>175</v>
      </c>
      <c r="D71" s="28" t="s">
        <v>341</v>
      </c>
      <c r="E71" s="28" t="s">
        <v>202</v>
      </c>
      <c r="F71" s="25" t="s">
        <v>342</v>
      </c>
      <c r="G71" s="11">
        <v>2</v>
      </c>
      <c r="H71" s="11">
        <v>3000</v>
      </c>
      <c r="I71" s="25" t="s">
        <v>60</v>
      </c>
      <c r="J71" s="25" t="s">
        <v>61</v>
      </c>
      <c r="K71" s="11">
        <v>7755332211</v>
      </c>
      <c r="L71" s="25" t="s">
        <v>62</v>
      </c>
      <c r="M71" s="25" t="s">
        <v>63</v>
      </c>
      <c r="N71" s="27" t="s">
        <v>53</v>
      </c>
      <c r="O71" s="27" t="s">
        <v>54</v>
      </c>
      <c r="P71" s="11">
        <v>24</v>
      </c>
      <c r="Q71" s="11">
        <v>1000</v>
      </c>
      <c r="R71" s="11">
        <v>500</v>
      </c>
      <c r="S71" s="25" t="s">
        <v>55</v>
      </c>
      <c r="T71" s="11">
        <f>SUM(Procurement_data[[#This Row],[ Unit Price (USD) ]]*Procurement_data[[#This Row],[ Quantity ]])</f>
        <v>6000</v>
      </c>
      <c r="U71" s="11">
        <f t="shared" si="1"/>
        <v>26</v>
      </c>
    </row>
    <row r="72" spans="1:21">
      <c r="A72" s="11">
        <v>71</v>
      </c>
      <c r="B72" s="25" t="s">
        <v>352</v>
      </c>
      <c r="C72" s="28" t="s">
        <v>212</v>
      </c>
      <c r="D72" s="28" t="s">
        <v>353</v>
      </c>
      <c r="E72" s="28" t="s">
        <v>36</v>
      </c>
      <c r="F72" s="25" t="s">
        <v>103</v>
      </c>
      <c r="G72" s="11">
        <v>1</v>
      </c>
      <c r="H72" s="11">
        <v>25000</v>
      </c>
      <c r="I72" s="25" t="s">
        <v>104</v>
      </c>
      <c r="J72" s="25" t="s">
        <v>105</v>
      </c>
      <c r="K72" s="11">
        <v>7755332211</v>
      </c>
      <c r="L72" s="25" t="s">
        <v>106</v>
      </c>
      <c r="M72" s="25" t="s">
        <v>107</v>
      </c>
      <c r="N72" s="27" t="s">
        <v>64</v>
      </c>
      <c r="O72" s="27" t="s">
        <v>65</v>
      </c>
      <c r="P72" s="11">
        <v>36</v>
      </c>
      <c r="Q72" s="11">
        <v>1500</v>
      </c>
      <c r="R72" s="11">
        <v>800</v>
      </c>
      <c r="S72" s="25" t="s">
        <v>66</v>
      </c>
      <c r="T72" s="11">
        <f>SUM(Procurement_data[[#This Row],[ Unit Price (USD) ]]*Procurement_data[[#This Row],[ Quantity ]])</f>
        <v>25000</v>
      </c>
      <c r="U72" s="11">
        <f t="shared" si="1"/>
        <v>23</v>
      </c>
    </row>
    <row r="73" spans="1:21">
      <c r="A73" s="11">
        <v>72</v>
      </c>
      <c r="B73" s="25" t="s">
        <v>283</v>
      </c>
      <c r="C73" s="28" t="s">
        <v>68</v>
      </c>
      <c r="D73" s="28" t="s">
        <v>284</v>
      </c>
      <c r="E73" s="28" t="s">
        <v>123</v>
      </c>
      <c r="F73" s="25" t="s">
        <v>354</v>
      </c>
      <c r="G73" s="11">
        <v>1</v>
      </c>
      <c r="H73" s="11">
        <v>5000</v>
      </c>
      <c r="I73" s="25" t="s">
        <v>355</v>
      </c>
      <c r="J73" s="25" t="s">
        <v>84</v>
      </c>
      <c r="K73" s="11">
        <v>3322114455</v>
      </c>
      <c r="L73" s="25" t="s">
        <v>356</v>
      </c>
      <c r="M73" s="25" t="s">
        <v>86</v>
      </c>
      <c r="N73" s="27" t="s">
        <v>76</v>
      </c>
      <c r="O73" s="27" t="s">
        <v>77</v>
      </c>
      <c r="P73" s="11">
        <v>48</v>
      </c>
      <c r="Q73" s="11">
        <v>1000</v>
      </c>
      <c r="R73" s="11">
        <v>700</v>
      </c>
      <c r="S73" s="25" t="s">
        <v>32</v>
      </c>
      <c r="T73" s="11">
        <f>SUM(Procurement_data[[#This Row],[ Unit Price (USD) ]]*Procurement_data[[#This Row],[ Quantity ]])</f>
        <v>5000</v>
      </c>
      <c r="U73" s="11">
        <f t="shared" si="1"/>
        <v>23</v>
      </c>
    </row>
    <row r="74" spans="1:21">
      <c r="A74" s="11">
        <v>73</v>
      </c>
      <c r="B74" s="25" t="s">
        <v>286</v>
      </c>
      <c r="C74" s="28" t="s">
        <v>193</v>
      </c>
      <c r="D74" s="28" t="s">
        <v>287</v>
      </c>
      <c r="E74" s="28" t="s">
        <v>47</v>
      </c>
      <c r="F74" s="25" t="s">
        <v>357</v>
      </c>
      <c r="G74" s="11">
        <v>1</v>
      </c>
      <c r="H74" s="11">
        <v>8000</v>
      </c>
      <c r="I74" s="25" t="s">
        <v>240</v>
      </c>
      <c r="J74" s="25" t="s">
        <v>50</v>
      </c>
      <c r="K74" s="11">
        <v>7755332211</v>
      </c>
      <c r="L74" s="25" t="s">
        <v>241</v>
      </c>
      <c r="M74" s="25" t="s">
        <v>52</v>
      </c>
      <c r="N74" s="27" t="s">
        <v>97</v>
      </c>
      <c r="O74" s="27" t="s">
        <v>98</v>
      </c>
      <c r="P74" s="11">
        <v>36</v>
      </c>
      <c r="Q74" s="11">
        <v>2000</v>
      </c>
      <c r="R74" s="11">
        <v>1200</v>
      </c>
      <c r="S74" s="25" t="s">
        <v>32</v>
      </c>
      <c r="T74" s="11">
        <f>SUM(Procurement_data[[#This Row],[ Unit Price (USD) ]]*Procurement_data[[#This Row],[ Quantity ]])</f>
        <v>8000</v>
      </c>
      <c r="U74" s="11">
        <f t="shared" si="1"/>
        <v>26</v>
      </c>
    </row>
    <row r="75" spans="1:21">
      <c r="A75" s="11">
        <v>74</v>
      </c>
      <c r="B75" s="25" t="s">
        <v>291</v>
      </c>
      <c r="C75" s="28" t="s">
        <v>200</v>
      </c>
      <c r="D75" s="28" t="s">
        <v>292</v>
      </c>
      <c r="E75" s="28" t="s">
        <v>58</v>
      </c>
      <c r="F75" s="25" t="s">
        <v>304</v>
      </c>
      <c r="G75" s="11">
        <v>2</v>
      </c>
      <c r="H75" s="11">
        <v>5000</v>
      </c>
      <c r="I75" s="25" t="s">
        <v>226</v>
      </c>
      <c r="J75" s="25" t="s">
        <v>227</v>
      </c>
      <c r="K75" s="11">
        <v>6677889900</v>
      </c>
      <c r="L75" s="25" t="s">
        <v>228</v>
      </c>
      <c r="M75" s="25" t="s">
        <v>229</v>
      </c>
      <c r="N75" s="27" t="s">
        <v>53</v>
      </c>
      <c r="O75" s="27" t="s">
        <v>54</v>
      </c>
      <c r="P75" s="11">
        <v>24</v>
      </c>
      <c r="Q75" s="11">
        <v>800</v>
      </c>
      <c r="R75" s="11">
        <v>500</v>
      </c>
      <c r="S75" s="25" t="s">
        <v>55</v>
      </c>
      <c r="T75" s="11">
        <f>SUM(Procurement_data[[#This Row],[ Unit Price (USD) ]]*Procurement_data[[#This Row],[ Quantity ]])</f>
        <v>10000</v>
      </c>
      <c r="U75" s="11">
        <f t="shared" si="1"/>
        <v>26</v>
      </c>
    </row>
    <row r="76" spans="1:21">
      <c r="A76" s="11">
        <v>75</v>
      </c>
      <c r="B76" s="25" t="s">
        <v>294</v>
      </c>
      <c r="C76" s="28" t="s">
        <v>212</v>
      </c>
      <c r="D76" s="28" t="s">
        <v>295</v>
      </c>
      <c r="E76" s="28" t="s">
        <v>102</v>
      </c>
      <c r="F76" s="25" t="s">
        <v>308</v>
      </c>
      <c r="G76" s="11">
        <v>1</v>
      </c>
      <c r="H76" s="11">
        <v>15000</v>
      </c>
      <c r="I76" s="25" t="s">
        <v>234</v>
      </c>
      <c r="J76" s="25" t="s">
        <v>105</v>
      </c>
      <c r="K76" s="11">
        <v>7755332211</v>
      </c>
      <c r="L76" s="25" t="s">
        <v>235</v>
      </c>
      <c r="M76" s="25" t="s">
        <v>107</v>
      </c>
      <c r="N76" s="27" t="s">
        <v>64</v>
      </c>
      <c r="O76" s="27" t="s">
        <v>65</v>
      </c>
      <c r="P76" s="11">
        <v>36</v>
      </c>
      <c r="Q76" s="11">
        <v>2000</v>
      </c>
      <c r="R76" s="11">
        <v>1200</v>
      </c>
      <c r="S76" s="25" t="s">
        <v>66</v>
      </c>
      <c r="T76" s="11">
        <f>SUM(Procurement_data[[#This Row],[ Unit Price (USD) ]]*Procurement_data[[#This Row],[ Quantity ]])</f>
        <v>15000</v>
      </c>
      <c r="U76" s="11">
        <f t="shared" si="1"/>
        <v>23</v>
      </c>
    </row>
    <row r="77" spans="1:21">
      <c r="A77" s="11">
        <v>76</v>
      </c>
      <c r="B77" s="25" t="s">
        <v>297</v>
      </c>
      <c r="C77" s="28" t="s">
        <v>200</v>
      </c>
      <c r="D77" s="28" t="s">
        <v>298</v>
      </c>
      <c r="E77" s="28" t="s">
        <v>81</v>
      </c>
      <c r="F77" s="25" t="s">
        <v>189</v>
      </c>
      <c r="G77" s="11">
        <v>1</v>
      </c>
      <c r="H77" s="11">
        <v>15000</v>
      </c>
      <c r="I77" s="25" t="s">
        <v>190</v>
      </c>
      <c r="J77" s="25" t="s">
        <v>61</v>
      </c>
      <c r="K77" s="11">
        <v>3322114455</v>
      </c>
      <c r="L77" s="25" t="s">
        <v>191</v>
      </c>
      <c r="M77" s="25" t="s">
        <v>63</v>
      </c>
      <c r="N77" s="27" t="s">
        <v>30</v>
      </c>
      <c r="O77" s="27" t="s">
        <v>31</v>
      </c>
      <c r="P77" s="11">
        <v>48</v>
      </c>
      <c r="Q77" s="11">
        <v>1800</v>
      </c>
      <c r="R77" s="11">
        <v>1000</v>
      </c>
      <c r="S77" s="25" t="s">
        <v>55</v>
      </c>
      <c r="T77" s="11">
        <f>SUM(Procurement_data[[#This Row],[ Unit Price (USD) ]]*Procurement_data[[#This Row],[ Quantity ]])</f>
        <v>15000</v>
      </c>
      <c r="U77" s="11">
        <f t="shared" si="1"/>
        <v>26</v>
      </c>
    </row>
    <row r="78" spans="1:21">
      <c r="A78" s="11">
        <v>77</v>
      </c>
      <c r="B78" s="25" t="s">
        <v>302</v>
      </c>
      <c r="C78" s="28" t="s">
        <v>166</v>
      </c>
      <c r="D78" s="28" t="s">
        <v>303</v>
      </c>
      <c r="E78" s="28" t="s">
        <v>36</v>
      </c>
      <c r="F78" s="25" t="s">
        <v>37</v>
      </c>
      <c r="G78" s="11">
        <v>1</v>
      </c>
      <c r="H78" s="11">
        <v>500000</v>
      </c>
      <c r="I78" s="25" t="s">
        <v>38</v>
      </c>
      <c r="J78" s="25" t="s">
        <v>39</v>
      </c>
      <c r="K78" s="11">
        <v>7755332211</v>
      </c>
      <c r="L78" s="25" t="s">
        <v>40</v>
      </c>
      <c r="M78" s="25" t="s">
        <v>41</v>
      </c>
      <c r="N78" s="27" t="s">
        <v>97</v>
      </c>
      <c r="O78" s="27" t="s">
        <v>98</v>
      </c>
      <c r="P78" s="11">
        <v>48</v>
      </c>
      <c r="Q78" s="11">
        <v>5000</v>
      </c>
      <c r="R78" s="11">
        <v>3000</v>
      </c>
      <c r="S78" s="25" t="s">
        <v>32</v>
      </c>
      <c r="T78" s="11">
        <f>SUM(Procurement_data[[#This Row],[ Unit Price (USD) ]]*Procurement_data[[#This Row],[ Quantity ]])</f>
        <v>500000</v>
      </c>
      <c r="U78" s="11">
        <f t="shared" si="1"/>
        <v>26</v>
      </c>
    </row>
    <row r="79" spans="1:21">
      <c r="A79" s="11">
        <v>78</v>
      </c>
      <c r="B79" s="25" t="s">
        <v>305</v>
      </c>
      <c r="C79" s="28" t="s">
        <v>306</v>
      </c>
      <c r="D79" s="28" t="s">
        <v>307</v>
      </c>
      <c r="E79" s="28" t="s">
        <v>47</v>
      </c>
      <c r="F79" s="25" t="s">
        <v>358</v>
      </c>
      <c r="G79" s="11">
        <v>2</v>
      </c>
      <c r="H79" s="11">
        <v>10000</v>
      </c>
      <c r="I79" s="25" t="s">
        <v>240</v>
      </c>
      <c r="J79" s="25" t="s">
        <v>50</v>
      </c>
      <c r="K79" s="11">
        <v>3322114455</v>
      </c>
      <c r="L79" s="25" t="s">
        <v>241</v>
      </c>
      <c r="M79" s="25" t="s">
        <v>52</v>
      </c>
      <c r="N79" s="27" t="s">
        <v>53</v>
      </c>
      <c r="O79" s="27" t="s">
        <v>54</v>
      </c>
      <c r="P79" s="11">
        <v>24</v>
      </c>
      <c r="Q79" s="11">
        <v>1500</v>
      </c>
      <c r="R79" s="11">
        <v>800</v>
      </c>
      <c r="S79" s="25" t="s">
        <v>66</v>
      </c>
      <c r="T79" s="11">
        <f>SUM(Procurement_data[[#This Row],[ Unit Price (USD) ]]*Procurement_data[[#This Row],[ Quantity ]])</f>
        <v>20000</v>
      </c>
      <c r="U79" s="11">
        <f t="shared" si="1"/>
        <v>26</v>
      </c>
    </row>
    <row r="80" spans="1:21">
      <c r="A80" s="11">
        <v>79</v>
      </c>
      <c r="B80" s="25" t="s">
        <v>309</v>
      </c>
      <c r="C80" s="28" t="s">
        <v>139</v>
      </c>
      <c r="D80" s="28" t="s">
        <v>310</v>
      </c>
      <c r="E80" s="28" t="s">
        <v>123</v>
      </c>
      <c r="F80" s="25" t="s">
        <v>124</v>
      </c>
      <c r="G80" s="11">
        <v>1</v>
      </c>
      <c r="H80" s="11">
        <v>30000</v>
      </c>
      <c r="I80" s="25" t="s">
        <v>125</v>
      </c>
      <c r="J80" s="25" t="s">
        <v>126</v>
      </c>
      <c r="K80" s="11">
        <v>7755332211</v>
      </c>
      <c r="L80" s="25" t="s">
        <v>127</v>
      </c>
      <c r="M80" s="25" t="s">
        <v>29</v>
      </c>
      <c r="N80" s="27" t="s">
        <v>64</v>
      </c>
      <c r="O80" s="27" t="s">
        <v>65</v>
      </c>
      <c r="P80" s="11">
        <v>36</v>
      </c>
      <c r="Q80" s="11">
        <v>1500</v>
      </c>
      <c r="R80" s="11">
        <v>800</v>
      </c>
      <c r="S80" s="25" t="s">
        <v>66</v>
      </c>
      <c r="T80" s="11">
        <f>SUM(Procurement_data[[#This Row],[ Unit Price (USD) ]]*Procurement_data[[#This Row],[ Quantity ]])</f>
        <v>30000</v>
      </c>
      <c r="U80" s="11">
        <f t="shared" si="1"/>
        <v>23</v>
      </c>
    </row>
    <row r="81" spans="1:21">
      <c r="A81" s="11">
        <v>80</v>
      </c>
      <c r="B81" s="25" t="s">
        <v>335</v>
      </c>
      <c r="C81" s="28" t="s">
        <v>166</v>
      </c>
      <c r="D81" s="28" t="s">
        <v>336</v>
      </c>
      <c r="E81" s="28" t="s">
        <v>141</v>
      </c>
      <c r="F81" s="25" t="s">
        <v>142</v>
      </c>
      <c r="G81" s="11">
        <v>1</v>
      </c>
      <c r="H81" s="11">
        <v>20000</v>
      </c>
      <c r="I81" s="25" t="s">
        <v>143</v>
      </c>
      <c r="J81" s="25" t="s">
        <v>144</v>
      </c>
      <c r="K81" s="11">
        <v>6677889900</v>
      </c>
      <c r="L81" s="25" t="s">
        <v>145</v>
      </c>
      <c r="M81" s="25" t="s">
        <v>146</v>
      </c>
      <c r="N81" s="27" t="s">
        <v>108</v>
      </c>
      <c r="O81" s="27" t="s">
        <v>109</v>
      </c>
      <c r="P81" s="11">
        <v>36</v>
      </c>
      <c r="Q81" s="11">
        <v>2000</v>
      </c>
      <c r="R81" s="11">
        <v>1200</v>
      </c>
      <c r="S81" s="25" t="s">
        <v>32</v>
      </c>
      <c r="T81" s="11">
        <f>SUM(Procurement_data[[#This Row],[ Unit Price (USD) ]]*Procurement_data[[#This Row],[ Quantity ]])</f>
        <v>20000</v>
      </c>
      <c r="U81" s="11">
        <f t="shared" si="1"/>
        <v>26</v>
      </c>
    </row>
    <row r="82" spans="1:21">
      <c r="A82" s="11">
        <v>81</v>
      </c>
      <c r="B82" s="25" t="s">
        <v>332</v>
      </c>
      <c r="C82" s="28" t="s">
        <v>175</v>
      </c>
      <c r="D82" s="28" t="s">
        <v>333</v>
      </c>
      <c r="E82" s="28" t="s">
        <v>91</v>
      </c>
      <c r="F82" s="25" t="s">
        <v>359</v>
      </c>
      <c r="G82" s="11">
        <v>1</v>
      </c>
      <c r="H82" s="11">
        <v>35000</v>
      </c>
      <c r="I82" s="25" t="s">
        <v>93</v>
      </c>
      <c r="J82" s="25" t="s">
        <v>94</v>
      </c>
      <c r="K82" s="11">
        <v>3322114455</v>
      </c>
      <c r="L82" s="25" t="s">
        <v>95</v>
      </c>
      <c r="M82" s="25" t="s">
        <v>96</v>
      </c>
      <c r="N82" s="27" t="s">
        <v>210</v>
      </c>
      <c r="O82" s="27" t="s">
        <v>206</v>
      </c>
      <c r="P82" s="11">
        <v>48</v>
      </c>
      <c r="Q82" s="11">
        <v>2500</v>
      </c>
      <c r="R82" s="11">
        <v>1500</v>
      </c>
      <c r="S82" s="25" t="s">
        <v>32</v>
      </c>
      <c r="T82" s="11">
        <f>SUM(Procurement_data[[#This Row],[ Unit Price (USD) ]]*Procurement_data[[#This Row],[ Quantity ]])</f>
        <v>35000</v>
      </c>
      <c r="U82" s="11">
        <f t="shared" si="1"/>
        <v>24</v>
      </c>
    </row>
    <row r="83" spans="1:21">
      <c r="A83" s="11">
        <v>82</v>
      </c>
      <c r="B83" s="25" t="s">
        <v>329</v>
      </c>
      <c r="C83" s="28" t="s">
        <v>166</v>
      </c>
      <c r="D83" s="28" t="s">
        <v>330</v>
      </c>
      <c r="E83" s="28" t="s">
        <v>24</v>
      </c>
      <c r="F83" s="25" t="s">
        <v>214</v>
      </c>
      <c r="G83" s="11">
        <v>2</v>
      </c>
      <c r="H83" s="11">
        <v>6000</v>
      </c>
      <c r="I83" s="25" t="s">
        <v>215</v>
      </c>
      <c r="J83" s="25" t="s">
        <v>136</v>
      </c>
      <c r="K83" s="11">
        <v>7755332211</v>
      </c>
      <c r="L83" s="25" t="s">
        <v>216</v>
      </c>
      <c r="M83" s="25" t="s">
        <v>29</v>
      </c>
      <c r="N83" s="27" t="s">
        <v>53</v>
      </c>
      <c r="O83" s="27" t="s">
        <v>54</v>
      </c>
      <c r="P83" s="11">
        <v>24</v>
      </c>
      <c r="Q83" s="11">
        <v>1000</v>
      </c>
      <c r="R83" s="11">
        <v>500</v>
      </c>
      <c r="S83" s="25" t="s">
        <v>55</v>
      </c>
      <c r="T83" s="11">
        <f>SUM(Procurement_data[[#This Row],[ Unit Price (USD) ]]*Procurement_data[[#This Row],[ Quantity ]])</f>
        <v>12000</v>
      </c>
      <c r="U83" s="11">
        <f t="shared" si="1"/>
        <v>26</v>
      </c>
    </row>
    <row r="84" spans="1:21">
      <c r="A84" s="11">
        <v>83</v>
      </c>
      <c r="B84" s="25" t="s">
        <v>317</v>
      </c>
      <c r="C84" s="28" t="s">
        <v>175</v>
      </c>
      <c r="D84" s="28" t="s">
        <v>318</v>
      </c>
      <c r="E84" s="28" t="s">
        <v>123</v>
      </c>
      <c r="F84" s="25" t="s">
        <v>360</v>
      </c>
      <c r="G84" s="11">
        <v>1</v>
      </c>
      <c r="H84" s="11">
        <v>20000</v>
      </c>
      <c r="I84" s="25" t="s">
        <v>104</v>
      </c>
      <c r="J84" s="25" t="s">
        <v>105</v>
      </c>
      <c r="K84" s="11">
        <v>6677889900</v>
      </c>
      <c r="L84" s="25" t="s">
        <v>106</v>
      </c>
      <c r="M84" s="25" t="s">
        <v>107</v>
      </c>
      <c r="N84" s="27" t="s">
        <v>64</v>
      </c>
      <c r="O84" s="27" t="s">
        <v>65</v>
      </c>
      <c r="P84" s="11">
        <v>36</v>
      </c>
      <c r="Q84" s="11">
        <v>1500</v>
      </c>
      <c r="R84" s="11">
        <v>800</v>
      </c>
      <c r="S84" s="25" t="s">
        <v>66</v>
      </c>
      <c r="T84" s="11">
        <f>SUM(Procurement_data[[#This Row],[ Unit Price (USD) ]]*Procurement_data[[#This Row],[ Quantity ]])</f>
        <v>20000</v>
      </c>
      <c r="U84" s="11">
        <f t="shared" si="1"/>
        <v>23</v>
      </c>
    </row>
    <row r="85" spans="1:21">
      <c r="A85" s="11">
        <v>84</v>
      </c>
      <c r="B85" s="25" t="s">
        <v>322</v>
      </c>
      <c r="C85" s="28" t="s">
        <v>323</v>
      </c>
      <c r="D85" s="28" t="s">
        <v>324</v>
      </c>
      <c r="E85" s="28" t="s">
        <v>47</v>
      </c>
      <c r="F85" s="25" t="s">
        <v>361</v>
      </c>
      <c r="G85" s="11">
        <v>1</v>
      </c>
      <c r="H85" s="11">
        <v>15000</v>
      </c>
      <c r="I85" s="25" t="s">
        <v>362</v>
      </c>
      <c r="J85" s="25" t="s">
        <v>184</v>
      </c>
      <c r="K85" s="11">
        <v>3322114455</v>
      </c>
      <c r="L85" s="25" t="s">
        <v>363</v>
      </c>
      <c r="M85" s="25" t="s">
        <v>155</v>
      </c>
      <c r="N85" s="27" t="s">
        <v>108</v>
      </c>
      <c r="O85" s="27" t="s">
        <v>109</v>
      </c>
      <c r="P85" s="11">
        <v>36</v>
      </c>
      <c r="Q85" s="11">
        <v>1800</v>
      </c>
      <c r="R85" s="11">
        <v>1000</v>
      </c>
      <c r="S85" s="25" t="s">
        <v>55</v>
      </c>
      <c r="T85" s="11">
        <f>SUM(Procurement_data[[#This Row],[ Unit Price (USD) ]]*Procurement_data[[#This Row],[ Quantity ]])</f>
        <v>15000</v>
      </c>
      <c r="U85" s="11">
        <f t="shared" si="1"/>
        <v>26</v>
      </c>
    </row>
    <row r="86" spans="1:21">
      <c r="A86" s="11">
        <v>85</v>
      </c>
      <c r="B86" s="25" t="s">
        <v>326</v>
      </c>
      <c r="C86" s="28" t="s">
        <v>306</v>
      </c>
      <c r="D86" s="28" t="s">
        <v>327</v>
      </c>
      <c r="E86" s="28" t="s">
        <v>58</v>
      </c>
      <c r="F86" s="25" t="s">
        <v>364</v>
      </c>
      <c r="G86" s="11">
        <v>2</v>
      </c>
      <c r="H86" s="11">
        <v>5000</v>
      </c>
      <c r="I86" s="25" t="s">
        <v>226</v>
      </c>
      <c r="J86" s="25" t="s">
        <v>227</v>
      </c>
      <c r="K86" s="11">
        <v>7755332211</v>
      </c>
      <c r="L86" s="25" t="s">
        <v>228</v>
      </c>
      <c r="M86" s="25" t="s">
        <v>229</v>
      </c>
      <c r="N86" s="27" t="s">
        <v>210</v>
      </c>
      <c r="O86" s="27" t="s">
        <v>206</v>
      </c>
      <c r="P86" s="11">
        <v>24</v>
      </c>
      <c r="Q86" s="11">
        <v>800</v>
      </c>
      <c r="R86" s="11">
        <v>500</v>
      </c>
      <c r="S86" s="25" t="s">
        <v>55</v>
      </c>
      <c r="T86" s="11">
        <f>SUM(Procurement_data[[#This Row],[ Unit Price (USD) ]]*Procurement_data[[#This Row],[ Quantity ]])</f>
        <v>10000</v>
      </c>
      <c r="U86" s="11">
        <f t="shared" si="1"/>
        <v>24</v>
      </c>
    </row>
    <row r="87" spans="1:21">
      <c r="A87" s="11">
        <v>86</v>
      </c>
      <c r="B87" s="25" t="s">
        <v>340</v>
      </c>
      <c r="C87" s="28" t="s">
        <v>175</v>
      </c>
      <c r="D87" s="28" t="s">
        <v>341</v>
      </c>
      <c r="E87" s="28" t="s">
        <v>36</v>
      </c>
      <c r="F87" s="25" t="s">
        <v>103</v>
      </c>
      <c r="G87" s="11">
        <v>1</v>
      </c>
      <c r="H87" s="11">
        <v>25000</v>
      </c>
      <c r="I87" s="25" t="s">
        <v>104</v>
      </c>
      <c r="J87" s="25" t="s">
        <v>105</v>
      </c>
      <c r="K87" s="11">
        <v>6677889900</v>
      </c>
      <c r="L87" s="25" t="s">
        <v>106</v>
      </c>
      <c r="M87" s="25" t="s">
        <v>107</v>
      </c>
      <c r="N87" s="27" t="s">
        <v>53</v>
      </c>
      <c r="O87" s="27" t="s">
        <v>54</v>
      </c>
      <c r="P87" s="11">
        <v>36</v>
      </c>
      <c r="Q87" s="11">
        <v>1500</v>
      </c>
      <c r="R87" s="11">
        <v>800</v>
      </c>
      <c r="S87" s="25" t="s">
        <v>66</v>
      </c>
      <c r="T87" s="11">
        <f>SUM(Procurement_data[[#This Row],[ Unit Price (USD) ]]*Procurement_data[[#This Row],[ Quantity ]])</f>
        <v>25000</v>
      </c>
      <c r="U87" s="11">
        <f t="shared" si="1"/>
        <v>26</v>
      </c>
    </row>
    <row r="88" spans="1:21">
      <c r="A88" s="11">
        <v>87</v>
      </c>
      <c r="B88" s="25" t="s">
        <v>352</v>
      </c>
      <c r="C88" s="28" t="s">
        <v>212</v>
      </c>
      <c r="D88" s="28" t="s">
        <v>353</v>
      </c>
      <c r="E88" s="28" t="s">
        <v>102</v>
      </c>
      <c r="F88" s="25" t="s">
        <v>365</v>
      </c>
      <c r="G88" s="11">
        <v>1</v>
      </c>
      <c r="H88" s="11">
        <v>5000</v>
      </c>
      <c r="I88" s="25" t="s">
        <v>234</v>
      </c>
      <c r="J88" s="25" t="s">
        <v>105</v>
      </c>
      <c r="K88" s="11">
        <v>7755332211</v>
      </c>
      <c r="L88" s="25" t="s">
        <v>235</v>
      </c>
      <c r="M88" s="25" t="s">
        <v>107</v>
      </c>
      <c r="N88" s="27" t="s">
        <v>64</v>
      </c>
      <c r="O88" s="27" t="s">
        <v>65</v>
      </c>
      <c r="P88" s="11">
        <v>24</v>
      </c>
      <c r="Q88" s="11">
        <v>800</v>
      </c>
      <c r="R88" s="11">
        <v>500</v>
      </c>
      <c r="S88" s="25" t="s">
        <v>218</v>
      </c>
      <c r="T88" s="11">
        <f>SUM(Procurement_data[[#This Row],[ Unit Price (USD) ]]*Procurement_data[[#This Row],[ Quantity ]])</f>
        <v>5000</v>
      </c>
      <c r="U88" s="11">
        <f t="shared" si="1"/>
        <v>23</v>
      </c>
    </row>
    <row r="89" spans="1:21">
      <c r="A89" s="11">
        <v>88</v>
      </c>
      <c r="B89" s="25" t="s">
        <v>366</v>
      </c>
      <c r="C89" s="28" t="s">
        <v>157</v>
      </c>
      <c r="D89" s="28" t="s">
        <v>367</v>
      </c>
      <c r="E89" s="28" t="s">
        <v>47</v>
      </c>
      <c r="F89" s="25" t="s">
        <v>368</v>
      </c>
      <c r="G89" s="11">
        <v>1</v>
      </c>
      <c r="H89" s="11">
        <v>10000</v>
      </c>
      <c r="I89" s="25" t="s">
        <v>240</v>
      </c>
      <c r="J89" s="25" t="s">
        <v>50</v>
      </c>
      <c r="K89" s="11">
        <v>3322114455</v>
      </c>
      <c r="L89" s="25" t="s">
        <v>241</v>
      </c>
      <c r="M89" s="25" t="s">
        <v>52</v>
      </c>
      <c r="N89" s="27" t="s">
        <v>30</v>
      </c>
      <c r="O89" s="27" t="s">
        <v>31</v>
      </c>
      <c r="P89" s="11">
        <v>36</v>
      </c>
      <c r="Q89" s="11">
        <v>1500</v>
      </c>
      <c r="R89" s="11">
        <v>800</v>
      </c>
      <c r="S89" s="25" t="s">
        <v>66</v>
      </c>
      <c r="T89" s="11">
        <f>SUM(Procurement_data[[#This Row],[ Unit Price (USD) ]]*Procurement_data[[#This Row],[ Quantity ]])</f>
        <v>10000</v>
      </c>
      <c r="U89" s="11">
        <f t="shared" si="1"/>
        <v>26</v>
      </c>
    </row>
    <row r="90" spans="1:21">
      <c r="A90" s="11">
        <v>89</v>
      </c>
      <c r="B90" s="25" t="s">
        <v>369</v>
      </c>
      <c r="C90" s="28" t="s">
        <v>34</v>
      </c>
      <c r="D90" s="28" t="s">
        <v>35</v>
      </c>
      <c r="E90" s="28" t="s">
        <v>58</v>
      </c>
      <c r="F90" s="25" t="s">
        <v>364</v>
      </c>
      <c r="G90" s="11">
        <v>1</v>
      </c>
      <c r="H90" s="11">
        <v>5000</v>
      </c>
      <c r="I90" s="25" t="s">
        <v>226</v>
      </c>
      <c r="J90" s="25" t="s">
        <v>227</v>
      </c>
      <c r="K90" s="11">
        <v>7755332211</v>
      </c>
      <c r="L90" s="25" t="s">
        <v>228</v>
      </c>
      <c r="M90" s="25" t="s">
        <v>229</v>
      </c>
      <c r="N90" s="27" t="s">
        <v>42</v>
      </c>
      <c r="O90" s="27" t="s">
        <v>43</v>
      </c>
      <c r="P90" s="11">
        <v>24</v>
      </c>
      <c r="Q90" s="11">
        <v>800</v>
      </c>
      <c r="R90" s="11">
        <v>500</v>
      </c>
      <c r="S90" s="25" t="s">
        <v>55</v>
      </c>
      <c r="T90" s="11">
        <f>SUM(Procurement_data[[#This Row],[ Unit Price (USD) ]]*Procurement_data[[#This Row],[ Quantity ]])</f>
        <v>5000</v>
      </c>
      <c r="U90" s="11">
        <f t="shared" si="1"/>
        <v>27</v>
      </c>
    </row>
    <row r="91" spans="1:21">
      <c r="A91" s="11">
        <v>90</v>
      </c>
      <c r="B91" s="25" t="s">
        <v>370</v>
      </c>
      <c r="C91" s="28" t="s">
        <v>89</v>
      </c>
      <c r="D91" s="28" t="s">
        <v>90</v>
      </c>
      <c r="E91" s="28" t="s">
        <v>58</v>
      </c>
      <c r="F91" s="25" t="s">
        <v>304</v>
      </c>
      <c r="G91" s="11">
        <v>1</v>
      </c>
      <c r="H91" s="11">
        <v>5000</v>
      </c>
      <c r="I91" s="25" t="s">
        <v>226</v>
      </c>
      <c r="J91" s="25" t="s">
        <v>227</v>
      </c>
      <c r="K91" s="11">
        <v>7755332211</v>
      </c>
      <c r="L91" s="25" t="s">
        <v>228</v>
      </c>
      <c r="M91" s="25" t="s">
        <v>229</v>
      </c>
      <c r="N91" s="27" t="s">
        <v>53</v>
      </c>
      <c r="O91" s="27" t="s">
        <v>54</v>
      </c>
      <c r="P91" s="11">
        <v>24</v>
      </c>
      <c r="Q91" s="11">
        <v>800</v>
      </c>
      <c r="R91" s="11">
        <v>500</v>
      </c>
      <c r="S91" s="25" t="s">
        <v>55</v>
      </c>
      <c r="T91" s="11">
        <f>SUM(Procurement_data[[#This Row],[ Unit Price (USD) ]]*Procurement_data[[#This Row],[ Quantity ]])</f>
        <v>5000</v>
      </c>
      <c r="U91" s="11">
        <f t="shared" si="1"/>
        <v>26</v>
      </c>
    </row>
    <row r="92" spans="1:21">
      <c r="A92" s="11">
        <v>91</v>
      </c>
      <c r="B92" s="25" t="s">
        <v>371</v>
      </c>
      <c r="C92" s="28" t="s">
        <v>111</v>
      </c>
      <c r="D92" s="28" t="s">
        <v>112</v>
      </c>
      <c r="E92" s="28" t="s">
        <v>36</v>
      </c>
      <c r="F92" s="25" t="s">
        <v>372</v>
      </c>
      <c r="G92" s="11">
        <v>1</v>
      </c>
      <c r="H92" s="11">
        <v>40000</v>
      </c>
      <c r="I92" s="25" t="s">
        <v>72</v>
      </c>
      <c r="J92" s="25" t="s">
        <v>73</v>
      </c>
      <c r="K92" s="11">
        <v>6677889900</v>
      </c>
      <c r="L92" s="25" t="s">
        <v>74</v>
      </c>
      <c r="M92" s="25" t="s">
        <v>75</v>
      </c>
      <c r="N92" s="27" t="s">
        <v>76</v>
      </c>
      <c r="O92" s="27" t="s">
        <v>77</v>
      </c>
      <c r="P92" s="11">
        <v>36</v>
      </c>
      <c r="Q92" s="11">
        <v>2000</v>
      </c>
      <c r="R92" s="11">
        <v>1200</v>
      </c>
      <c r="S92" s="25" t="s">
        <v>32</v>
      </c>
      <c r="T92" s="11">
        <f>SUM(Procurement_data[[#This Row],[ Unit Price (USD) ]]*Procurement_data[[#This Row],[ Quantity ]])</f>
        <v>40000</v>
      </c>
      <c r="U92" s="11">
        <f t="shared" si="1"/>
        <v>23</v>
      </c>
    </row>
    <row r="93" spans="1:21">
      <c r="A93" s="11">
        <v>92</v>
      </c>
      <c r="B93" s="25" t="s">
        <v>373</v>
      </c>
      <c r="C93" s="28" t="s">
        <v>79</v>
      </c>
      <c r="D93" s="28" t="s">
        <v>80</v>
      </c>
      <c r="E93" s="28" t="s">
        <v>47</v>
      </c>
      <c r="F93" s="25" t="s">
        <v>343</v>
      </c>
      <c r="G93" s="11">
        <v>1</v>
      </c>
      <c r="H93" s="11">
        <v>20000</v>
      </c>
      <c r="I93" s="25" t="s">
        <v>344</v>
      </c>
      <c r="J93" s="25" t="s">
        <v>50</v>
      </c>
      <c r="K93" s="11">
        <v>3322114455</v>
      </c>
      <c r="L93" s="25" t="s">
        <v>345</v>
      </c>
      <c r="M93" s="25" t="s">
        <v>52</v>
      </c>
      <c r="N93" s="27" t="s">
        <v>64</v>
      </c>
      <c r="O93" s="27" t="s">
        <v>65</v>
      </c>
      <c r="P93" s="11">
        <v>36</v>
      </c>
      <c r="Q93" s="11">
        <v>2500</v>
      </c>
      <c r="R93" s="11">
        <v>1500</v>
      </c>
      <c r="S93" s="25" t="s">
        <v>32</v>
      </c>
      <c r="T93" s="11">
        <f>SUM(Procurement_data[[#This Row],[ Unit Price (USD) ]]*Procurement_data[[#This Row],[ Quantity ]])</f>
        <v>20000</v>
      </c>
      <c r="U93" s="11">
        <f t="shared" si="1"/>
        <v>23</v>
      </c>
    </row>
    <row r="94" spans="1:21">
      <c r="A94" s="11">
        <v>93</v>
      </c>
      <c r="B94" s="25" t="s">
        <v>374</v>
      </c>
      <c r="C94" s="28" t="s">
        <v>68</v>
      </c>
      <c r="D94" s="28" t="s">
        <v>69</v>
      </c>
      <c r="E94" s="28" t="s">
        <v>47</v>
      </c>
      <c r="F94" s="25" t="s">
        <v>358</v>
      </c>
      <c r="G94" s="11">
        <v>1</v>
      </c>
      <c r="H94" s="11">
        <v>15000</v>
      </c>
      <c r="I94" s="25" t="s">
        <v>240</v>
      </c>
      <c r="J94" s="25" t="s">
        <v>50</v>
      </c>
      <c r="K94" s="11">
        <v>3322114455</v>
      </c>
      <c r="L94" s="25" t="s">
        <v>241</v>
      </c>
      <c r="M94" s="25" t="s">
        <v>52</v>
      </c>
      <c r="N94" s="27" t="s">
        <v>30</v>
      </c>
      <c r="O94" s="27" t="s">
        <v>31</v>
      </c>
      <c r="P94" s="11">
        <v>24</v>
      </c>
      <c r="Q94" s="11">
        <v>1200</v>
      </c>
      <c r="R94" s="11">
        <v>700</v>
      </c>
      <c r="S94" s="25" t="s">
        <v>55</v>
      </c>
      <c r="T94" s="11">
        <f>SUM(Procurement_data[[#This Row],[ Unit Price (USD) ]]*Procurement_data[[#This Row],[ Quantity ]])</f>
        <v>15000</v>
      </c>
      <c r="U94" s="11">
        <f t="shared" si="1"/>
        <v>26</v>
      </c>
    </row>
    <row r="95" spans="1:21">
      <c r="A95" s="11">
        <v>94</v>
      </c>
      <c r="B95" s="25" t="s">
        <v>375</v>
      </c>
      <c r="C95" s="28" t="s">
        <v>200</v>
      </c>
      <c r="D95" s="28" t="s">
        <v>201</v>
      </c>
      <c r="E95" s="28" t="s">
        <v>36</v>
      </c>
      <c r="F95" s="25" t="s">
        <v>103</v>
      </c>
      <c r="G95" s="11">
        <v>1</v>
      </c>
      <c r="H95" s="11">
        <v>30000</v>
      </c>
      <c r="I95" s="25" t="s">
        <v>104</v>
      </c>
      <c r="J95" s="25" t="s">
        <v>105</v>
      </c>
      <c r="K95" s="11">
        <v>6677889900</v>
      </c>
      <c r="L95" s="25" t="s">
        <v>106</v>
      </c>
      <c r="M95" s="25" t="s">
        <v>107</v>
      </c>
      <c r="N95" s="27" t="s">
        <v>97</v>
      </c>
      <c r="O95" s="27" t="s">
        <v>98</v>
      </c>
      <c r="P95" s="11">
        <v>36</v>
      </c>
      <c r="Q95" s="11">
        <v>1500</v>
      </c>
      <c r="R95" s="11">
        <v>800</v>
      </c>
      <c r="S95" s="25" t="s">
        <v>66</v>
      </c>
      <c r="T95" s="11">
        <f>SUM(Procurement_data[[#This Row],[ Unit Price (USD) ]]*Procurement_data[[#This Row],[ Quantity ]])</f>
        <v>30000</v>
      </c>
      <c r="U95" s="11">
        <f t="shared" si="1"/>
        <v>26</v>
      </c>
    </row>
    <row r="96" spans="1:21">
      <c r="A96" s="11">
        <v>95</v>
      </c>
      <c r="B96" s="25" t="s">
        <v>376</v>
      </c>
      <c r="C96" s="28" t="s">
        <v>166</v>
      </c>
      <c r="D96" s="28" t="s">
        <v>167</v>
      </c>
      <c r="E96" s="28" t="s">
        <v>133</v>
      </c>
      <c r="F96" s="25" t="s">
        <v>59</v>
      </c>
      <c r="G96" s="11">
        <v>1</v>
      </c>
      <c r="H96" s="11">
        <v>40000</v>
      </c>
      <c r="I96" s="25" t="s">
        <v>272</v>
      </c>
      <c r="J96" s="25" t="s">
        <v>61</v>
      </c>
      <c r="K96" s="11">
        <v>7755332211</v>
      </c>
      <c r="L96" s="25" t="s">
        <v>273</v>
      </c>
      <c r="M96" s="25" t="s">
        <v>63</v>
      </c>
      <c r="N96" s="27" t="s">
        <v>217</v>
      </c>
      <c r="O96" s="27" t="s">
        <v>210</v>
      </c>
      <c r="P96" s="11">
        <v>48</v>
      </c>
      <c r="Q96" s="11">
        <v>2000</v>
      </c>
      <c r="R96" s="11">
        <v>1200</v>
      </c>
      <c r="S96" s="25" t="s">
        <v>32</v>
      </c>
      <c r="T96" s="11">
        <f>SUM(Procurement_data[[#This Row],[ Unit Price (USD) ]]*Procurement_data[[#This Row],[ Quantity ]])</f>
        <v>40000</v>
      </c>
      <c r="U96" s="11">
        <f t="shared" si="1"/>
        <v>26</v>
      </c>
    </row>
    <row r="97" spans="1:21">
      <c r="A97" s="11">
        <v>96</v>
      </c>
      <c r="B97" s="25" t="s">
        <v>377</v>
      </c>
      <c r="C97" s="28" t="s">
        <v>323</v>
      </c>
      <c r="D97" s="28" t="s">
        <v>324</v>
      </c>
      <c r="E97" s="28" t="s">
        <v>47</v>
      </c>
      <c r="F97" s="25" t="s">
        <v>378</v>
      </c>
      <c r="G97" s="11">
        <v>1</v>
      </c>
      <c r="H97" s="11">
        <v>60000</v>
      </c>
      <c r="I97" s="25" t="s">
        <v>379</v>
      </c>
      <c r="J97" s="25" t="s">
        <v>162</v>
      </c>
      <c r="K97" s="11">
        <v>3322114455</v>
      </c>
      <c r="L97" s="25" t="s">
        <v>380</v>
      </c>
      <c r="M97" s="25" t="s">
        <v>164</v>
      </c>
      <c r="N97" s="27" t="s">
        <v>31</v>
      </c>
      <c r="O97" s="27" t="s">
        <v>87</v>
      </c>
      <c r="P97" s="11">
        <v>48</v>
      </c>
      <c r="Q97" s="11">
        <v>2500</v>
      </c>
      <c r="R97" s="11">
        <v>1500</v>
      </c>
      <c r="S97" s="25" t="s">
        <v>32</v>
      </c>
      <c r="T97" s="11">
        <f>SUM(Procurement_data[[#This Row],[ Unit Price (USD) ]]*Procurement_data[[#This Row],[ Quantity ]])</f>
        <v>60000</v>
      </c>
      <c r="U97" s="11">
        <f t="shared" si="1"/>
        <v>25</v>
      </c>
    </row>
    <row r="98" spans="1:21">
      <c r="A98" s="11">
        <v>97</v>
      </c>
      <c r="B98" s="25" t="s">
        <v>381</v>
      </c>
      <c r="C98" s="28" t="s">
        <v>382</v>
      </c>
      <c r="D98" s="28" t="s">
        <v>383</v>
      </c>
      <c r="E98" s="28" t="s">
        <v>47</v>
      </c>
      <c r="F98" s="25" t="s">
        <v>348</v>
      </c>
      <c r="G98" s="11">
        <v>1</v>
      </c>
      <c r="H98" s="11">
        <v>50000</v>
      </c>
      <c r="I98" s="25" t="s">
        <v>240</v>
      </c>
      <c r="J98" s="25" t="s">
        <v>50</v>
      </c>
      <c r="K98" s="11">
        <v>3322114455</v>
      </c>
      <c r="L98" s="25" t="s">
        <v>241</v>
      </c>
      <c r="M98" s="25" t="s">
        <v>52</v>
      </c>
      <c r="N98" s="27" t="s">
        <v>76</v>
      </c>
      <c r="O98" s="27" t="s">
        <v>77</v>
      </c>
      <c r="P98" s="11">
        <v>36</v>
      </c>
      <c r="Q98" s="11">
        <v>1800</v>
      </c>
      <c r="R98" s="11">
        <v>1000</v>
      </c>
      <c r="S98" s="25" t="s">
        <v>55</v>
      </c>
      <c r="T98" s="11">
        <f>SUM(Procurement_data[[#This Row],[ Unit Price (USD) ]]*Procurement_data[[#This Row],[ Quantity ]])</f>
        <v>50000</v>
      </c>
      <c r="U98" s="11">
        <f t="shared" si="1"/>
        <v>23</v>
      </c>
    </row>
    <row r="99" spans="1:21">
      <c r="A99" s="11">
        <v>98</v>
      </c>
      <c r="B99" s="25" t="s">
        <v>384</v>
      </c>
      <c r="C99" s="28" t="s">
        <v>175</v>
      </c>
      <c r="D99" s="28" t="s">
        <v>385</v>
      </c>
      <c r="E99" s="28" t="s">
        <v>58</v>
      </c>
      <c r="F99" s="25" t="s">
        <v>225</v>
      </c>
      <c r="G99" s="11">
        <v>1</v>
      </c>
      <c r="H99" s="11">
        <v>8000</v>
      </c>
      <c r="I99" s="25" t="s">
        <v>226</v>
      </c>
      <c r="J99" s="25" t="s">
        <v>227</v>
      </c>
      <c r="K99" s="11">
        <v>7755332211</v>
      </c>
      <c r="L99" s="25" t="s">
        <v>228</v>
      </c>
      <c r="M99" s="25" t="s">
        <v>229</v>
      </c>
      <c r="N99" s="27" t="s">
        <v>42</v>
      </c>
      <c r="O99" s="27" t="s">
        <v>43</v>
      </c>
      <c r="P99" s="11">
        <v>24</v>
      </c>
      <c r="Q99" s="11">
        <v>1000</v>
      </c>
      <c r="R99" s="11">
        <v>500</v>
      </c>
      <c r="S99" s="25" t="s">
        <v>55</v>
      </c>
      <c r="T99" s="11">
        <f>SUM(Procurement_data[[#This Row],[ Unit Price (USD) ]]*Procurement_data[[#This Row],[ Quantity ]])</f>
        <v>8000</v>
      </c>
      <c r="U99" s="11">
        <f t="shared" si="1"/>
        <v>27</v>
      </c>
    </row>
    <row r="100" spans="1:21">
      <c r="A100" s="11">
        <v>99</v>
      </c>
      <c r="B100" s="25" t="s">
        <v>386</v>
      </c>
      <c r="C100" s="28" t="s">
        <v>387</v>
      </c>
      <c r="D100" s="28" t="s">
        <v>388</v>
      </c>
      <c r="E100" s="28" t="s">
        <v>58</v>
      </c>
      <c r="F100" s="25" t="s">
        <v>304</v>
      </c>
      <c r="G100" s="11">
        <v>1</v>
      </c>
      <c r="H100" s="11">
        <v>5000</v>
      </c>
      <c r="I100" s="25" t="s">
        <v>226</v>
      </c>
      <c r="J100" s="25" t="s">
        <v>227</v>
      </c>
      <c r="K100" s="11">
        <v>7755332211</v>
      </c>
      <c r="L100" s="25" t="s">
        <v>228</v>
      </c>
      <c r="M100" s="25" t="s">
        <v>229</v>
      </c>
      <c r="N100" s="27" t="s">
        <v>53</v>
      </c>
      <c r="O100" s="27" t="s">
        <v>54</v>
      </c>
      <c r="P100" s="11">
        <v>24</v>
      </c>
      <c r="Q100" s="11">
        <v>800</v>
      </c>
      <c r="R100" s="11">
        <v>500</v>
      </c>
      <c r="S100" s="25" t="s">
        <v>55</v>
      </c>
      <c r="T100" s="11">
        <f>SUM(Procurement_data[[#This Row],[ Unit Price (USD) ]]*Procurement_data[[#This Row],[ Quantity ]])</f>
        <v>5000</v>
      </c>
      <c r="U100" s="11">
        <f t="shared" si="1"/>
        <v>26</v>
      </c>
    </row>
    <row r="101" ht="11" customHeight="1" spans="1:21">
      <c r="A101" s="11">
        <v>100</v>
      </c>
      <c r="B101" s="25" t="s">
        <v>389</v>
      </c>
      <c r="C101" s="28" t="s">
        <v>148</v>
      </c>
      <c r="D101" s="28" t="s">
        <v>149</v>
      </c>
      <c r="E101" s="28" t="s">
        <v>36</v>
      </c>
      <c r="F101" s="25" t="s">
        <v>372</v>
      </c>
      <c r="G101" s="11">
        <v>1</v>
      </c>
      <c r="H101" s="11">
        <v>40000</v>
      </c>
      <c r="I101" s="25" t="s">
        <v>72</v>
      </c>
      <c r="J101" s="25" t="s">
        <v>73</v>
      </c>
      <c r="K101" s="11">
        <v>6677889900</v>
      </c>
      <c r="L101" s="25" t="s">
        <v>74</v>
      </c>
      <c r="M101" s="25" t="s">
        <v>75</v>
      </c>
      <c r="N101" s="27" t="s">
        <v>76</v>
      </c>
      <c r="O101" s="27" t="s">
        <v>77</v>
      </c>
      <c r="P101" s="11">
        <v>36</v>
      </c>
      <c r="Q101" s="11">
        <v>2000</v>
      </c>
      <c r="R101" s="11">
        <v>1200</v>
      </c>
      <c r="S101" s="25" t="s">
        <v>32</v>
      </c>
      <c r="T101" s="11">
        <f>SUM(Procurement_data[[#This Row],[ Unit Price (USD) ]]*Procurement_data[[#This Row],[ Quantity ]])</f>
        <v>40000</v>
      </c>
      <c r="U101" s="11">
        <f t="shared" si="1"/>
        <v>23</v>
      </c>
    </row>
    <row r="102" spans="1:21">
      <c r="A102" s="11">
        <v>101</v>
      </c>
      <c r="B102" s="25" t="s">
        <v>390</v>
      </c>
      <c r="C102" s="28" t="s">
        <v>57</v>
      </c>
      <c r="D102" s="28" t="s">
        <v>56</v>
      </c>
      <c r="E102" s="28" t="s">
        <v>58</v>
      </c>
      <c r="F102" s="25" t="s">
        <v>225</v>
      </c>
      <c r="G102" s="11">
        <v>1</v>
      </c>
      <c r="H102" s="11">
        <v>8000</v>
      </c>
      <c r="I102" s="25" t="s">
        <v>226</v>
      </c>
      <c r="J102" s="25" t="s">
        <v>227</v>
      </c>
      <c r="K102" s="11">
        <v>7755332211</v>
      </c>
      <c r="L102" s="25" t="s">
        <v>228</v>
      </c>
      <c r="M102" s="25" t="s">
        <v>229</v>
      </c>
      <c r="N102" s="27" t="s">
        <v>42</v>
      </c>
      <c r="O102" s="27" t="s">
        <v>43</v>
      </c>
      <c r="P102" s="11">
        <v>24</v>
      </c>
      <c r="Q102" s="11">
        <v>1000</v>
      </c>
      <c r="R102" s="11">
        <v>500</v>
      </c>
      <c r="S102" s="25" t="s">
        <v>55</v>
      </c>
      <c r="T102" s="11">
        <f>SUM(Procurement_data[[#This Row],[ Unit Price (USD) ]]*Procurement_data[[#This Row],[ Quantity ]])</f>
        <v>8000</v>
      </c>
      <c r="U102" s="11">
        <f t="shared" si="1"/>
        <v>27</v>
      </c>
    </row>
    <row r="103" spans="1:21">
      <c r="A103" s="11">
        <v>102</v>
      </c>
      <c r="B103" s="25" t="s">
        <v>369</v>
      </c>
      <c r="C103" s="28" t="s">
        <v>34</v>
      </c>
      <c r="D103" s="28" t="s">
        <v>35</v>
      </c>
      <c r="E103" s="28" t="s">
        <v>36</v>
      </c>
      <c r="F103" s="25" t="s">
        <v>103</v>
      </c>
      <c r="G103" s="11">
        <v>1</v>
      </c>
      <c r="H103" s="11">
        <v>30000</v>
      </c>
      <c r="I103" s="25" t="s">
        <v>104</v>
      </c>
      <c r="J103" s="25" t="s">
        <v>105</v>
      </c>
      <c r="K103" s="11">
        <v>6677889900</v>
      </c>
      <c r="L103" s="25" t="s">
        <v>106</v>
      </c>
      <c r="M103" s="25" t="s">
        <v>107</v>
      </c>
      <c r="N103" s="27" t="s">
        <v>97</v>
      </c>
      <c r="O103" s="27" t="s">
        <v>98</v>
      </c>
      <c r="P103" s="11">
        <v>36</v>
      </c>
      <c r="Q103" s="11">
        <v>1500</v>
      </c>
      <c r="R103" s="11">
        <v>800</v>
      </c>
      <c r="S103" s="25" t="s">
        <v>66</v>
      </c>
      <c r="T103" s="11">
        <f>SUM(Procurement_data[[#This Row],[ Unit Price (USD) ]]*Procurement_data[[#This Row],[ Quantity ]])</f>
        <v>30000</v>
      </c>
      <c r="U103" s="11">
        <f t="shared" si="1"/>
        <v>26</v>
      </c>
    </row>
    <row r="104" spans="1:21">
      <c r="A104" s="11">
        <v>103</v>
      </c>
      <c r="B104" s="25" t="s">
        <v>370</v>
      </c>
      <c r="C104" s="28" t="s">
        <v>89</v>
      </c>
      <c r="D104" s="28" t="s">
        <v>90</v>
      </c>
      <c r="E104" s="28" t="s">
        <v>47</v>
      </c>
      <c r="F104" s="25" t="s">
        <v>343</v>
      </c>
      <c r="G104" s="11">
        <v>1</v>
      </c>
      <c r="H104" s="11">
        <v>20000</v>
      </c>
      <c r="I104" s="25" t="s">
        <v>344</v>
      </c>
      <c r="J104" s="25" t="s">
        <v>50</v>
      </c>
      <c r="K104" s="11">
        <v>3322114455</v>
      </c>
      <c r="L104" s="25" t="s">
        <v>345</v>
      </c>
      <c r="M104" s="25" t="s">
        <v>52</v>
      </c>
      <c r="N104" s="27" t="s">
        <v>64</v>
      </c>
      <c r="O104" s="27" t="s">
        <v>65</v>
      </c>
      <c r="P104" s="11">
        <v>36</v>
      </c>
      <c r="Q104" s="11">
        <v>2500</v>
      </c>
      <c r="R104" s="11">
        <v>1500</v>
      </c>
      <c r="S104" s="25" t="s">
        <v>32</v>
      </c>
      <c r="T104" s="11">
        <f>SUM(Procurement_data[[#This Row],[ Unit Price (USD) ]]*Procurement_data[[#This Row],[ Quantity ]])</f>
        <v>20000</v>
      </c>
      <c r="U104" s="11">
        <f t="shared" si="1"/>
        <v>23</v>
      </c>
    </row>
    <row r="105" spans="1:21">
      <c r="A105" s="11">
        <v>104</v>
      </c>
      <c r="B105" s="25" t="s">
        <v>371</v>
      </c>
      <c r="C105" s="28" t="s">
        <v>111</v>
      </c>
      <c r="D105" s="28" t="s">
        <v>112</v>
      </c>
      <c r="E105" s="28" t="s">
        <v>58</v>
      </c>
      <c r="F105" s="25" t="s">
        <v>304</v>
      </c>
      <c r="G105" s="11">
        <v>1</v>
      </c>
      <c r="H105" s="11">
        <v>5000</v>
      </c>
      <c r="I105" s="25" t="s">
        <v>226</v>
      </c>
      <c r="J105" s="25" t="s">
        <v>227</v>
      </c>
      <c r="K105" s="11">
        <v>7755332211</v>
      </c>
      <c r="L105" s="25" t="s">
        <v>228</v>
      </c>
      <c r="M105" s="25" t="s">
        <v>229</v>
      </c>
      <c r="N105" s="27" t="s">
        <v>53</v>
      </c>
      <c r="O105" s="27" t="s">
        <v>54</v>
      </c>
      <c r="P105" s="11">
        <v>24</v>
      </c>
      <c r="Q105" s="11">
        <v>800</v>
      </c>
      <c r="R105" s="11">
        <v>500</v>
      </c>
      <c r="S105" s="25" t="s">
        <v>55</v>
      </c>
      <c r="T105" s="11">
        <f>SUM(Procurement_data[[#This Row],[ Unit Price (USD) ]]*Procurement_data[[#This Row],[ Quantity ]])</f>
        <v>5000</v>
      </c>
      <c r="U105" s="11">
        <f t="shared" si="1"/>
        <v>26</v>
      </c>
    </row>
    <row r="106" spans="1:21">
      <c r="A106" s="11">
        <v>105</v>
      </c>
      <c r="B106" s="25" t="s">
        <v>373</v>
      </c>
      <c r="C106" s="28" t="s">
        <v>79</v>
      </c>
      <c r="D106" s="28" t="s">
        <v>80</v>
      </c>
      <c r="E106" s="28" t="s">
        <v>36</v>
      </c>
      <c r="F106" s="25" t="s">
        <v>372</v>
      </c>
      <c r="G106" s="11">
        <v>1</v>
      </c>
      <c r="H106" s="11">
        <v>40000</v>
      </c>
      <c r="I106" s="25" t="s">
        <v>72</v>
      </c>
      <c r="J106" s="25" t="s">
        <v>73</v>
      </c>
      <c r="K106" s="11">
        <v>6677889900</v>
      </c>
      <c r="L106" s="25" t="s">
        <v>74</v>
      </c>
      <c r="M106" s="25" t="s">
        <v>75</v>
      </c>
      <c r="N106" s="27" t="s">
        <v>76</v>
      </c>
      <c r="O106" s="27" t="s">
        <v>77</v>
      </c>
      <c r="P106" s="11">
        <v>36</v>
      </c>
      <c r="Q106" s="11">
        <v>2000</v>
      </c>
      <c r="R106" s="11">
        <v>1200</v>
      </c>
      <c r="S106" s="25" t="s">
        <v>32</v>
      </c>
      <c r="T106" s="11">
        <f>SUM(Procurement_data[[#This Row],[ Unit Price (USD) ]]*Procurement_data[[#This Row],[ Quantity ]])</f>
        <v>40000</v>
      </c>
      <c r="U106" s="11">
        <f t="shared" si="1"/>
        <v>23</v>
      </c>
    </row>
    <row r="107" spans="1:21">
      <c r="A107" s="11">
        <v>106</v>
      </c>
      <c r="B107" s="25" t="s">
        <v>381</v>
      </c>
      <c r="C107" s="28" t="s">
        <v>382</v>
      </c>
      <c r="D107" s="28" t="s">
        <v>383</v>
      </c>
      <c r="E107" s="28" t="s">
        <v>133</v>
      </c>
      <c r="F107" s="25" t="s">
        <v>59</v>
      </c>
      <c r="G107" s="11">
        <v>1</v>
      </c>
      <c r="H107" s="11">
        <v>40000</v>
      </c>
      <c r="I107" s="25" t="s">
        <v>272</v>
      </c>
      <c r="J107" s="25" t="s">
        <v>61</v>
      </c>
      <c r="K107" s="11">
        <v>7755332211</v>
      </c>
      <c r="L107" s="25" t="s">
        <v>273</v>
      </c>
      <c r="M107" s="25" t="s">
        <v>63</v>
      </c>
      <c r="N107" s="27" t="s">
        <v>217</v>
      </c>
      <c r="O107" s="27" t="s">
        <v>210</v>
      </c>
      <c r="P107" s="11">
        <v>48</v>
      </c>
      <c r="Q107" s="11">
        <v>2000</v>
      </c>
      <c r="R107" s="11">
        <v>1200</v>
      </c>
      <c r="S107" s="25" t="s">
        <v>32</v>
      </c>
      <c r="T107" s="11">
        <f>SUM(Procurement_data[[#This Row],[ Unit Price (USD) ]]*Procurement_data[[#This Row],[ Quantity ]])</f>
        <v>40000</v>
      </c>
      <c r="U107" s="11">
        <f t="shared" si="1"/>
        <v>26</v>
      </c>
    </row>
    <row r="108" spans="1:21">
      <c r="A108" s="11">
        <v>107</v>
      </c>
      <c r="B108" s="25" t="s">
        <v>384</v>
      </c>
      <c r="C108" s="28" t="s">
        <v>175</v>
      </c>
      <c r="D108" s="28" t="s">
        <v>385</v>
      </c>
      <c r="E108" s="28" t="s">
        <v>47</v>
      </c>
      <c r="F108" s="25" t="s">
        <v>378</v>
      </c>
      <c r="G108" s="11">
        <v>1</v>
      </c>
      <c r="H108" s="11">
        <v>60000</v>
      </c>
      <c r="I108" s="25" t="s">
        <v>379</v>
      </c>
      <c r="J108" s="25" t="s">
        <v>162</v>
      </c>
      <c r="K108" s="11">
        <v>3322114455</v>
      </c>
      <c r="L108" s="25" t="s">
        <v>380</v>
      </c>
      <c r="M108" s="25" t="s">
        <v>164</v>
      </c>
      <c r="N108" s="27" t="s">
        <v>31</v>
      </c>
      <c r="O108" s="27" t="s">
        <v>87</v>
      </c>
      <c r="P108" s="11">
        <v>48</v>
      </c>
      <c r="Q108" s="11">
        <v>2500</v>
      </c>
      <c r="R108" s="11">
        <v>1500</v>
      </c>
      <c r="S108" s="25" t="s">
        <v>32</v>
      </c>
      <c r="T108" s="11">
        <f>SUM(Procurement_data[[#This Row],[ Unit Price (USD) ]]*Procurement_data[[#This Row],[ Quantity ]])</f>
        <v>60000</v>
      </c>
      <c r="U108" s="11">
        <f t="shared" si="1"/>
        <v>25</v>
      </c>
    </row>
    <row r="109" spans="1:21">
      <c r="A109" s="11">
        <v>108</v>
      </c>
      <c r="B109" s="25" t="s">
        <v>386</v>
      </c>
      <c r="C109" s="28" t="s">
        <v>387</v>
      </c>
      <c r="D109" s="28" t="s">
        <v>388</v>
      </c>
      <c r="E109" s="28" t="s">
        <v>47</v>
      </c>
      <c r="F109" s="25" t="s">
        <v>348</v>
      </c>
      <c r="G109" s="11">
        <v>1</v>
      </c>
      <c r="H109" s="11">
        <v>50000</v>
      </c>
      <c r="I109" s="25" t="s">
        <v>240</v>
      </c>
      <c r="J109" s="25" t="s">
        <v>50</v>
      </c>
      <c r="K109" s="11">
        <v>3322114455</v>
      </c>
      <c r="L109" s="25" t="s">
        <v>241</v>
      </c>
      <c r="M109" s="25" t="s">
        <v>52</v>
      </c>
      <c r="N109" s="27" t="s">
        <v>76</v>
      </c>
      <c r="O109" s="27" t="s">
        <v>77</v>
      </c>
      <c r="P109" s="11">
        <v>36</v>
      </c>
      <c r="Q109" s="11">
        <v>1800</v>
      </c>
      <c r="R109" s="11">
        <v>1000</v>
      </c>
      <c r="S109" s="25" t="s">
        <v>55</v>
      </c>
      <c r="T109" s="11">
        <f>SUM(Procurement_data[[#This Row],[ Unit Price (USD) ]]*Procurement_data[[#This Row],[ Quantity ]])</f>
        <v>50000</v>
      </c>
      <c r="U109" s="11">
        <f t="shared" si="1"/>
        <v>23</v>
      </c>
    </row>
    <row r="110" spans="1:21">
      <c r="A110" s="11">
        <v>109</v>
      </c>
      <c r="B110" s="25" t="s">
        <v>389</v>
      </c>
      <c r="C110" s="28" t="s">
        <v>148</v>
      </c>
      <c r="D110" s="28" t="s">
        <v>149</v>
      </c>
      <c r="E110" s="28" t="s">
        <v>58</v>
      </c>
      <c r="F110" s="25" t="s">
        <v>364</v>
      </c>
      <c r="G110" s="11">
        <v>1</v>
      </c>
      <c r="H110" s="11">
        <v>5000</v>
      </c>
      <c r="I110" s="25" t="s">
        <v>226</v>
      </c>
      <c r="J110" s="25" t="s">
        <v>227</v>
      </c>
      <c r="K110" s="11">
        <v>7755332211</v>
      </c>
      <c r="L110" s="25" t="s">
        <v>228</v>
      </c>
      <c r="M110" s="25" t="s">
        <v>229</v>
      </c>
      <c r="N110" s="27" t="s">
        <v>42</v>
      </c>
      <c r="O110" s="27" t="s">
        <v>43</v>
      </c>
      <c r="P110" s="11">
        <v>24</v>
      </c>
      <c r="Q110" s="11">
        <v>800</v>
      </c>
      <c r="R110" s="11">
        <v>500</v>
      </c>
      <c r="S110" s="25" t="s">
        <v>55</v>
      </c>
      <c r="T110" s="11">
        <f>SUM(Procurement_data[[#This Row],[ Unit Price (USD) ]]*Procurement_data[[#This Row],[ Quantity ]])</f>
        <v>5000</v>
      </c>
      <c r="U110" s="11">
        <f t="shared" si="1"/>
        <v>27</v>
      </c>
    </row>
    <row r="111" spans="1:21">
      <c r="A111" s="11">
        <v>110</v>
      </c>
      <c r="B111" s="25" t="s">
        <v>391</v>
      </c>
      <c r="C111" s="28" t="s">
        <v>157</v>
      </c>
      <c r="D111" s="28" t="s">
        <v>158</v>
      </c>
      <c r="E111" s="28" t="s">
        <v>58</v>
      </c>
      <c r="F111" s="25" t="s">
        <v>304</v>
      </c>
      <c r="G111" s="11">
        <v>1</v>
      </c>
      <c r="H111" s="11">
        <v>5000</v>
      </c>
      <c r="I111" s="25" t="s">
        <v>226</v>
      </c>
      <c r="J111" s="25" t="s">
        <v>227</v>
      </c>
      <c r="K111" s="11">
        <v>7755332211</v>
      </c>
      <c r="L111" s="25" t="s">
        <v>228</v>
      </c>
      <c r="M111" s="25" t="s">
        <v>229</v>
      </c>
      <c r="N111" s="27" t="s">
        <v>53</v>
      </c>
      <c r="O111" s="27" t="s">
        <v>54</v>
      </c>
      <c r="P111" s="11">
        <v>24</v>
      </c>
      <c r="Q111" s="11">
        <v>800</v>
      </c>
      <c r="R111" s="11">
        <v>500</v>
      </c>
      <c r="S111" s="25" t="s">
        <v>55</v>
      </c>
      <c r="T111" s="11">
        <f>SUM(Procurement_data[[#This Row],[ Unit Price (USD) ]]*Procurement_data[[#This Row],[ Quantity ]])</f>
        <v>5000</v>
      </c>
      <c r="U111" s="11">
        <f t="shared" si="1"/>
        <v>26</v>
      </c>
    </row>
    <row r="112" spans="1:21">
      <c r="A112" s="11">
        <v>111</v>
      </c>
      <c r="B112" s="25" t="s">
        <v>390</v>
      </c>
      <c r="C112" s="28" t="s">
        <v>57</v>
      </c>
      <c r="D112" s="28" t="s">
        <v>56</v>
      </c>
      <c r="E112" s="28" t="s">
        <v>36</v>
      </c>
      <c r="F112" s="25" t="s">
        <v>372</v>
      </c>
      <c r="G112" s="11">
        <v>1</v>
      </c>
      <c r="H112" s="11">
        <v>40000</v>
      </c>
      <c r="I112" s="25" t="s">
        <v>72</v>
      </c>
      <c r="J112" s="25" t="s">
        <v>73</v>
      </c>
      <c r="K112" s="11">
        <v>6677889900</v>
      </c>
      <c r="L112" s="25" t="s">
        <v>74</v>
      </c>
      <c r="M112" s="25" t="s">
        <v>75</v>
      </c>
      <c r="N112" s="27" t="s">
        <v>76</v>
      </c>
      <c r="O112" s="27" t="s">
        <v>77</v>
      </c>
      <c r="P112" s="11">
        <v>36</v>
      </c>
      <c r="Q112" s="11">
        <v>2000</v>
      </c>
      <c r="R112" s="11">
        <v>1200</v>
      </c>
      <c r="S112" s="25" t="s">
        <v>32</v>
      </c>
      <c r="T112" s="11">
        <f>SUM(Procurement_data[[#This Row],[ Unit Price (USD) ]]*Procurement_data[[#This Row],[ Quantity ]])</f>
        <v>40000</v>
      </c>
      <c r="U112" s="11">
        <f t="shared" si="1"/>
        <v>23</v>
      </c>
    </row>
    <row r="113" spans="1:21">
      <c r="A113" s="11">
        <v>112</v>
      </c>
      <c r="B113" s="25" t="s">
        <v>369</v>
      </c>
      <c r="C113" s="28" t="s">
        <v>34</v>
      </c>
      <c r="D113" s="28" t="s">
        <v>35</v>
      </c>
      <c r="E113" s="28" t="s">
        <v>133</v>
      </c>
      <c r="F113" s="25" t="s">
        <v>59</v>
      </c>
      <c r="G113" s="11">
        <v>1</v>
      </c>
      <c r="H113" s="11">
        <v>40000</v>
      </c>
      <c r="I113" s="25" t="s">
        <v>272</v>
      </c>
      <c r="J113" s="25" t="s">
        <v>61</v>
      </c>
      <c r="K113" s="11">
        <v>7755332211</v>
      </c>
      <c r="L113" s="25" t="s">
        <v>273</v>
      </c>
      <c r="M113" s="25" t="s">
        <v>63</v>
      </c>
      <c r="N113" s="27" t="s">
        <v>217</v>
      </c>
      <c r="O113" s="27" t="s">
        <v>210</v>
      </c>
      <c r="P113" s="11">
        <v>48</v>
      </c>
      <c r="Q113" s="11">
        <v>2000</v>
      </c>
      <c r="R113" s="11">
        <v>1200</v>
      </c>
      <c r="S113" s="25" t="s">
        <v>32</v>
      </c>
      <c r="T113" s="11">
        <f>SUM(Procurement_data[[#This Row],[ Unit Price (USD) ]]*Procurement_data[[#This Row],[ Quantity ]])</f>
        <v>40000</v>
      </c>
      <c r="U113" s="11">
        <f t="shared" si="1"/>
        <v>26</v>
      </c>
    </row>
    <row r="114" spans="1:21">
      <c r="A114" s="11">
        <v>113</v>
      </c>
      <c r="B114" s="25" t="s">
        <v>370</v>
      </c>
      <c r="C114" s="28" t="s">
        <v>89</v>
      </c>
      <c r="D114" s="28" t="s">
        <v>90</v>
      </c>
      <c r="E114" s="28" t="s">
        <v>58</v>
      </c>
      <c r="F114" s="25" t="s">
        <v>225</v>
      </c>
      <c r="G114" s="11">
        <v>1</v>
      </c>
      <c r="H114" s="11">
        <v>8000</v>
      </c>
      <c r="I114" s="25" t="s">
        <v>226</v>
      </c>
      <c r="J114" s="25" t="s">
        <v>227</v>
      </c>
      <c r="K114" s="11">
        <v>7755332211</v>
      </c>
      <c r="L114" s="25" t="s">
        <v>228</v>
      </c>
      <c r="M114" s="25" t="s">
        <v>229</v>
      </c>
      <c r="N114" s="27" t="s">
        <v>42</v>
      </c>
      <c r="O114" s="27" t="s">
        <v>43</v>
      </c>
      <c r="P114" s="11">
        <v>24</v>
      </c>
      <c r="Q114" s="11">
        <v>1000</v>
      </c>
      <c r="R114" s="11">
        <v>500</v>
      </c>
      <c r="S114" s="25" t="s">
        <v>55</v>
      </c>
      <c r="T114" s="11">
        <f>SUM(Procurement_data[[#This Row],[ Unit Price (USD) ]]*Procurement_data[[#This Row],[ Quantity ]])</f>
        <v>8000</v>
      </c>
      <c r="U114" s="11">
        <f t="shared" si="1"/>
        <v>27</v>
      </c>
    </row>
    <row r="115" spans="1:21">
      <c r="A115" s="11">
        <v>114</v>
      </c>
      <c r="B115" s="25" t="s">
        <v>371</v>
      </c>
      <c r="C115" s="28" t="s">
        <v>111</v>
      </c>
      <c r="D115" s="28" t="s">
        <v>112</v>
      </c>
      <c r="E115" s="28" t="s">
        <v>47</v>
      </c>
      <c r="F115" s="25" t="s">
        <v>343</v>
      </c>
      <c r="G115" s="11">
        <v>1</v>
      </c>
      <c r="H115" s="11">
        <v>20000</v>
      </c>
      <c r="I115" s="25" t="s">
        <v>344</v>
      </c>
      <c r="J115" s="25" t="s">
        <v>50</v>
      </c>
      <c r="K115" s="11">
        <v>3322114455</v>
      </c>
      <c r="L115" s="25" t="s">
        <v>345</v>
      </c>
      <c r="M115" s="25" t="s">
        <v>52</v>
      </c>
      <c r="N115" s="27" t="s">
        <v>64</v>
      </c>
      <c r="O115" s="27" t="s">
        <v>65</v>
      </c>
      <c r="P115" s="11">
        <v>36</v>
      </c>
      <c r="Q115" s="11">
        <v>2500</v>
      </c>
      <c r="R115" s="11">
        <v>1500</v>
      </c>
      <c r="S115" s="25" t="s">
        <v>32</v>
      </c>
      <c r="T115" s="11">
        <f>SUM(Procurement_data[[#This Row],[ Unit Price (USD) ]]*Procurement_data[[#This Row],[ Quantity ]])</f>
        <v>20000</v>
      </c>
      <c r="U115" s="11">
        <f t="shared" si="1"/>
        <v>23</v>
      </c>
    </row>
    <row r="116" spans="1:21">
      <c r="A116" s="11">
        <v>115</v>
      </c>
      <c r="B116" s="25" t="s">
        <v>373</v>
      </c>
      <c r="C116" s="28" t="s">
        <v>79</v>
      </c>
      <c r="D116" s="28" t="s">
        <v>80</v>
      </c>
      <c r="E116" s="28" t="s">
        <v>36</v>
      </c>
      <c r="F116" s="25" t="s">
        <v>103</v>
      </c>
      <c r="G116" s="11">
        <v>1</v>
      </c>
      <c r="H116" s="11">
        <v>30000</v>
      </c>
      <c r="I116" s="25" t="s">
        <v>104</v>
      </c>
      <c r="J116" s="25" t="s">
        <v>105</v>
      </c>
      <c r="K116" s="11">
        <v>6677889900</v>
      </c>
      <c r="L116" s="25" t="s">
        <v>106</v>
      </c>
      <c r="M116" s="25" t="s">
        <v>107</v>
      </c>
      <c r="N116" s="27" t="s">
        <v>97</v>
      </c>
      <c r="O116" s="27" t="s">
        <v>98</v>
      </c>
      <c r="P116" s="11">
        <v>36</v>
      </c>
      <c r="Q116" s="11">
        <v>1500</v>
      </c>
      <c r="R116" s="11">
        <v>800</v>
      </c>
      <c r="S116" s="25" t="s">
        <v>66</v>
      </c>
      <c r="T116" s="11">
        <f>SUM(Procurement_data[[#This Row],[ Unit Price (USD) ]]*Procurement_data[[#This Row],[ Quantity ]])</f>
        <v>30000</v>
      </c>
      <c r="U116" s="11">
        <f t="shared" si="1"/>
        <v>26</v>
      </c>
    </row>
    <row r="117" spans="1:21">
      <c r="A117" s="11">
        <v>116</v>
      </c>
      <c r="B117" s="25" t="s">
        <v>381</v>
      </c>
      <c r="C117" s="28" t="s">
        <v>382</v>
      </c>
      <c r="D117" s="28" t="s">
        <v>383</v>
      </c>
      <c r="E117" s="28" t="s">
        <v>58</v>
      </c>
      <c r="F117" s="25" t="s">
        <v>304</v>
      </c>
      <c r="G117" s="11">
        <v>1</v>
      </c>
      <c r="H117" s="11">
        <v>5000</v>
      </c>
      <c r="I117" s="25" t="s">
        <v>226</v>
      </c>
      <c r="J117" s="25" t="s">
        <v>227</v>
      </c>
      <c r="K117" s="11">
        <v>7755332211</v>
      </c>
      <c r="L117" s="25" t="s">
        <v>228</v>
      </c>
      <c r="M117" s="25" t="s">
        <v>229</v>
      </c>
      <c r="N117" s="27" t="s">
        <v>53</v>
      </c>
      <c r="O117" s="27" t="s">
        <v>54</v>
      </c>
      <c r="P117" s="11">
        <v>24</v>
      </c>
      <c r="Q117" s="11">
        <v>800</v>
      </c>
      <c r="R117" s="11">
        <v>500</v>
      </c>
      <c r="S117" s="25" t="s">
        <v>55</v>
      </c>
      <c r="T117" s="11">
        <f>SUM(Procurement_data[[#This Row],[ Unit Price (USD) ]]*Procurement_data[[#This Row],[ Quantity ]])</f>
        <v>5000</v>
      </c>
      <c r="U117" s="11">
        <f t="shared" si="1"/>
        <v>26</v>
      </c>
    </row>
    <row r="118" spans="1:21">
      <c r="A118" s="11">
        <v>117</v>
      </c>
      <c r="B118" s="25" t="s">
        <v>384</v>
      </c>
      <c r="C118" s="28" t="s">
        <v>175</v>
      </c>
      <c r="D118" s="28" t="s">
        <v>385</v>
      </c>
      <c r="E118" s="28" t="s">
        <v>36</v>
      </c>
      <c r="F118" s="25" t="s">
        <v>245</v>
      </c>
      <c r="G118" s="11">
        <v>1</v>
      </c>
      <c r="H118" s="11">
        <v>80000</v>
      </c>
      <c r="I118" s="25" t="s">
        <v>392</v>
      </c>
      <c r="J118" s="25" t="s">
        <v>61</v>
      </c>
      <c r="K118" s="11">
        <v>7755332211</v>
      </c>
      <c r="L118" s="25" t="s">
        <v>393</v>
      </c>
      <c r="M118" s="25" t="s">
        <v>86</v>
      </c>
      <c r="N118" s="27" t="s">
        <v>394</v>
      </c>
      <c r="O118" s="27" t="s">
        <v>395</v>
      </c>
      <c r="P118" s="11">
        <v>60</v>
      </c>
      <c r="Q118" s="11">
        <v>3000</v>
      </c>
      <c r="R118" s="11">
        <v>2000</v>
      </c>
      <c r="S118" s="25" t="s">
        <v>32</v>
      </c>
      <c r="T118" s="11">
        <f>SUM(Procurement_data[[#This Row],[ Unit Price (USD) ]]*Procurement_data[[#This Row],[ Quantity ]])</f>
        <v>80000</v>
      </c>
      <c r="U118" s="11">
        <f t="shared" si="1"/>
        <v>25</v>
      </c>
    </row>
    <row r="119" spans="1:21">
      <c r="A119" s="11">
        <v>118</v>
      </c>
      <c r="B119" s="25" t="s">
        <v>386</v>
      </c>
      <c r="C119" s="28" t="s">
        <v>387</v>
      </c>
      <c r="D119" s="28" t="s">
        <v>388</v>
      </c>
      <c r="E119" s="28" t="s">
        <v>133</v>
      </c>
      <c r="F119" s="25" t="s">
        <v>134</v>
      </c>
      <c r="G119" s="11">
        <v>1</v>
      </c>
      <c r="H119" s="11">
        <v>10000</v>
      </c>
      <c r="I119" s="25" t="s">
        <v>396</v>
      </c>
      <c r="J119" s="25" t="s">
        <v>397</v>
      </c>
      <c r="K119" s="11">
        <v>3322114455</v>
      </c>
      <c r="L119" s="25" t="s">
        <v>398</v>
      </c>
      <c r="M119" s="25" t="s">
        <v>29</v>
      </c>
      <c r="N119" s="27" t="s">
        <v>30</v>
      </c>
      <c r="O119" s="27" t="s">
        <v>31</v>
      </c>
      <c r="P119" s="11">
        <v>36</v>
      </c>
      <c r="Q119" s="11">
        <v>1200</v>
      </c>
      <c r="R119" s="11">
        <v>800</v>
      </c>
      <c r="S119" s="25" t="s">
        <v>32</v>
      </c>
      <c r="T119" s="11">
        <f>SUM(Procurement_data[[#This Row],[ Unit Price (USD) ]]*Procurement_data[[#This Row],[ Quantity ]])</f>
        <v>10000</v>
      </c>
      <c r="U119" s="11">
        <f t="shared" si="1"/>
        <v>26</v>
      </c>
    </row>
    <row r="120" spans="1:21">
      <c r="A120" s="11">
        <v>119</v>
      </c>
      <c r="B120" s="25" t="s">
        <v>389</v>
      </c>
      <c r="C120" s="28" t="s">
        <v>148</v>
      </c>
      <c r="D120" s="28" t="s">
        <v>149</v>
      </c>
      <c r="E120" s="28" t="s">
        <v>47</v>
      </c>
      <c r="F120" s="25" t="s">
        <v>348</v>
      </c>
      <c r="G120" s="11">
        <v>1</v>
      </c>
      <c r="H120" s="11">
        <v>50000</v>
      </c>
      <c r="I120" s="25" t="s">
        <v>240</v>
      </c>
      <c r="J120" s="25" t="s">
        <v>50</v>
      </c>
      <c r="K120" s="11">
        <v>3322114455</v>
      </c>
      <c r="L120" s="25" t="s">
        <v>241</v>
      </c>
      <c r="M120" s="25" t="s">
        <v>52</v>
      </c>
      <c r="N120" s="27" t="s">
        <v>76</v>
      </c>
      <c r="O120" s="27" t="s">
        <v>77</v>
      </c>
      <c r="P120" s="11">
        <v>36</v>
      </c>
      <c r="Q120" s="11">
        <v>1800</v>
      </c>
      <c r="R120" s="11">
        <v>1000</v>
      </c>
      <c r="S120" s="25" t="s">
        <v>55</v>
      </c>
      <c r="T120" s="11">
        <f>SUM(Procurement_data[[#This Row],[ Unit Price (USD) ]]*Procurement_data[[#This Row],[ Quantity ]])</f>
        <v>50000</v>
      </c>
      <c r="U120" s="11">
        <f t="shared" si="1"/>
        <v>23</v>
      </c>
    </row>
    <row r="121" spans="1:21">
      <c r="A121" s="11">
        <v>120</v>
      </c>
      <c r="B121" s="25" t="s">
        <v>391</v>
      </c>
      <c r="C121" s="28" t="s">
        <v>157</v>
      </c>
      <c r="D121" s="28" t="s">
        <v>158</v>
      </c>
      <c r="E121" s="28" t="s">
        <v>58</v>
      </c>
      <c r="F121" s="25" t="s">
        <v>364</v>
      </c>
      <c r="G121" s="11">
        <v>1</v>
      </c>
      <c r="H121" s="11">
        <v>5000</v>
      </c>
      <c r="I121" s="25" t="s">
        <v>226</v>
      </c>
      <c r="J121" s="25" t="s">
        <v>227</v>
      </c>
      <c r="K121" s="11">
        <v>7755332211</v>
      </c>
      <c r="L121" s="25" t="s">
        <v>228</v>
      </c>
      <c r="M121" s="25" t="s">
        <v>229</v>
      </c>
      <c r="N121" s="27" t="s">
        <v>42</v>
      </c>
      <c r="O121" s="27" t="s">
        <v>43</v>
      </c>
      <c r="P121" s="11">
        <v>24</v>
      </c>
      <c r="Q121" s="11">
        <v>800</v>
      </c>
      <c r="R121" s="11">
        <v>500</v>
      </c>
      <c r="S121" s="25" t="s">
        <v>55</v>
      </c>
      <c r="T121" s="11">
        <f>SUM(Procurement_data[[#This Row],[ Unit Price (USD) ]]*Procurement_data[[#This Row],[ Quantity ]])</f>
        <v>5000</v>
      </c>
      <c r="U121" s="11">
        <f t="shared" si="1"/>
        <v>27</v>
      </c>
    </row>
    <row r="122" spans="1:21">
      <c r="A122" s="11">
        <v>121</v>
      </c>
      <c r="B122" s="25" t="s">
        <v>390</v>
      </c>
      <c r="C122" s="28" t="s">
        <v>57</v>
      </c>
      <c r="D122" s="28" t="s">
        <v>56</v>
      </c>
      <c r="E122" s="28" t="s">
        <v>133</v>
      </c>
      <c r="F122" s="25" t="s">
        <v>134</v>
      </c>
      <c r="G122" s="11">
        <v>1</v>
      </c>
      <c r="H122" s="11">
        <v>10000</v>
      </c>
      <c r="I122" s="25" t="s">
        <v>396</v>
      </c>
      <c r="J122" s="25" t="s">
        <v>397</v>
      </c>
      <c r="K122" s="11">
        <v>3322114455</v>
      </c>
      <c r="L122" s="25" t="s">
        <v>398</v>
      </c>
      <c r="M122" s="25" t="s">
        <v>29</v>
      </c>
      <c r="N122" s="27" t="s">
        <v>30</v>
      </c>
      <c r="O122" s="27" t="s">
        <v>31</v>
      </c>
      <c r="P122" s="11">
        <v>36</v>
      </c>
      <c r="Q122" s="11">
        <v>1200</v>
      </c>
      <c r="R122" s="11">
        <v>800</v>
      </c>
      <c r="S122" s="25" t="s">
        <v>32</v>
      </c>
      <c r="T122" s="11">
        <f>SUM(Procurement_data[[#This Row],[ Unit Price (USD) ]]*Procurement_data[[#This Row],[ Quantity ]])</f>
        <v>10000</v>
      </c>
      <c r="U122" s="11">
        <f t="shared" si="1"/>
        <v>26</v>
      </c>
    </row>
    <row r="123" spans="1:21">
      <c r="A123" s="11">
        <v>122</v>
      </c>
      <c r="B123" s="25" t="s">
        <v>369</v>
      </c>
      <c r="C123" s="28" t="s">
        <v>34</v>
      </c>
      <c r="D123" s="28" t="s">
        <v>35</v>
      </c>
      <c r="E123" s="28" t="s">
        <v>47</v>
      </c>
      <c r="F123" s="25" t="s">
        <v>348</v>
      </c>
      <c r="G123" s="11">
        <v>1</v>
      </c>
      <c r="H123" s="11">
        <v>50000</v>
      </c>
      <c r="I123" s="25" t="s">
        <v>240</v>
      </c>
      <c r="J123" s="25" t="s">
        <v>50</v>
      </c>
      <c r="K123" s="11">
        <v>3322114455</v>
      </c>
      <c r="L123" s="25" t="s">
        <v>241</v>
      </c>
      <c r="M123" s="25" t="s">
        <v>52</v>
      </c>
      <c r="N123" s="27" t="s">
        <v>76</v>
      </c>
      <c r="O123" s="27" t="s">
        <v>77</v>
      </c>
      <c r="P123" s="11">
        <v>36</v>
      </c>
      <c r="Q123" s="11">
        <v>1800</v>
      </c>
      <c r="R123" s="11">
        <v>1000</v>
      </c>
      <c r="S123" s="25" t="s">
        <v>55</v>
      </c>
      <c r="T123" s="11">
        <f>SUM(Procurement_data[[#This Row],[ Unit Price (USD) ]]*Procurement_data[[#This Row],[ Quantity ]])</f>
        <v>50000</v>
      </c>
      <c r="U123" s="11">
        <f t="shared" si="1"/>
        <v>23</v>
      </c>
    </row>
    <row r="124" spans="1:21">
      <c r="A124" s="11">
        <v>123</v>
      </c>
      <c r="B124" s="25" t="s">
        <v>370</v>
      </c>
      <c r="C124" s="28" t="s">
        <v>89</v>
      </c>
      <c r="D124" s="28" t="s">
        <v>90</v>
      </c>
      <c r="E124" s="28" t="s">
        <v>58</v>
      </c>
      <c r="F124" s="25" t="s">
        <v>225</v>
      </c>
      <c r="G124" s="11">
        <v>1</v>
      </c>
      <c r="H124" s="11">
        <v>8000</v>
      </c>
      <c r="I124" s="25" t="s">
        <v>226</v>
      </c>
      <c r="J124" s="25" t="s">
        <v>227</v>
      </c>
      <c r="K124" s="11">
        <v>7755332211</v>
      </c>
      <c r="L124" s="25" t="s">
        <v>228</v>
      </c>
      <c r="M124" s="25" t="s">
        <v>229</v>
      </c>
      <c r="N124" s="27" t="s">
        <v>42</v>
      </c>
      <c r="O124" s="27" t="s">
        <v>43</v>
      </c>
      <c r="P124" s="11">
        <v>24</v>
      </c>
      <c r="Q124" s="11">
        <v>1000</v>
      </c>
      <c r="R124" s="11">
        <v>500</v>
      </c>
      <c r="S124" s="25" t="s">
        <v>55</v>
      </c>
      <c r="T124" s="11">
        <f>SUM(Procurement_data[[#This Row],[ Unit Price (USD) ]]*Procurement_data[[#This Row],[ Quantity ]])</f>
        <v>8000</v>
      </c>
      <c r="U124" s="11">
        <f t="shared" si="1"/>
        <v>27</v>
      </c>
    </row>
    <row r="125" spans="1:21">
      <c r="A125" s="11">
        <v>124</v>
      </c>
      <c r="B125" s="25" t="s">
        <v>371</v>
      </c>
      <c r="C125" s="28" t="s">
        <v>111</v>
      </c>
      <c r="D125" s="28" t="s">
        <v>112</v>
      </c>
      <c r="E125" s="28" t="s">
        <v>36</v>
      </c>
      <c r="F125" s="25" t="s">
        <v>372</v>
      </c>
      <c r="G125" s="11">
        <v>1</v>
      </c>
      <c r="H125" s="11">
        <v>40000</v>
      </c>
      <c r="I125" s="25" t="s">
        <v>72</v>
      </c>
      <c r="J125" s="25" t="s">
        <v>73</v>
      </c>
      <c r="K125" s="11">
        <v>6677889900</v>
      </c>
      <c r="L125" s="25" t="s">
        <v>74</v>
      </c>
      <c r="M125" s="25" t="s">
        <v>75</v>
      </c>
      <c r="N125" s="27" t="s">
        <v>76</v>
      </c>
      <c r="O125" s="27" t="s">
        <v>77</v>
      </c>
      <c r="P125" s="11">
        <v>36</v>
      </c>
      <c r="Q125" s="11">
        <v>2000</v>
      </c>
      <c r="R125" s="11">
        <v>1200</v>
      </c>
      <c r="S125" s="25" t="s">
        <v>32</v>
      </c>
      <c r="T125" s="11">
        <f>SUM(Procurement_data[[#This Row],[ Unit Price (USD) ]]*Procurement_data[[#This Row],[ Quantity ]])</f>
        <v>40000</v>
      </c>
      <c r="U125" s="11">
        <f t="shared" si="1"/>
        <v>23</v>
      </c>
    </row>
    <row r="126" spans="1:21">
      <c r="A126" s="11">
        <v>125</v>
      </c>
      <c r="B126" s="25" t="s">
        <v>373</v>
      </c>
      <c r="C126" s="28" t="s">
        <v>79</v>
      </c>
      <c r="D126" s="28" t="s">
        <v>80</v>
      </c>
      <c r="E126" s="28" t="s">
        <v>47</v>
      </c>
      <c r="F126" s="25" t="s">
        <v>343</v>
      </c>
      <c r="G126" s="11">
        <v>1</v>
      </c>
      <c r="H126" s="11">
        <v>20000</v>
      </c>
      <c r="I126" s="25" t="s">
        <v>344</v>
      </c>
      <c r="J126" s="25" t="s">
        <v>50</v>
      </c>
      <c r="K126" s="11">
        <v>3322114455</v>
      </c>
      <c r="L126" s="25" t="s">
        <v>345</v>
      </c>
      <c r="M126" s="25" t="s">
        <v>52</v>
      </c>
      <c r="N126" s="27" t="s">
        <v>64</v>
      </c>
      <c r="O126" s="27" t="s">
        <v>65</v>
      </c>
      <c r="P126" s="11">
        <v>36</v>
      </c>
      <c r="Q126" s="11">
        <v>2500</v>
      </c>
      <c r="R126" s="11">
        <v>1500</v>
      </c>
      <c r="S126" s="25" t="s">
        <v>32</v>
      </c>
      <c r="T126" s="11">
        <f>SUM(Procurement_data[[#This Row],[ Unit Price (USD) ]]*Procurement_data[[#This Row],[ Quantity ]])</f>
        <v>20000</v>
      </c>
      <c r="U126" s="11">
        <f t="shared" si="1"/>
        <v>23</v>
      </c>
    </row>
    <row r="127" spans="1:21">
      <c r="A127" s="11">
        <v>126</v>
      </c>
      <c r="B127" s="25" t="s">
        <v>381</v>
      </c>
      <c r="C127" s="28" t="s">
        <v>382</v>
      </c>
      <c r="D127" s="28" t="s">
        <v>383</v>
      </c>
      <c r="E127" s="28" t="s">
        <v>58</v>
      </c>
      <c r="F127" s="25" t="s">
        <v>304</v>
      </c>
      <c r="G127" s="11">
        <v>1</v>
      </c>
      <c r="H127" s="11">
        <v>5000</v>
      </c>
      <c r="I127" s="25" t="s">
        <v>226</v>
      </c>
      <c r="J127" s="25" t="s">
        <v>227</v>
      </c>
      <c r="K127" s="11">
        <v>7755332211</v>
      </c>
      <c r="L127" s="25" t="s">
        <v>228</v>
      </c>
      <c r="M127" s="25" t="s">
        <v>229</v>
      </c>
      <c r="N127" s="27" t="s">
        <v>53</v>
      </c>
      <c r="O127" s="27" t="s">
        <v>54</v>
      </c>
      <c r="P127" s="11">
        <v>24</v>
      </c>
      <c r="Q127" s="11">
        <v>800</v>
      </c>
      <c r="R127" s="11">
        <v>500</v>
      </c>
      <c r="S127" s="25" t="s">
        <v>55</v>
      </c>
      <c r="T127" s="11">
        <f>SUM(Procurement_data[[#This Row],[ Unit Price (USD) ]]*Procurement_data[[#This Row],[ Quantity ]])</f>
        <v>5000</v>
      </c>
      <c r="U127" s="11">
        <f t="shared" si="1"/>
        <v>26</v>
      </c>
    </row>
    <row r="128" spans="1:21">
      <c r="A128" s="11">
        <v>127</v>
      </c>
      <c r="B128" s="25" t="s">
        <v>384</v>
      </c>
      <c r="C128" s="28" t="s">
        <v>175</v>
      </c>
      <c r="D128" s="28" t="s">
        <v>385</v>
      </c>
      <c r="E128" s="28" t="s">
        <v>36</v>
      </c>
      <c r="F128" s="25" t="s">
        <v>245</v>
      </c>
      <c r="G128" s="11">
        <v>1</v>
      </c>
      <c r="H128" s="11">
        <v>80000</v>
      </c>
      <c r="I128" s="25" t="s">
        <v>392</v>
      </c>
      <c r="J128" s="25" t="s">
        <v>61</v>
      </c>
      <c r="K128" s="11">
        <v>7755332211</v>
      </c>
      <c r="L128" s="25" t="s">
        <v>393</v>
      </c>
      <c r="M128" s="25" t="s">
        <v>86</v>
      </c>
      <c r="N128" s="27" t="s">
        <v>394</v>
      </c>
      <c r="O128" s="27" t="s">
        <v>395</v>
      </c>
      <c r="P128" s="11">
        <v>60</v>
      </c>
      <c r="Q128" s="11">
        <v>3000</v>
      </c>
      <c r="R128" s="11">
        <v>2000</v>
      </c>
      <c r="S128" s="25" t="s">
        <v>32</v>
      </c>
      <c r="T128" s="11">
        <f>SUM(Procurement_data[[#This Row],[ Unit Price (USD) ]]*Procurement_data[[#This Row],[ Quantity ]])</f>
        <v>80000</v>
      </c>
      <c r="U128" s="11">
        <f t="shared" si="1"/>
        <v>25</v>
      </c>
    </row>
    <row r="129" spans="1:21">
      <c r="A129" s="11">
        <v>128</v>
      </c>
      <c r="B129" s="25" t="s">
        <v>386</v>
      </c>
      <c r="C129" s="28" t="s">
        <v>387</v>
      </c>
      <c r="D129" s="28" t="s">
        <v>388</v>
      </c>
      <c r="E129" s="28" t="s">
        <v>133</v>
      </c>
      <c r="F129" s="25" t="s">
        <v>59</v>
      </c>
      <c r="G129" s="11">
        <v>1</v>
      </c>
      <c r="H129" s="11">
        <v>40000</v>
      </c>
      <c r="I129" s="25" t="s">
        <v>272</v>
      </c>
      <c r="J129" s="25" t="s">
        <v>61</v>
      </c>
      <c r="K129" s="11">
        <v>7755332211</v>
      </c>
      <c r="L129" s="25" t="s">
        <v>273</v>
      </c>
      <c r="M129" s="25" t="s">
        <v>63</v>
      </c>
      <c r="N129" s="27" t="s">
        <v>217</v>
      </c>
      <c r="O129" s="27" t="s">
        <v>210</v>
      </c>
      <c r="P129" s="11">
        <v>48</v>
      </c>
      <c r="Q129" s="11">
        <v>2000</v>
      </c>
      <c r="R129" s="11">
        <v>1200</v>
      </c>
      <c r="S129" s="25" t="s">
        <v>32</v>
      </c>
      <c r="T129" s="11">
        <f>SUM(Procurement_data[[#This Row],[ Unit Price (USD) ]]*Procurement_data[[#This Row],[ Quantity ]])</f>
        <v>40000</v>
      </c>
      <c r="U129" s="11">
        <f t="shared" si="1"/>
        <v>26</v>
      </c>
    </row>
    <row r="130" spans="1:21">
      <c r="A130" s="11">
        <v>129</v>
      </c>
      <c r="B130" s="25" t="s">
        <v>389</v>
      </c>
      <c r="C130" s="28" t="s">
        <v>148</v>
      </c>
      <c r="D130" s="28" t="s">
        <v>149</v>
      </c>
      <c r="E130" s="28" t="s">
        <v>58</v>
      </c>
      <c r="F130" s="25" t="s">
        <v>364</v>
      </c>
      <c r="G130" s="11">
        <v>1</v>
      </c>
      <c r="H130" s="11">
        <v>5000</v>
      </c>
      <c r="I130" s="25" t="s">
        <v>226</v>
      </c>
      <c r="J130" s="25" t="s">
        <v>227</v>
      </c>
      <c r="K130" s="11">
        <v>7755332211</v>
      </c>
      <c r="L130" s="25" t="s">
        <v>228</v>
      </c>
      <c r="M130" s="25" t="s">
        <v>229</v>
      </c>
      <c r="N130" s="27" t="s">
        <v>42</v>
      </c>
      <c r="O130" s="27" t="s">
        <v>43</v>
      </c>
      <c r="P130" s="11">
        <v>24</v>
      </c>
      <c r="Q130" s="11">
        <v>800</v>
      </c>
      <c r="R130" s="11">
        <v>500</v>
      </c>
      <c r="S130" s="25" t="s">
        <v>55</v>
      </c>
      <c r="T130" s="11">
        <f>SUM(Procurement_data[[#This Row],[ Unit Price (USD) ]]*Procurement_data[[#This Row],[ Quantity ]])</f>
        <v>5000</v>
      </c>
      <c r="U130" s="11">
        <f t="shared" ref="U130:U193" si="2">O130-N130</f>
        <v>27</v>
      </c>
    </row>
    <row r="131" spans="1:21">
      <c r="A131" s="11">
        <v>130</v>
      </c>
      <c r="B131" s="25" t="s">
        <v>391</v>
      </c>
      <c r="C131" s="28" t="s">
        <v>157</v>
      </c>
      <c r="D131" s="28" t="s">
        <v>158</v>
      </c>
      <c r="E131" s="28" t="s">
        <v>58</v>
      </c>
      <c r="F131" s="25" t="s">
        <v>304</v>
      </c>
      <c r="G131" s="11">
        <v>1</v>
      </c>
      <c r="H131" s="11">
        <v>5000</v>
      </c>
      <c r="I131" s="25" t="s">
        <v>226</v>
      </c>
      <c r="J131" s="25" t="s">
        <v>227</v>
      </c>
      <c r="K131" s="11">
        <v>7755332211</v>
      </c>
      <c r="L131" s="25" t="s">
        <v>228</v>
      </c>
      <c r="M131" s="25" t="s">
        <v>229</v>
      </c>
      <c r="N131" s="27" t="s">
        <v>53</v>
      </c>
      <c r="O131" s="27" t="s">
        <v>54</v>
      </c>
      <c r="P131" s="11">
        <v>24</v>
      </c>
      <c r="Q131" s="11">
        <v>800</v>
      </c>
      <c r="R131" s="11">
        <v>500</v>
      </c>
      <c r="S131" s="25" t="s">
        <v>55</v>
      </c>
      <c r="T131" s="11">
        <f>SUM(Procurement_data[[#This Row],[ Unit Price (USD) ]]*Procurement_data[[#This Row],[ Quantity ]])</f>
        <v>5000</v>
      </c>
      <c r="U131" s="11">
        <f t="shared" si="2"/>
        <v>26</v>
      </c>
    </row>
    <row r="132" spans="1:21">
      <c r="A132" s="11">
        <v>131</v>
      </c>
      <c r="B132" s="25" t="s">
        <v>390</v>
      </c>
      <c r="C132" s="28" t="s">
        <v>57</v>
      </c>
      <c r="D132" s="28" t="s">
        <v>56</v>
      </c>
      <c r="E132" s="28" t="s">
        <v>36</v>
      </c>
      <c r="F132" s="25" t="s">
        <v>372</v>
      </c>
      <c r="G132" s="11">
        <v>1</v>
      </c>
      <c r="H132" s="11">
        <v>40000</v>
      </c>
      <c r="I132" s="25" t="s">
        <v>72</v>
      </c>
      <c r="J132" s="25" t="s">
        <v>73</v>
      </c>
      <c r="K132" s="11">
        <v>6677889900</v>
      </c>
      <c r="L132" s="25" t="s">
        <v>74</v>
      </c>
      <c r="M132" s="25" t="s">
        <v>75</v>
      </c>
      <c r="N132" s="27" t="s">
        <v>76</v>
      </c>
      <c r="O132" s="27" t="s">
        <v>77</v>
      </c>
      <c r="P132" s="11">
        <v>36</v>
      </c>
      <c r="Q132" s="11">
        <v>2000</v>
      </c>
      <c r="R132" s="11">
        <v>1200</v>
      </c>
      <c r="S132" s="25" t="s">
        <v>32</v>
      </c>
      <c r="T132" s="11">
        <f>SUM(Procurement_data[[#This Row],[ Unit Price (USD) ]]*Procurement_data[[#This Row],[ Quantity ]])</f>
        <v>40000</v>
      </c>
      <c r="U132" s="11">
        <f t="shared" si="2"/>
        <v>23</v>
      </c>
    </row>
    <row r="133" spans="1:21">
      <c r="A133" s="11">
        <v>132</v>
      </c>
      <c r="B133" s="25" t="s">
        <v>369</v>
      </c>
      <c r="C133" s="28" t="s">
        <v>34</v>
      </c>
      <c r="D133" s="28" t="s">
        <v>35</v>
      </c>
      <c r="E133" s="28" t="s">
        <v>133</v>
      </c>
      <c r="F133" s="25" t="s">
        <v>59</v>
      </c>
      <c r="G133" s="11">
        <v>1</v>
      </c>
      <c r="H133" s="11">
        <v>40000</v>
      </c>
      <c r="I133" s="25" t="s">
        <v>272</v>
      </c>
      <c r="J133" s="25" t="s">
        <v>61</v>
      </c>
      <c r="K133" s="11">
        <v>7755332211</v>
      </c>
      <c r="L133" s="25" t="s">
        <v>273</v>
      </c>
      <c r="M133" s="25" t="s">
        <v>63</v>
      </c>
      <c r="N133" s="27" t="s">
        <v>217</v>
      </c>
      <c r="O133" s="27" t="s">
        <v>210</v>
      </c>
      <c r="P133" s="11">
        <v>48</v>
      </c>
      <c r="Q133" s="11">
        <v>2000</v>
      </c>
      <c r="R133" s="11">
        <v>1200</v>
      </c>
      <c r="S133" s="25" t="s">
        <v>32</v>
      </c>
      <c r="T133" s="11">
        <f>SUM(Procurement_data[[#This Row],[ Unit Price (USD) ]]*Procurement_data[[#This Row],[ Quantity ]])</f>
        <v>40000</v>
      </c>
      <c r="U133" s="11">
        <f t="shared" si="2"/>
        <v>26</v>
      </c>
    </row>
    <row r="134" spans="1:21">
      <c r="A134" s="11">
        <v>133</v>
      </c>
      <c r="B134" s="25" t="s">
        <v>370</v>
      </c>
      <c r="C134" s="28" t="s">
        <v>89</v>
      </c>
      <c r="D134" s="28" t="s">
        <v>90</v>
      </c>
      <c r="E134" s="28" t="s">
        <v>58</v>
      </c>
      <c r="F134" s="25" t="s">
        <v>225</v>
      </c>
      <c r="G134" s="11">
        <v>1</v>
      </c>
      <c r="H134" s="11">
        <v>8000</v>
      </c>
      <c r="I134" s="25" t="s">
        <v>226</v>
      </c>
      <c r="J134" s="25" t="s">
        <v>227</v>
      </c>
      <c r="K134" s="11">
        <v>7755332211</v>
      </c>
      <c r="L134" s="25" t="s">
        <v>228</v>
      </c>
      <c r="M134" s="25" t="s">
        <v>229</v>
      </c>
      <c r="N134" s="27" t="s">
        <v>42</v>
      </c>
      <c r="O134" s="27" t="s">
        <v>43</v>
      </c>
      <c r="P134" s="11">
        <v>24</v>
      </c>
      <c r="Q134" s="11">
        <v>1000</v>
      </c>
      <c r="R134" s="11">
        <v>500</v>
      </c>
      <c r="S134" s="25" t="s">
        <v>55</v>
      </c>
      <c r="T134" s="11">
        <f>SUM(Procurement_data[[#This Row],[ Unit Price (USD) ]]*Procurement_data[[#This Row],[ Quantity ]])</f>
        <v>8000</v>
      </c>
      <c r="U134" s="11">
        <f t="shared" si="2"/>
        <v>27</v>
      </c>
    </row>
    <row r="135" spans="1:21">
      <c r="A135" s="11">
        <v>134</v>
      </c>
      <c r="B135" s="25" t="s">
        <v>371</v>
      </c>
      <c r="C135" s="28" t="s">
        <v>111</v>
      </c>
      <c r="D135" s="28" t="s">
        <v>112</v>
      </c>
      <c r="E135" s="28" t="s">
        <v>47</v>
      </c>
      <c r="F135" s="25" t="s">
        <v>343</v>
      </c>
      <c r="G135" s="11">
        <v>1</v>
      </c>
      <c r="H135" s="11">
        <v>20000</v>
      </c>
      <c r="I135" s="25" t="s">
        <v>344</v>
      </c>
      <c r="J135" s="25" t="s">
        <v>50</v>
      </c>
      <c r="K135" s="11">
        <v>3322114455</v>
      </c>
      <c r="L135" s="25" t="s">
        <v>345</v>
      </c>
      <c r="M135" s="25" t="s">
        <v>52</v>
      </c>
      <c r="N135" s="27" t="s">
        <v>64</v>
      </c>
      <c r="O135" s="27" t="s">
        <v>65</v>
      </c>
      <c r="P135" s="11">
        <v>36</v>
      </c>
      <c r="Q135" s="11">
        <v>2500</v>
      </c>
      <c r="R135" s="11">
        <v>1500</v>
      </c>
      <c r="S135" s="25" t="s">
        <v>32</v>
      </c>
      <c r="T135" s="11">
        <f>SUM(Procurement_data[[#This Row],[ Unit Price (USD) ]]*Procurement_data[[#This Row],[ Quantity ]])</f>
        <v>20000</v>
      </c>
      <c r="U135" s="11">
        <f t="shared" si="2"/>
        <v>23</v>
      </c>
    </row>
    <row r="136" spans="1:21">
      <c r="A136" s="11">
        <v>135</v>
      </c>
      <c r="B136" s="25" t="s">
        <v>373</v>
      </c>
      <c r="C136" s="28" t="s">
        <v>79</v>
      </c>
      <c r="D136" s="28" t="s">
        <v>80</v>
      </c>
      <c r="E136" s="28" t="s">
        <v>36</v>
      </c>
      <c r="F136" s="25" t="s">
        <v>103</v>
      </c>
      <c r="G136" s="11">
        <v>1</v>
      </c>
      <c r="H136" s="11">
        <v>30000</v>
      </c>
      <c r="I136" s="25" t="s">
        <v>104</v>
      </c>
      <c r="J136" s="25" t="s">
        <v>105</v>
      </c>
      <c r="K136" s="11">
        <v>6677889900</v>
      </c>
      <c r="L136" s="25" t="s">
        <v>106</v>
      </c>
      <c r="M136" s="25" t="s">
        <v>107</v>
      </c>
      <c r="N136" s="27" t="s">
        <v>97</v>
      </c>
      <c r="O136" s="27" t="s">
        <v>98</v>
      </c>
      <c r="P136" s="11">
        <v>36</v>
      </c>
      <c r="Q136" s="11">
        <v>1500</v>
      </c>
      <c r="R136" s="11">
        <v>800</v>
      </c>
      <c r="S136" s="25" t="s">
        <v>66</v>
      </c>
      <c r="T136" s="11">
        <f>SUM(Procurement_data[[#This Row],[ Unit Price (USD) ]]*Procurement_data[[#This Row],[ Quantity ]])</f>
        <v>30000</v>
      </c>
      <c r="U136" s="11">
        <f t="shared" si="2"/>
        <v>26</v>
      </c>
    </row>
    <row r="137" spans="1:21">
      <c r="A137" s="11">
        <v>136</v>
      </c>
      <c r="B137" s="25" t="s">
        <v>381</v>
      </c>
      <c r="C137" s="28" t="s">
        <v>382</v>
      </c>
      <c r="D137" s="28" t="s">
        <v>383</v>
      </c>
      <c r="E137" s="28" t="s">
        <v>58</v>
      </c>
      <c r="F137" s="25" t="s">
        <v>304</v>
      </c>
      <c r="G137" s="11">
        <v>1</v>
      </c>
      <c r="H137" s="11">
        <v>5000</v>
      </c>
      <c r="I137" s="25" t="s">
        <v>226</v>
      </c>
      <c r="J137" s="25" t="s">
        <v>227</v>
      </c>
      <c r="K137" s="11">
        <v>7755332211</v>
      </c>
      <c r="L137" s="25" t="s">
        <v>228</v>
      </c>
      <c r="M137" s="25" t="s">
        <v>229</v>
      </c>
      <c r="N137" s="27" t="s">
        <v>53</v>
      </c>
      <c r="O137" s="27" t="s">
        <v>54</v>
      </c>
      <c r="P137" s="11">
        <v>24</v>
      </c>
      <c r="Q137" s="11">
        <v>800</v>
      </c>
      <c r="R137" s="11">
        <v>500</v>
      </c>
      <c r="S137" s="25" t="s">
        <v>55</v>
      </c>
      <c r="T137" s="11">
        <f>SUM(Procurement_data[[#This Row],[ Unit Price (USD) ]]*Procurement_data[[#This Row],[ Quantity ]])</f>
        <v>5000</v>
      </c>
      <c r="U137" s="11">
        <f t="shared" si="2"/>
        <v>26</v>
      </c>
    </row>
    <row r="138" spans="1:21">
      <c r="A138" s="11">
        <v>137</v>
      </c>
      <c r="B138" s="25" t="s">
        <v>384</v>
      </c>
      <c r="C138" s="28" t="s">
        <v>175</v>
      </c>
      <c r="D138" s="28" t="s">
        <v>385</v>
      </c>
      <c r="E138" s="28" t="s">
        <v>36</v>
      </c>
      <c r="F138" s="25" t="s">
        <v>245</v>
      </c>
      <c r="G138" s="11">
        <v>1</v>
      </c>
      <c r="H138" s="11">
        <v>80000</v>
      </c>
      <c r="I138" s="25" t="s">
        <v>392</v>
      </c>
      <c r="J138" s="25" t="s">
        <v>61</v>
      </c>
      <c r="K138" s="11">
        <v>7755332211</v>
      </c>
      <c r="L138" s="25" t="s">
        <v>393</v>
      </c>
      <c r="M138" s="25" t="s">
        <v>86</v>
      </c>
      <c r="N138" s="27" t="s">
        <v>394</v>
      </c>
      <c r="O138" s="27" t="s">
        <v>395</v>
      </c>
      <c r="P138" s="11">
        <v>60</v>
      </c>
      <c r="Q138" s="11">
        <v>3000</v>
      </c>
      <c r="R138" s="11">
        <v>2000</v>
      </c>
      <c r="S138" s="25" t="s">
        <v>32</v>
      </c>
      <c r="T138" s="11">
        <f>SUM(Procurement_data[[#This Row],[ Unit Price (USD) ]]*Procurement_data[[#This Row],[ Quantity ]])</f>
        <v>80000</v>
      </c>
      <c r="U138" s="11">
        <f t="shared" si="2"/>
        <v>25</v>
      </c>
    </row>
    <row r="139" spans="1:21">
      <c r="A139" s="11">
        <v>138</v>
      </c>
      <c r="B139" s="25" t="s">
        <v>386</v>
      </c>
      <c r="C139" s="28" t="s">
        <v>387</v>
      </c>
      <c r="D139" s="28" t="s">
        <v>388</v>
      </c>
      <c r="E139" s="28" t="s">
        <v>133</v>
      </c>
      <c r="F139" s="25" t="s">
        <v>134</v>
      </c>
      <c r="G139" s="11">
        <v>1</v>
      </c>
      <c r="H139" s="11">
        <v>10000</v>
      </c>
      <c r="I139" s="25" t="s">
        <v>396</v>
      </c>
      <c r="J139" s="25" t="s">
        <v>397</v>
      </c>
      <c r="K139" s="11">
        <v>3322114455</v>
      </c>
      <c r="L139" s="25" t="s">
        <v>398</v>
      </c>
      <c r="M139" s="25" t="s">
        <v>29</v>
      </c>
      <c r="N139" s="27" t="s">
        <v>30</v>
      </c>
      <c r="O139" s="27" t="s">
        <v>31</v>
      </c>
      <c r="P139" s="11">
        <v>36</v>
      </c>
      <c r="Q139" s="11">
        <v>1200</v>
      </c>
      <c r="R139" s="11">
        <v>800</v>
      </c>
      <c r="S139" s="25" t="s">
        <v>32</v>
      </c>
      <c r="T139" s="11">
        <f>SUM(Procurement_data[[#This Row],[ Unit Price (USD) ]]*Procurement_data[[#This Row],[ Quantity ]])</f>
        <v>10000</v>
      </c>
      <c r="U139" s="11">
        <f t="shared" si="2"/>
        <v>26</v>
      </c>
    </row>
    <row r="140" spans="1:21">
      <c r="A140" s="11">
        <v>139</v>
      </c>
      <c r="B140" s="25" t="s">
        <v>389</v>
      </c>
      <c r="C140" s="28" t="s">
        <v>148</v>
      </c>
      <c r="D140" s="28" t="s">
        <v>149</v>
      </c>
      <c r="E140" s="28" t="s">
        <v>47</v>
      </c>
      <c r="F140" s="25" t="s">
        <v>348</v>
      </c>
      <c r="G140" s="11">
        <v>1</v>
      </c>
      <c r="H140" s="11">
        <v>50000</v>
      </c>
      <c r="I140" s="25" t="s">
        <v>240</v>
      </c>
      <c r="J140" s="25" t="s">
        <v>50</v>
      </c>
      <c r="K140" s="11">
        <v>3322114455</v>
      </c>
      <c r="L140" s="25" t="s">
        <v>241</v>
      </c>
      <c r="M140" s="25" t="s">
        <v>52</v>
      </c>
      <c r="N140" s="27" t="s">
        <v>76</v>
      </c>
      <c r="O140" s="27" t="s">
        <v>77</v>
      </c>
      <c r="P140" s="11">
        <v>36</v>
      </c>
      <c r="Q140" s="11">
        <v>1800</v>
      </c>
      <c r="R140" s="11">
        <v>1000</v>
      </c>
      <c r="S140" s="25" t="s">
        <v>55</v>
      </c>
      <c r="T140" s="11">
        <f>SUM(Procurement_data[[#This Row],[ Unit Price (USD) ]]*Procurement_data[[#This Row],[ Quantity ]])</f>
        <v>50000</v>
      </c>
      <c r="U140" s="11">
        <f t="shared" si="2"/>
        <v>23</v>
      </c>
    </row>
    <row r="141" spans="1:21">
      <c r="A141" s="11">
        <v>140</v>
      </c>
      <c r="B141" s="25" t="s">
        <v>391</v>
      </c>
      <c r="C141" s="28" t="s">
        <v>157</v>
      </c>
      <c r="D141" s="28" t="s">
        <v>158</v>
      </c>
      <c r="E141" s="28" t="s">
        <v>58</v>
      </c>
      <c r="F141" s="25" t="s">
        <v>364</v>
      </c>
      <c r="G141" s="11">
        <v>1</v>
      </c>
      <c r="H141" s="11">
        <v>5000</v>
      </c>
      <c r="I141" s="25" t="s">
        <v>226</v>
      </c>
      <c r="J141" s="25" t="s">
        <v>227</v>
      </c>
      <c r="K141" s="11">
        <v>7755332211</v>
      </c>
      <c r="L141" s="25" t="s">
        <v>228</v>
      </c>
      <c r="M141" s="25" t="s">
        <v>229</v>
      </c>
      <c r="N141" s="27" t="s">
        <v>42</v>
      </c>
      <c r="O141" s="27" t="s">
        <v>43</v>
      </c>
      <c r="P141" s="11">
        <v>24</v>
      </c>
      <c r="Q141" s="11">
        <v>800</v>
      </c>
      <c r="R141" s="11">
        <v>500</v>
      </c>
      <c r="S141" s="25" t="s">
        <v>55</v>
      </c>
      <c r="T141" s="11">
        <f>SUM(Procurement_data[[#This Row],[ Unit Price (USD) ]]*Procurement_data[[#This Row],[ Quantity ]])</f>
        <v>5000</v>
      </c>
      <c r="U141" s="11">
        <f t="shared" si="2"/>
        <v>27</v>
      </c>
    </row>
    <row r="142" spans="1:21">
      <c r="A142" s="11">
        <v>141</v>
      </c>
      <c r="B142" s="25" t="s">
        <v>390</v>
      </c>
      <c r="C142" s="28" t="s">
        <v>57</v>
      </c>
      <c r="D142" s="28" t="s">
        <v>56</v>
      </c>
      <c r="E142" s="28" t="s">
        <v>58</v>
      </c>
      <c r="F142" s="25" t="s">
        <v>304</v>
      </c>
      <c r="G142" s="11">
        <v>1</v>
      </c>
      <c r="H142" s="11">
        <v>5000</v>
      </c>
      <c r="I142" s="25" t="s">
        <v>226</v>
      </c>
      <c r="J142" s="25" t="s">
        <v>227</v>
      </c>
      <c r="K142" s="11">
        <v>7755332211</v>
      </c>
      <c r="L142" s="25" t="s">
        <v>228</v>
      </c>
      <c r="M142" s="25" t="s">
        <v>229</v>
      </c>
      <c r="N142" s="27" t="s">
        <v>53</v>
      </c>
      <c r="O142" s="27" t="s">
        <v>54</v>
      </c>
      <c r="P142" s="11">
        <v>24</v>
      </c>
      <c r="Q142" s="11">
        <v>800</v>
      </c>
      <c r="R142" s="11">
        <v>500</v>
      </c>
      <c r="S142" s="25" t="s">
        <v>55</v>
      </c>
      <c r="T142" s="11">
        <f>SUM(Procurement_data[[#This Row],[ Unit Price (USD) ]]*Procurement_data[[#This Row],[ Quantity ]])</f>
        <v>5000</v>
      </c>
      <c r="U142" s="11">
        <f t="shared" si="2"/>
        <v>26</v>
      </c>
    </row>
    <row r="143" spans="1:21">
      <c r="A143" s="11">
        <v>142</v>
      </c>
      <c r="B143" s="25" t="s">
        <v>369</v>
      </c>
      <c r="C143" s="28" t="s">
        <v>34</v>
      </c>
      <c r="D143" s="28" t="s">
        <v>35</v>
      </c>
      <c r="E143" s="28" t="s">
        <v>36</v>
      </c>
      <c r="F143" s="25" t="s">
        <v>372</v>
      </c>
      <c r="G143" s="11">
        <v>1</v>
      </c>
      <c r="H143" s="11">
        <v>40000</v>
      </c>
      <c r="I143" s="25" t="s">
        <v>72</v>
      </c>
      <c r="J143" s="25" t="s">
        <v>73</v>
      </c>
      <c r="K143" s="11">
        <v>6677889900</v>
      </c>
      <c r="L143" s="25" t="s">
        <v>74</v>
      </c>
      <c r="M143" s="25" t="s">
        <v>75</v>
      </c>
      <c r="N143" s="27" t="s">
        <v>76</v>
      </c>
      <c r="O143" s="27" t="s">
        <v>77</v>
      </c>
      <c r="P143" s="11">
        <v>36</v>
      </c>
      <c r="Q143" s="11">
        <v>2000</v>
      </c>
      <c r="R143" s="11">
        <v>1200</v>
      </c>
      <c r="S143" s="25" t="s">
        <v>32</v>
      </c>
      <c r="T143" s="11">
        <f>SUM(Procurement_data[[#This Row],[ Unit Price (USD) ]]*Procurement_data[[#This Row],[ Quantity ]])</f>
        <v>40000</v>
      </c>
      <c r="U143" s="11">
        <f t="shared" si="2"/>
        <v>23</v>
      </c>
    </row>
    <row r="144" spans="1:21">
      <c r="A144" s="11">
        <v>143</v>
      </c>
      <c r="B144" s="25" t="s">
        <v>370</v>
      </c>
      <c r="C144" s="28" t="s">
        <v>89</v>
      </c>
      <c r="D144" s="28" t="s">
        <v>90</v>
      </c>
      <c r="E144" s="28" t="s">
        <v>47</v>
      </c>
      <c r="F144" s="25" t="s">
        <v>343</v>
      </c>
      <c r="G144" s="11">
        <v>1</v>
      </c>
      <c r="H144" s="11">
        <v>20000</v>
      </c>
      <c r="I144" s="25" t="s">
        <v>344</v>
      </c>
      <c r="J144" s="25" t="s">
        <v>50</v>
      </c>
      <c r="K144" s="11">
        <v>3322114455</v>
      </c>
      <c r="L144" s="25" t="s">
        <v>345</v>
      </c>
      <c r="M144" s="25" t="s">
        <v>52</v>
      </c>
      <c r="N144" s="27" t="s">
        <v>64</v>
      </c>
      <c r="O144" s="27" t="s">
        <v>65</v>
      </c>
      <c r="P144" s="11">
        <v>36</v>
      </c>
      <c r="Q144" s="11">
        <v>2500</v>
      </c>
      <c r="R144" s="11">
        <v>1500</v>
      </c>
      <c r="S144" s="25" t="s">
        <v>32</v>
      </c>
      <c r="T144" s="11">
        <f>SUM(Procurement_data[[#This Row],[ Unit Price (USD) ]]*Procurement_data[[#This Row],[ Quantity ]])</f>
        <v>20000</v>
      </c>
      <c r="U144" s="11">
        <f t="shared" si="2"/>
        <v>23</v>
      </c>
    </row>
    <row r="145" spans="1:21">
      <c r="A145" s="11">
        <v>144</v>
      </c>
      <c r="B145" s="25" t="s">
        <v>371</v>
      </c>
      <c r="C145" s="28" t="s">
        <v>111</v>
      </c>
      <c r="D145" s="28" t="s">
        <v>112</v>
      </c>
      <c r="E145" s="28" t="s">
        <v>58</v>
      </c>
      <c r="F145" s="25" t="s">
        <v>225</v>
      </c>
      <c r="G145" s="11">
        <v>1</v>
      </c>
      <c r="H145" s="11">
        <v>8000</v>
      </c>
      <c r="I145" s="25" t="s">
        <v>226</v>
      </c>
      <c r="J145" s="25" t="s">
        <v>227</v>
      </c>
      <c r="K145" s="11">
        <v>7755332211</v>
      </c>
      <c r="L145" s="25" t="s">
        <v>228</v>
      </c>
      <c r="M145" s="25" t="s">
        <v>229</v>
      </c>
      <c r="N145" s="27" t="s">
        <v>42</v>
      </c>
      <c r="O145" s="27" t="s">
        <v>43</v>
      </c>
      <c r="P145" s="11">
        <v>24</v>
      </c>
      <c r="Q145" s="11">
        <v>1000</v>
      </c>
      <c r="R145" s="11">
        <v>500</v>
      </c>
      <c r="S145" s="25" t="s">
        <v>55</v>
      </c>
      <c r="T145" s="11">
        <f>SUM(Procurement_data[[#This Row],[ Unit Price (USD) ]]*Procurement_data[[#This Row],[ Quantity ]])</f>
        <v>8000</v>
      </c>
      <c r="U145" s="11">
        <f t="shared" si="2"/>
        <v>27</v>
      </c>
    </row>
    <row r="146" spans="1:21">
      <c r="A146" s="11">
        <v>145</v>
      </c>
      <c r="B146" s="25" t="s">
        <v>373</v>
      </c>
      <c r="C146" s="28" t="s">
        <v>79</v>
      </c>
      <c r="D146" s="28" t="s">
        <v>80</v>
      </c>
      <c r="E146" s="28" t="s">
        <v>133</v>
      </c>
      <c r="F146" s="25" t="s">
        <v>59</v>
      </c>
      <c r="G146" s="11">
        <v>1</v>
      </c>
      <c r="H146" s="11">
        <v>40000</v>
      </c>
      <c r="I146" s="25" t="s">
        <v>272</v>
      </c>
      <c r="J146" s="25" t="s">
        <v>61</v>
      </c>
      <c r="K146" s="11">
        <v>7755332211</v>
      </c>
      <c r="L146" s="25" t="s">
        <v>273</v>
      </c>
      <c r="M146" s="25" t="s">
        <v>63</v>
      </c>
      <c r="N146" s="27" t="s">
        <v>217</v>
      </c>
      <c r="O146" s="27" t="s">
        <v>210</v>
      </c>
      <c r="P146" s="11">
        <v>48</v>
      </c>
      <c r="Q146" s="11">
        <v>2000</v>
      </c>
      <c r="R146" s="11">
        <v>1200</v>
      </c>
      <c r="S146" s="25" t="s">
        <v>32</v>
      </c>
      <c r="T146" s="11">
        <f>SUM(Procurement_data[[#This Row],[ Unit Price (USD) ]]*Procurement_data[[#This Row],[ Quantity ]])</f>
        <v>40000</v>
      </c>
      <c r="U146" s="11">
        <f t="shared" si="2"/>
        <v>26</v>
      </c>
    </row>
    <row r="147" spans="1:21">
      <c r="A147" s="11">
        <v>146</v>
      </c>
      <c r="B147" s="25" t="s">
        <v>381</v>
      </c>
      <c r="C147" s="28" t="s">
        <v>382</v>
      </c>
      <c r="D147" s="28" t="s">
        <v>383</v>
      </c>
      <c r="E147" s="28" t="s">
        <v>36</v>
      </c>
      <c r="F147" s="25" t="s">
        <v>245</v>
      </c>
      <c r="G147" s="11">
        <v>1</v>
      </c>
      <c r="H147" s="11">
        <v>80000</v>
      </c>
      <c r="I147" s="25" t="s">
        <v>392</v>
      </c>
      <c r="J147" s="25" t="s">
        <v>61</v>
      </c>
      <c r="K147" s="11">
        <v>7755332211</v>
      </c>
      <c r="L147" s="25" t="s">
        <v>393</v>
      </c>
      <c r="M147" s="25" t="s">
        <v>86</v>
      </c>
      <c r="N147" s="27" t="s">
        <v>394</v>
      </c>
      <c r="O147" s="27" t="s">
        <v>395</v>
      </c>
      <c r="P147" s="11">
        <v>60</v>
      </c>
      <c r="Q147" s="11">
        <v>3000</v>
      </c>
      <c r="R147" s="11">
        <v>2000</v>
      </c>
      <c r="S147" s="25" t="s">
        <v>32</v>
      </c>
      <c r="T147" s="11">
        <f>SUM(Procurement_data[[#This Row],[ Unit Price (USD) ]]*Procurement_data[[#This Row],[ Quantity ]])</f>
        <v>80000</v>
      </c>
      <c r="U147" s="11">
        <f t="shared" si="2"/>
        <v>25</v>
      </c>
    </row>
    <row r="148" spans="1:21">
      <c r="A148" s="11">
        <v>147</v>
      </c>
      <c r="B148" s="25" t="s">
        <v>384</v>
      </c>
      <c r="C148" s="28" t="s">
        <v>175</v>
      </c>
      <c r="D148" s="28" t="s">
        <v>385</v>
      </c>
      <c r="E148" s="28" t="s">
        <v>133</v>
      </c>
      <c r="F148" s="25" t="s">
        <v>134</v>
      </c>
      <c r="G148" s="11">
        <v>1</v>
      </c>
      <c r="H148" s="11">
        <v>10000</v>
      </c>
      <c r="I148" s="25" t="s">
        <v>396</v>
      </c>
      <c r="J148" s="25" t="s">
        <v>397</v>
      </c>
      <c r="K148" s="11">
        <v>3322114455</v>
      </c>
      <c r="L148" s="25" t="s">
        <v>398</v>
      </c>
      <c r="M148" s="25" t="s">
        <v>29</v>
      </c>
      <c r="N148" s="27" t="s">
        <v>30</v>
      </c>
      <c r="O148" s="27" t="s">
        <v>31</v>
      </c>
      <c r="P148" s="11">
        <v>36</v>
      </c>
      <c r="Q148" s="11">
        <v>1200</v>
      </c>
      <c r="R148" s="11">
        <v>800</v>
      </c>
      <c r="S148" s="25" t="s">
        <v>32</v>
      </c>
      <c r="T148" s="11">
        <f>SUM(Procurement_data[[#This Row],[ Unit Price (USD) ]]*Procurement_data[[#This Row],[ Quantity ]])</f>
        <v>10000</v>
      </c>
      <c r="U148" s="11">
        <f t="shared" si="2"/>
        <v>26</v>
      </c>
    </row>
    <row r="149" spans="1:21">
      <c r="A149" s="11">
        <v>148</v>
      </c>
      <c r="B149" s="25" t="s">
        <v>386</v>
      </c>
      <c r="C149" s="28" t="s">
        <v>387</v>
      </c>
      <c r="D149" s="28" t="s">
        <v>388</v>
      </c>
      <c r="E149" s="28" t="s">
        <v>47</v>
      </c>
      <c r="F149" s="25" t="s">
        <v>348</v>
      </c>
      <c r="G149" s="11">
        <v>1</v>
      </c>
      <c r="H149" s="11">
        <v>50000</v>
      </c>
      <c r="I149" s="25" t="s">
        <v>240</v>
      </c>
      <c r="J149" s="25" t="s">
        <v>50</v>
      </c>
      <c r="K149" s="11">
        <v>3322114455</v>
      </c>
      <c r="L149" s="25" t="s">
        <v>241</v>
      </c>
      <c r="M149" s="25" t="s">
        <v>52</v>
      </c>
      <c r="N149" s="27" t="s">
        <v>76</v>
      </c>
      <c r="O149" s="27" t="s">
        <v>77</v>
      </c>
      <c r="P149" s="11">
        <v>36</v>
      </c>
      <c r="Q149" s="11">
        <v>1800</v>
      </c>
      <c r="R149" s="11">
        <v>1000</v>
      </c>
      <c r="S149" s="25" t="s">
        <v>55</v>
      </c>
      <c r="T149" s="11">
        <f>SUM(Procurement_data[[#This Row],[ Unit Price (USD) ]]*Procurement_data[[#This Row],[ Quantity ]])</f>
        <v>50000</v>
      </c>
      <c r="U149" s="11">
        <f t="shared" si="2"/>
        <v>23</v>
      </c>
    </row>
    <row r="150" spans="1:21">
      <c r="A150" s="11">
        <v>149</v>
      </c>
      <c r="B150" s="25" t="s">
        <v>389</v>
      </c>
      <c r="C150" s="28" t="s">
        <v>148</v>
      </c>
      <c r="D150" s="28" t="s">
        <v>149</v>
      </c>
      <c r="E150" s="28" t="s">
        <v>58</v>
      </c>
      <c r="F150" s="25" t="s">
        <v>364</v>
      </c>
      <c r="G150" s="11">
        <v>1</v>
      </c>
      <c r="H150" s="11">
        <v>5000</v>
      </c>
      <c r="I150" s="25" t="s">
        <v>226</v>
      </c>
      <c r="J150" s="25" t="s">
        <v>227</v>
      </c>
      <c r="K150" s="11">
        <v>7755332211</v>
      </c>
      <c r="L150" s="25" t="s">
        <v>228</v>
      </c>
      <c r="M150" s="25" t="s">
        <v>229</v>
      </c>
      <c r="N150" s="27" t="s">
        <v>42</v>
      </c>
      <c r="O150" s="27" t="s">
        <v>43</v>
      </c>
      <c r="P150" s="11">
        <v>24</v>
      </c>
      <c r="Q150" s="11">
        <v>800</v>
      </c>
      <c r="R150" s="11">
        <v>500</v>
      </c>
      <c r="S150" s="25" t="s">
        <v>55</v>
      </c>
      <c r="T150" s="11">
        <f>SUM(Procurement_data[[#This Row],[ Unit Price (USD) ]]*Procurement_data[[#This Row],[ Quantity ]])</f>
        <v>5000</v>
      </c>
      <c r="U150" s="11">
        <f t="shared" si="2"/>
        <v>27</v>
      </c>
    </row>
    <row r="151" spans="1:21">
      <c r="A151" s="11">
        <v>150</v>
      </c>
      <c r="B151" s="25" t="s">
        <v>391</v>
      </c>
      <c r="C151" s="28" t="s">
        <v>157</v>
      </c>
      <c r="D151" s="28" t="s">
        <v>158</v>
      </c>
      <c r="E151" s="28" t="s">
        <v>58</v>
      </c>
      <c r="F151" s="25" t="s">
        <v>304</v>
      </c>
      <c r="G151" s="11">
        <v>1</v>
      </c>
      <c r="H151" s="11">
        <v>5000</v>
      </c>
      <c r="I151" s="25" t="s">
        <v>226</v>
      </c>
      <c r="J151" s="25" t="s">
        <v>227</v>
      </c>
      <c r="K151" s="11">
        <v>7755332211</v>
      </c>
      <c r="L151" s="25" t="s">
        <v>228</v>
      </c>
      <c r="M151" s="25" t="s">
        <v>229</v>
      </c>
      <c r="N151" s="27" t="s">
        <v>53</v>
      </c>
      <c r="O151" s="27" t="s">
        <v>54</v>
      </c>
      <c r="P151" s="11">
        <v>24</v>
      </c>
      <c r="Q151" s="11">
        <v>800</v>
      </c>
      <c r="R151" s="11">
        <v>500</v>
      </c>
      <c r="S151" s="25" t="s">
        <v>55</v>
      </c>
      <c r="T151" s="11">
        <f>SUM(Procurement_data[[#This Row],[ Unit Price (USD) ]]*Procurement_data[[#This Row],[ Quantity ]])</f>
        <v>5000</v>
      </c>
      <c r="U151" s="11">
        <f t="shared" si="2"/>
        <v>26</v>
      </c>
    </row>
    <row r="152" spans="1:21">
      <c r="A152" s="11">
        <v>151</v>
      </c>
      <c r="B152" s="25" t="s">
        <v>390</v>
      </c>
      <c r="C152" s="28" t="s">
        <v>57</v>
      </c>
      <c r="D152" s="28" t="s">
        <v>56</v>
      </c>
      <c r="E152" s="28" t="s">
        <v>36</v>
      </c>
      <c r="F152" s="25" t="s">
        <v>103</v>
      </c>
      <c r="G152" s="11">
        <v>1</v>
      </c>
      <c r="H152" s="11">
        <v>30000</v>
      </c>
      <c r="I152" s="25" t="s">
        <v>104</v>
      </c>
      <c r="J152" s="25" t="s">
        <v>105</v>
      </c>
      <c r="K152" s="11">
        <v>6677889900</v>
      </c>
      <c r="L152" s="25" t="s">
        <v>106</v>
      </c>
      <c r="M152" s="25" t="s">
        <v>107</v>
      </c>
      <c r="N152" s="27" t="s">
        <v>97</v>
      </c>
      <c r="O152" s="27" t="s">
        <v>98</v>
      </c>
      <c r="P152" s="11">
        <v>36</v>
      </c>
      <c r="Q152" s="11">
        <v>1500</v>
      </c>
      <c r="R152" s="11">
        <v>800</v>
      </c>
      <c r="S152" s="25" t="s">
        <v>66</v>
      </c>
      <c r="T152" s="11">
        <f>SUM(Procurement_data[[#This Row],[ Unit Price (USD) ]]*Procurement_data[[#This Row],[ Quantity ]])</f>
        <v>30000</v>
      </c>
      <c r="U152" s="11">
        <f t="shared" si="2"/>
        <v>26</v>
      </c>
    </row>
    <row r="153" spans="1:21">
      <c r="A153" s="11">
        <v>152</v>
      </c>
      <c r="B153" s="25" t="s">
        <v>369</v>
      </c>
      <c r="C153" s="28" t="s">
        <v>34</v>
      </c>
      <c r="D153" s="28" t="s">
        <v>35</v>
      </c>
      <c r="E153" s="28" t="s">
        <v>47</v>
      </c>
      <c r="F153" s="25" t="s">
        <v>343</v>
      </c>
      <c r="G153" s="11">
        <v>1</v>
      </c>
      <c r="H153" s="11">
        <v>20000</v>
      </c>
      <c r="I153" s="25" t="s">
        <v>344</v>
      </c>
      <c r="J153" s="25" t="s">
        <v>50</v>
      </c>
      <c r="K153" s="11">
        <v>3322114455</v>
      </c>
      <c r="L153" s="25" t="s">
        <v>345</v>
      </c>
      <c r="M153" s="25" t="s">
        <v>52</v>
      </c>
      <c r="N153" s="27" t="s">
        <v>64</v>
      </c>
      <c r="O153" s="27" t="s">
        <v>65</v>
      </c>
      <c r="P153" s="11">
        <v>36</v>
      </c>
      <c r="Q153" s="11">
        <v>2500</v>
      </c>
      <c r="R153" s="11">
        <v>1500</v>
      </c>
      <c r="S153" s="25" t="s">
        <v>32</v>
      </c>
      <c r="T153" s="11">
        <f>SUM(Procurement_data[[#This Row],[ Unit Price (USD) ]]*Procurement_data[[#This Row],[ Quantity ]])</f>
        <v>20000</v>
      </c>
      <c r="U153" s="11">
        <f t="shared" si="2"/>
        <v>23</v>
      </c>
    </row>
    <row r="154" spans="1:21">
      <c r="A154" s="11">
        <v>153</v>
      </c>
      <c r="B154" s="25" t="s">
        <v>370</v>
      </c>
      <c r="C154" s="28" t="s">
        <v>89</v>
      </c>
      <c r="D154" s="28" t="s">
        <v>90</v>
      </c>
      <c r="E154" s="28" t="s">
        <v>58</v>
      </c>
      <c r="F154" s="25" t="s">
        <v>225</v>
      </c>
      <c r="G154" s="11">
        <v>1</v>
      </c>
      <c r="H154" s="11">
        <v>8000</v>
      </c>
      <c r="I154" s="25" t="s">
        <v>226</v>
      </c>
      <c r="J154" s="25" t="s">
        <v>227</v>
      </c>
      <c r="K154" s="11">
        <v>7755332211</v>
      </c>
      <c r="L154" s="25" t="s">
        <v>228</v>
      </c>
      <c r="M154" s="25" t="s">
        <v>229</v>
      </c>
      <c r="N154" s="27" t="s">
        <v>42</v>
      </c>
      <c r="O154" s="27" t="s">
        <v>43</v>
      </c>
      <c r="P154" s="11">
        <v>24</v>
      </c>
      <c r="Q154" s="11">
        <v>1000</v>
      </c>
      <c r="R154" s="11">
        <v>500</v>
      </c>
      <c r="S154" s="25" t="s">
        <v>55</v>
      </c>
      <c r="T154" s="11">
        <f>SUM(Procurement_data[[#This Row],[ Unit Price (USD) ]]*Procurement_data[[#This Row],[ Quantity ]])</f>
        <v>8000</v>
      </c>
      <c r="U154" s="11">
        <f t="shared" si="2"/>
        <v>27</v>
      </c>
    </row>
    <row r="155" spans="1:21">
      <c r="A155" s="11">
        <v>154</v>
      </c>
      <c r="B155" s="25" t="s">
        <v>371</v>
      </c>
      <c r="C155" s="28" t="s">
        <v>111</v>
      </c>
      <c r="D155" s="28" t="s">
        <v>112</v>
      </c>
      <c r="E155" s="28" t="s">
        <v>47</v>
      </c>
      <c r="F155" s="25" t="s">
        <v>378</v>
      </c>
      <c r="G155" s="11">
        <v>1</v>
      </c>
      <c r="H155" s="11">
        <v>60000</v>
      </c>
      <c r="I155" s="25" t="s">
        <v>379</v>
      </c>
      <c r="J155" s="25" t="s">
        <v>162</v>
      </c>
      <c r="K155" s="11">
        <v>3322114455</v>
      </c>
      <c r="L155" s="25" t="s">
        <v>380</v>
      </c>
      <c r="M155" s="25" t="s">
        <v>164</v>
      </c>
      <c r="N155" s="27" t="s">
        <v>31</v>
      </c>
      <c r="O155" s="27" t="s">
        <v>87</v>
      </c>
      <c r="P155" s="11">
        <v>48</v>
      </c>
      <c r="Q155" s="11">
        <v>2500</v>
      </c>
      <c r="R155" s="11">
        <v>1500</v>
      </c>
      <c r="S155" s="25" t="s">
        <v>32</v>
      </c>
      <c r="T155" s="11">
        <f>SUM(Procurement_data[[#This Row],[ Unit Price (USD) ]]*Procurement_data[[#This Row],[ Quantity ]])</f>
        <v>60000</v>
      </c>
      <c r="U155" s="11">
        <f t="shared" si="2"/>
        <v>25</v>
      </c>
    </row>
    <row r="156" spans="1:21">
      <c r="A156" s="11">
        <v>155</v>
      </c>
      <c r="B156" s="25" t="s">
        <v>373</v>
      </c>
      <c r="C156" s="28" t="s">
        <v>79</v>
      </c>
      <c r="D156" s="28" t="s">
        <v>80</v>
      </c>
      <c r="E156" s="28" t="s">
        <v>36</v>
      </c>
      <c r="F156" s="25" t="s">
        <v>37</v>
      </c>
      <c r="G156" s="11">
        <v>1</v>
      </c>
      <c r="H156" s="11">
        <v>200000</v>
      </c>
      <c r="I156" s="25" t="s">
        <v>399</v>
      </c>
      <c r="J156" s="25" t="s">
        <v>27</v>
      </c>
      <c r="K156" s="11">
        <v>1122334455</v>
      </c>
      <c r="L156" s="25" t="s">
        <v>400</v>
      </c>
      <c r="M156" s="25" t="s">
        <v>29</v>
      </c>
      <c r="N156" s="27" t="s">
        <v>236</v>
      </c>
      <c r="O156" s="27" t="s">
        <v>401</v>
      </c>
      <c r="P156" s="11">
        <v>60</v>
      </c>
      <c r="Q156" s="11">
        <v>5000</v>
      </c>
      <c r="R156" s="11">
        <v>3000</v>
      </c>
      <c r="S156" s="25" t="s">
        <v>32</v>
      </c>
      <c r="T156" s="11">
        <f>SUM(Procurement_data[[#This Row],[ Unit Price (USD) ]]*Procurement_data[[#This Row],[ Quantity ]])</f>
        <v>200000</v>
      </c>
      <c r="U156" s="11">
        <f t="shared" si="2"/>
        <v>29</v>
      </c>
    </row>
    <row r="157" spans="1:21">
      <c r="A157" s="11">
        <v>156</v>
      </c>
      <c r="B157" s="25" t="s">
        <v>381</v>
      </c>
      <c r="C157" s="28" t="s">
        <v>382</v>
      </c>
      <c r="D157" s="28" t="s">
        <v>383</v>
      </c>
      <c r="E157" s="28" t="s">
        <v>58</v>
      </c>
      <c r="F157" s="25" t="s">
        <v>364</v>
      </c>
      <c r="G157" s="11">
        <v>1</v>
      </c>
      <c r="H157" s="11">
        <v>5000</v>
      </c>
      <c r="I157" s="25" t="s">
        <v>226</v>
      </c>
      <c r="J157" s="25" t="s">
        <v>227</v>
      </c>
      <c r="K157" s="11">
        <v>7755332211</v>
      </c>
      <c r="L157" s="25" t="s">
        <v>228</v>
      </c>
      <c r="M157" s="25" t="s">
        <v>229</v>
      </c>
      <c r="N157" s="27" t="s">
        <v>53</v>
      </c>
      <c r="O157" s="27" t="s">
        <v>54</v>
      </c>
      <c r="P157" s="11">
        <v>24</v>
      </c>
      <c r="Q157" s="11">
        <v>800</v>
      </c>
      <c r="R157" s="11">
        <v>500</v>
      </c>
      <c r="S157" s="25" t="s">
        <v>55</v>
      </c>
      <c r="T157" s="11">
        <f>SUM(Procurement_data[[#This Row],[ Unit Price (USD) ]]*Procurement_data[[#This Row],[ Quantity ]])</f>
        <v>5000</v>
      </c>
      <c r="U157" s="11">
        <f t="shared" si="2"/>
        <v>26</v>
      </c>
    </row>
    <row r="158" spans="1:21">
      <c r="A158" s="11">
        <v>157</v>
      </c>
      <c r="B158" s="25" t="s">
        <v>384</v>
      </c>
      <c r="C158" s="28" t="s">
        <v>175</v>
      </c>
      <c r="D158" s="28" t="s">
        <v>385</v>
      </c>
      <c r="E158" s="28" t="s">
        <v>133</v>
      </c>
      <c r="F158" s="25" t="s">
        <v>134</v>
      </c>
      <c r="G158" s="11">
        <v>1</v>
      </c>
      <c r="H158" s="11">
        <v>10000</v>
      </c>
      <c r="I158" s="25" t="s">
        <v>396</v>
      </c>
      <c r="J158" s="25" t="s">
        <v>397</v>
      </c>
      <c r="K158" s="11">
        <v>3322114455</v>
      </c>
      <c r="L158" s="25" t="s">
        <v>398</v>
      </c>
      <c r="M158" s="25" t="s">
        <v>29</v>
      </c>
      <c r="N158" s="27" t="s">
        <v>30</v>
      </c>
      <c r="O158" s="27" t="s">
        <v>31</v>
      </c>
      <c r="P158" s="11">
        <v>36</v>
      </c>
      <c r="Q158" s="11">
        <v>1200</v>
      </c>
      <c r="R158" s="11">
        <v>800</v>
      </c>
      <c r="S158" s="25" t="s">
        <v>32</v>
      </c>
      <c r="T158" s="11">
        <f>SUM(Procurement_data[[#This Row],[ Unit Price (USD) ]]*Procurement_data[[#This Row],[ Quantity ]])</f>
        <v>10000</v>
      </c>
      <c r="U158" s="11">
        <f t="shared" si="2"/>
        <v>26</v>
      </c>
    </row>
    <row r="159" spans="1:21">
      <c r="A159" s="11">
        <v>158</v>
      </c>
      <c r="B159" s="25" t="s">
        <v>386</v>
      </c>
      <c r="C159" s="28" t="s">
        <v>387</v>
      </c>
      <c r="D159" s="28" t="s">
        <v>388</v>
      </c>
      <c r="E159" s="28" t="s">
        <v>47</v>
      </c>
      <c r="F159" s="25" t="s">
        <v>348</v>
      </c>
      <c r="G159" s="11">
        <v>1</v>
      </c>
      <c r="H159" s="11">
        <v>50000</v>
      </c>
      <c r="I159" s="25" t="s">
        <v>240</v>
      </c>
      <c r="J159" s="25" t="s">
        <v>50</v>
      </c>
      <c r="K159" s="11">
        <v>3322114455</v>
      </c>
      <c r="L159" s="25" t="s">
        <v>241</v>
      </c>
      <c r="M159" s="25" t="s">
        <v>52</v>
      </c>
      <c r="N159" s="27" t="s">
        <v>76</v>
      </c>
      <c r="O159" s="27" t="s">
        <v>77</v>
      </c>
      <c r="P159" s="11">
        <v>36</v>
      </c>
      <c r="Q159" s="11">
        <v>1800</v>
      </c>
      <c r="R159" s="11">
        <v>1000</v>
      </c>
      <c r="S159" s="25" t="s">
        <v>55</v>
      </c>
      <c r="T159" s="11">
        <f>SUM(Procurement_data[[#This Row],[ Unit Price (USD) ]]*Procurement_data[[#This Row],[ Quantity ]])</f>
        <v>50000</v>
      </c>
      <c r="U159" s="11">
        <f t="shared" si="2"/>
        <v>23</v>
      </c>
    </row>
    <row r="160" spans="1:21">
      <c r="A160" s="11">
        <v>159</v>
      </c>
      <c r="B160" s="25" t="s">
        <v>389</v>
      </c>
      <c r="C160" s="28" t="s">
        <v>148</v>
      </c>
      <c r="D160" s="28" t="s">
        <v>149</v>
      </c>
      <c r="E160" s="28" t="s">
        <v>58</v>
      </c>
      <c r="F160" s="25" t="s">
        <v>225</v>
      </c>
      <c r="G160" s="11">
        <v>1</v>
      </c>
      <c r="H160" s="11">
        <v>8000</v>
      </c>
      <c r="I160" s="25" t="s">
        <v>226</v>
      </c>
      <c r="J160" s="25" t="s">
        <v>227</v>
      </c>
      <c r="K160" s="11">
        <v>7755332211</v>
      </c>
      <c r="L160" s="25" t="s">
        <v>228</v>
      </c>
      <c r="M160" s="25" t="s">
        <v>229</v>
      </c>
      <c r="N160" s="27" t="s">
        <v>42</v>
      </c>
      <c r="O160" s="27" t="s">
        <v>43</v>
      </c>
      <c r="P160" s="11">
        <v>24</v>
      </c>
      <c r="Q160" s="11">
        <v>1000</v>
      </c>
      <c r="R160" s="11">
        <v>500</v>
      </c>
      <c r="S160" s="25" t="s">
        <v>55</v>
      </c>
      <c r="T160" s="11">
        <f>SUM(Procurement_data[[#This Row],[ Unit Price (USD) ]]*Procurement_data[[#This Row],[ Quantity ]])</f>
        <v>8000</v>
      </c>
      <c r="U160" s="11">
        <f t="shared" si="2"/>
        <v>27</v>
      </c>
    </row>
    <row r="161" spans="1:21">
      <c r="A161" s="11">
        <v>160</v>
      </c>
      <c r="B161" s="25" t="s">
        <v>391</v>
      </c>
      <c r="C161" s="28" t="s">
        <v>157</v>
      </c>
      <c r="D161" s="28" t="s">
        <v>158</v>
      </c>
      <c r="E161" s="28" t="s">
        <v>58</v>
      </c>
      <c r="F161" s="25" t="s">
        <v>304</v>
      </c>
      <c r="G161" s="11">
        <v>1</v>
      </c>
      <c r="H161" s="11">
        <v>5000</v>
      </c>
      <c r="I161" s="25" t="s">
        <v>226</v>
      </c>
      <c r="J161" s="25" t="s">
        <v>227</v>
      </c>
      <c r="K161" s="11">
        <v>7755332211</v>
      </c>
      <c r="L161" s="25" t="s">
        <v>228</v>
      </c>
      <c r="M161" s="25" t="s">
        <v>229</v>
      </c>
      <c r="N161" s="27" t="s">
        <v>53</v>
      </c>
      <c r="O161" s="27" t="s">
        <v>54</v>
      </c>
      <c r="P161" s="11">
        <v>24</v>
      </c>
      <c r="Q161" s="11">
        <v>800</v>
      </c>
      <c r="R161" s="11">
        <v>500</v>
      </c>
      <c r="S161" s="25" t="s">
        <v>55</v>
      </c>
      <c r="T161" s="11">
        <f>SUM(Procurement_data[[#This Row],[ Unit Price (USD) ]]*Procurement_data[[#This Row],[ Quantity ]])</f>
        <v>5000</v>
      </c>
      <c r="U161" s="11">
        <f t="shared" si="2"/>
        <v>26</v>
      </c>
    </row>
    <row r="162" spans="1:21">
      <c r="A162" s="11">
        <v>161</v>
      </c>
      <c r="B162" s="25" t="s">
        <v>390</v>
      </c>
      <c r="C162" s="28" t="s">
        <v>57</v>
      </c>
      <c r="D162" s="28" t="s">
        <v>56</v>
      </c>
      <c r="E162" s="28" t="s">
        <v>36</v>
      </c>
      <c r="F162" s="25" t="s">
        <v>103</v>
      </c>
      <c r="G162" s="11">
        <v>7</v>
      </c>
      <c r="H162" s="11">
        <v>30000</v>
      </c>
      <c r="I162" s="25" t="s">
        <v>104</v>
      </c>
      <c r="J162" s="25" t="s">
        <v>105</v>
      </c>
      <c r="K162" s="11">
        <v>6677889900</v>
      </c>
      <c r="L162" s="25" t="s">
        <v>106</v>
      </c>
      <c r="M162" s="25" t="s">
        <v>107</v>
      </c>
      <c r="N162" s="27" t="s">
        <v>97</v>
      </c>
      <c r="O162" s="27" t="s">
        <v>98</v>
      </c>
      <c r="P162" s="11">
        <v>36</v>
      </c>
      <c r="Q162" s="11">
        <v>1500</v>
      </c>
      <c r="R162" s="11">
        <v>800</v>
      </c>
      <c r="S162" s="25" t="s">
        <v>66</v>
      </c>
      <c r="T162" s="11">
        <f>SUM(Procurement_data[[#This Row],[ Unit Price (USD) ]]*Procurement_data[[#This Row],[ Quantity ]])</f>
        <v>210000</v>
      </c>
      <c r="U162" s="11">
        <f t="shared" si="2"/>
        <v>26</v>
      </c>
    </row>
    <row r="163" spans="1:21">
      <c r="A163" s="11">
        <v>162</v>
      </c>
      <c r="B163" s="25" t="s">
        <v>369</v>
      </c>
      <c r="C163" s="28" t="s">
        <v>34</v>
      </c>
      <c r="D163" s="28" t="s">
        <v>35</v>
      </c>
      <c r="E163" s="28" t="s">
        <v>58</v>
      </c>
      <c r="F163" s="25" t="s">
        <v>225</v>
      </c>
      <c r="G163" s="11">
        <v>5</v>
      </c>
      <c r="H163" s="11">
        <v>8000</v>
      </c>
      <c r="I163" s="25" t="s">
        <v>226</v>
      </c>
      <c r="J163" s="25" t="s">
        <v>227</v>
      </c>
      <c r="K163" s="11">
        <v>7755332211</v>
      </c>
      <c r="L163" s="25" t="s">
        <v>228</v>
      </c>
      <c r="M163" s="25" t="s">
        <v>229</v>
      </c>
      <c r="N163" s="27" t="s">
        <v>42</v>
      </c>
      <c r="O163" s="27" t="s">
        <v>43</v>
      </c>
      <c r="P163" s="11">
        <v>24</v>
      </c>
      <c r="Q163" s="11">
        <v>1000</v>
      </c>
      <c r="R163" s="11">
        <v>500</v>
      </c>
      <c r="S163" s="25" t="s">
        <v>55</v>
      </c>
      <c r="T163" s="11">
        <f>SUM(Procurement_data[[#This Row],[ Unit Price (USD) ]]*Procurement_data[[#This Row],[ Quantity ]])</f>
        <v>40000</v>
      </c>
      <c r="U163" s="11">
        <f t="shared" si="2"/>
        <v>27</v>
      </c>
    </row>
    <row r="164" spans="1:21">
      <c r="A164" s="11">
        <v>163</v>
      </c>
      <c r="B164" s="25" t="s">
        <v>370</v>
      </c>
      <c r="C164" s="28" t="s">
        <v>89</v>
      </c>
      <c r="D164" s="28" t="s">
        <v>90</v>
      </c>
      <c r="E164" s="28" t="s">
        <v>47</v>
      </c>
      <c r="F164" s="25" t="s">
        <v>378</v>
      </c>
      <c r="G164" s="11">
        <v>3</v>
      </c>
      <c r="H164" s="11">
        <v>60000</v>
      </c>
      <c r="I164" s="25" t="s">
        <v>379</v>
      </c>
      <c r="J164" s="25" t="s">
        <v>162</v>
      </c>
      <c r="K164" s="11">
        <v>3322114455</v>
      </c>
      <c r="L164" s="25" t="s">
        <v>380</v>
      </c>
      <c r="M164" s="25" t="s">
        <v>164</v>
      </c>
      <c r="N164" s="27" t="s">
        <v>31</v>
      </c>
      <c r="O164" s="27" t="s">
        <v>87</v>
      </c>
      <c r="P164" s="11">
        <v>48</v>
      </c>
      <c r="Q164" s="11">
        <v>2500</v>
      </c>
      <c r="R164" s="11">
        <v>1500</v>
      </c>
      <c r="S164" s="25" t="s">
        <v>32</v>
      </c>
      <c r="T164" s="11">
        <f>SUM(Procurement_data[[#This Row],[ Unit Price (USD) ]]*Procurement_data[[#This Row],[ Quantity ]])</f>
        <v>180000</v>
      </c>
      <c r="U164" s="11">
        <f t="shared" si="2"/>
        <v>25</v>
      </c>
    </row>
    <row r="165" spans="1:21">
      <c r="A165" s="11">
        <v>164</v>
      </c>
      <c r="B165" s="25" t="s">
        <v>371</v>
      </c>
      <c r="C165" s="28" t="s">
        <v>111</v>
      </c>
      <c r="D165" s="28" t="s">
        <v>112</v>
      </c>
      <c r="E165" s="28" t="s">
        <v>133</v>
      </c>
      <c r="F165" s="25" t="s">
        <v>134</v>
      </c>
      <c r="G165" s="11">
        <v>2</v>
      </c>
      <c r="H165" s="11">
        <v>10000</v>
      </c>
      <c r="I165" s="25" t="s">
        <v>396</v>
      </c>
      <c r="J165" s="25" t="s">
        <v>397</v>
      </c>
      <c r="K165" s="11">
        <v>3322114455</v>
      </c>
      <c r="L165" s="25" t="s">
        <v>398</v>
      </c>
      <c r="M165" s="25" t="s">
        <v>29</v>
      </c>
      <c r="N165" s="27" t="s">
        <v>30</v>
      </c>
      <c r="O165" s="27" t="s">
        <v>31</v>
      </c>
      <c r="P165" s="11">
        <v>36</v>
      </c>
      <c r="Q165" s="11">
        <v>1200</v>
      </c>
      <c r="R165" s="11">
        <v>800</v>
      </c>
      <c r="S165" s="25" t="s">
        <v>32</v>
      </c>
      <c r="T165" s="11">
        <f>SUM(Procurement_data[[#This Row],[ Unit Price (USD) ]]*Procurement_data[[#This Row],[ Quantity ]])</f>
        <v>20000</v>
      </c>
      <c r="U165" s="11">
        <f t="shared" si="2"/>
        <v>26</v>
      </c>
    </row>
    <row r="166" spans="1:21">
      <c r="A166" s="11">
        <v>165</v>
      </c>
      <c r="B166" s="25" t="s">
        <v>373</v>
      </c>
      <c r="C166" s="28" t="s">
        <v>79</v>
      </c>
      <c r="D166" s="28" t="s">
        <v>80</v>
      </c>
      <c r="E166" s="28" t="s">
        <v>47</v>
      </c>
      <c r="F166" s="25" t="s">
        <v>348</v>
      </c>
      <c r="G166" s="11">
        <v>1</v>
      </c>
      <c r="H166" s="11">
        <v>50000</v>
      </c>
      <c r="I166" s="25" t="s">
        <v>240</v>
      </c>
      <c r="J166" s="25" t="s">
        <v>50</v>
      </c>
      <c r="K166" s="11">
        <v>3322114455</v>
      </c>
      <c r="L166" s="25" t="s">
        <v>241</v>
      </c>
      <c r="M166" s="25" t="s">
        <v>52</v>
      </c>
      <c r="N166" s="27" t="s">
        <v>76</v>
      </c>
      <c r="O166" s="27" t="s">
        <v>77</v>
      </c>
      <c r="P166" s="11">
        <v>36</v>
      </c>
      <c r="Q166" s="11">
        <v>1800</v>
      </c>
      <c r="R166" s="11">
        <v>1000</v>
      </c>
      <c r="S166" s="25" t="s">
        <v>55</v>
      </c>
      <c r="T166" s="11">
        <f>SUM(Procurement_data[[#This Row],[ Unit Price (USD) ]]*Procurement_data[[#This Row],[ Quantity ]])</f>
        <v>50000</v>
      </c>
      <c r="U166" s="11">
        <f t="shared" si="2"/>
        <v>23</v>
      </c>
    </row>
    <row r="167" spans="1:21">
      <c r="A167" s="11">
        <v>166</v>
      </c>
      <c r="B167" s="25" t="s">
        <v>381</v>
      </c>
      <c r="C167" s="28" t="s">
        <v>382</v>
      </c>
      <c r="D167" s="28" t="s">
        <v>383</v>
      </c>
      <c r="E167" s="28" t="s">
        <v>36</v>
      </c>
      <c r="F167" s="25" t="s">
        <v>37</v>
      </c>
      <c r="G167" s="11">
        <v>8</v>
      </c>
      <c r="H167" s="11">
        <v>200000</v>
      </c>
      <c r="I167" s="25" t="s">
        <v>399</v>
      </c>
      <c r="J167" s="25" t="s">
        <v>27</v>
      </c>
      <c r="K167" s="11">
        <v>1122334455</v>
      </c>
      <c r="L167" s="25" t="s">
        <v>400</v>
      </c>
      <c r="M167" s="25" t="s">
        <v>29</v>
      </c>
      <c r="N167" s="27" t="s">
        <v>236</v>
      </c>
      <c r="O167" s="27" t="s">
        <v>401</v>
      </c>
      <c r="P167" s="11">
        <v>60</v>
      </c>
      <c r="Q167" s="11">
        <v>5000</v>
      </c>
      <c r="R167" s="11">
        <v>3000</v>
      </c>
      <c r="S167" s="25" t="s">
        <v>32</v>
      </c>
      <c r="T167" s="11">
        <f>SUM(Procurement_data[[#This Row],[ Unit Price (USD) ]]*Procurement_data[[#This Row],[ Quantity ]])</f>
        <v>1600000</v>
      </c>
      <c r="U167" s="11">
        <f t="shared" si="2"/>
        <v>29</v>
      </c>
    </row>
    <row r="168" spans="1:21">
      <c r="A168" s="11">
        <v>167</v>
      </c>
      <c r="B168" s="25" t="s">
        <v>384</v>
      </c>
      <c r="C168" s="28" t="s">
        <v>175</v>
      </c>
      <c r="D168" s="28" t="s">
        <v>385</v>
      </c>
      <c r="E168" s="28" t="s">
        <v>58</v>
      </c>
      <c r="F168" s="25" t="s">
        <v>364</v>
      </c>
      <c r="G168" s="11">
        <v>4</v>
      </c>
      <c r="H168" s="11">
        <v>5000</v>
      </c>
      <c r="I168" s="25" t="s">
        <v>226</v>
      </c>
      <c r="J168" s="25" t="s">
        <v>227</v>
      </c>
      <c r="K168" s="11">
        <v>7755332211</v>
      </c>
      <c r="L168" s="25" t="s">
        <v>228</v>
      </c>
      <c r="M168" s="25" t="s">
        <v>229</v>
      </c>
      <c r="N168" s="27" t="s">
        <v>42</v>
      </c>
      <c r="O168" s="27" t="s">
        <v>43</v>
      </c>
      <c r="P168" s="11">
        <v>24</v>
      </c>
      <c r="Q168" s="11">
        <v>800</v>
      </c>
      <c r="R168" s="11">
        <v>500</v>
      </c>
      <c r="S168" s="25" t="s">
        <v>55</v>
      </c>
      <c r="T168" s="11">
        <f>SUM(Procurement_data[[#This Row],[ Unit Price (USD) ]]*Procurement_data[[#This Row],[ Quantity ]])</f>
        <v>20000</v>
      </c>
      <c r="U168" s="11">
        <f t="shared" si="2"/>
        <v>27</v>
      </c>
    </row>
    <row r="169" spans="1:21">
      <c r="A169" s="11">
        <v>168</v>
      </c>
      <c r="B169" s="25" t="s">
        <v>386</v>
      </c>
      <c r="C169" s="28" t="s">
        <v>387</v>
      </c>
      <c r="D169" s="28" t="s">
        <v>388</v>
      </c>
      <c r="E169" s="28" t="s">
        <v>36</v>
      </c>
      <c r="F169" s="25" t="s">
        <v>245</v>
      </c>
      <c r="G169" s="11">
        <v>10</v>
      </c>
      <c r="H169" s="11">
        <v>80000</v>
      </c>
      <c r="I169" s="25" t="s">
        <v>392</v>
      </c>
      <c r="J169" s="25" t="s">
        <v>61</v>
      </c>
      <c r="K169" s="11">
        <v>7755332211</v>
      </c>
      <c r="L169" s="25" t="s">
        <v>393</v>
      </c>
      <c r="M169" s="25" t="s">
        <v>86</v>
      </c>
      <c r="N169" s="27" t="s">
        <v>394</v>
      </c>
      <c r="O169" s="27" t="s">
        <v>395</v>
      </c>
      <c r="P169" s="11">
        <v>60</v>
      </c>
      <c r="Q169" s="11">
        <v>3000</v>
      </c>
      <c r="R169" s="11">
        <v>2000</v>
      </c>
      <c r="S169" s="25" t="s">
        <v>32</v>
      </c>
      <c r="T169" s="11">
        <f>SUM(Procurement_data[[#This Row],[ Unit Price (USD) ]]*Procurement_data[[#This Row],[ Quantity ]])</f>
        <v>800000</v>
      </c>
      <c r="U169" s="11">
        <f t="shared" si="2"/>
        <v>25</v>
      </c>
    </row>
    <row r="170" spans="1:21">
      <c r="A170" s="11">
        <v>169</v>
      </c>
      <c r="B170" s="25" t="s">
        <v>389</v>
      </c>
      <c r="C170" s="28" t="s">
        <v>148</v>
      </c>
      <c r="D170" s="28" t="s">
        <v>149</v>
      </c>
      <c r="E170" s="28" t="s">
        <v>133</v>
      </c>
      <c r="F170" s="25" t="s">
        <v>134</v>
      </c>
      <c r="G170" s="11">
        <v>6</v>
      </c>
      <c r="H170" s="11">
        <v>10000</v>
      </c>
      <c r="I170" s="25" t="s">
        <v>396</v>
      </c>
      <c r="J170" s="25" t="s">
        <v>397</v>
      </c>
      <c r="K170" s="11">
        <v>3322114455</v>
      </c>
      <c r="L170" s="25" t="s">
        <v>398</v>
      </c>
      <c r="M170" s="25" t="s">
        <v>29</v>
      </c>
      <c r="N170" s="27" t="s">
        <v>30</v>
      </c>
      <c r="O170" s="27" t="s">
        <v>31</v>
      </c>
      <c r="P170" s="11">
        <v>36</v>
      </c>
      <c r="Q170" s="11">
        <v>1200</v>
      </c>
      <c r="R170" s="11">
        <v>800</v>
      </c>
      <c r="S170" s="25" t="s">
        <v>32</v>
      </c>
      <c r="T170" s="11">
        <f>SUM(Procurement_data[[#This Row],[ Unit Price (USD) ]]*Procurement_data[[#This Row],[ Quantity ]])</f>
        <v>60000</v>
      </c>
      <c r="U170" s="11">
        <f t="shared" si="2"/>
        <v>26</v>
      </c>
    </row>
    <row r="171" spans="1:21">
      <c r="A171" s="11">
        <v>170</v>
      </c>
      <c r="B171" s="25" t="s">
        <v>391</v>
      </c>
      <c r="C171" s="28" t="s">
        <v>157</v>
      </c>
      <c r="D171" s="28" t="s">
        <v>158</v>
      </c>
      <c r="E171" s="28" t="s">
        <v>58</v>
      </c>
      <c r="F171" s="25" t="s">
        <v>225</v>
      </c>
      <c r="G171" s="11">
        <v>9</v>
      </c>
      <c r="H171" s="11">
        <v>8000</v>
      </c>
      <c r="I171" s="25" t="s">
        <v>226</v>
      </c>
      <c r="J171" s="25" t="s">
        <v>227</v>
      </c>
      <c r="K171" s="11">
        <v>7755332211</v>
      </c>
      <c r="L171" s="25" t="s">
        <v>228</v>
      </c>
      <c r="M171" s="25" t="s">
        <v>229</v>
      </c>
      <c r="N171" s="27" t="s">
        <v>42</v>
      </c>
      <c r="O171" s="27" t="s">
        <v>43</v>
      </c>
      <c r="P171" s="11">
        <v>24</v>
      </c>
      <c r="Q171" s="11">
        <v>1000</v>
      </c>
      <c r="R171" s="11">
        <v>500</v>
      </c>
      <c r="S171" s="25" t="s">
        <v>55</v>
      </c>
      <c r="T171" s="11">
        <f>SUM(Procurement_data[[#This Row],[ Unit Price (USD) ]]*Procurement_data[[#This Row],[ Quantity ]])</f>
        <v>72000</v>
      </c>
      <c r="U171" s="11">
        <f t="shared" si="2"/>
        <v>27</v>
      </c>
    </row>
    <row r="172" spans="1:21">
      <c r="A172" s="11">
        <v>171</v>
      </c>
      <c r="B172" s="25" t="s">
        <v>390</v>
      </c>
      <c r="C172" s="28" t="s">
        <v>57</v>
      </c>
      <c r="D172" s="28" t="s">
        <v>56</v>
      </c>
      <c r="E172" s="28" t="s">
        <v>133</v>
      </c>
      <c r="F172" s="25" t="s">
        <v>59</v>
      </c>
      <c r="G172" s="11">
        <v>3</v>
      </c>
      <c r="H172" s="11">
        <v>40000</v>
      </c>
      <c r="I172" s="25" t="s">
        <v>272</v>
      </c>
      <c r="J172" s="25" t="s">
        <v>61</v>
      </c>
      <c r="K172" s="11">
        <v>7755332211</v>
      </c>
      <c r="L172" s="25" t="s">
        <v>273</v>
      </c>
      <c r="M172" s="25" t="s">
        <v>63</v>
      </c>
      <c r="N172" s="27" t="s">
        <v>217</v>
      </c>
      <c r="O172" s="27" t="s">
        <v>210</v>
      </c>
      <c r="P172" s="11">
        <v>48</v>
      </c>
      <c r="Q172" s="11">
        <v>2000</v>
      </c>
      <c r="R172" s="11">
        <v>1200</v>
      </c>
      <c r="S172" s="25" t="s">
        <v>32</v>
      </c>
      <c r="T172" s="11">
        <f>SUM(Procurement_data[[#This Row],[ Unit Price (USD) ]]*Procurement_data[[#This Row],[ Quantity ]])</f>
        <v>120000</v>
      </c>
      <c r="U172" s="11">
        <f t="shared" si="2"/>
        <v>26</v>
      </c>
    </row>
    <row r="173" spans="1:21">
      <c r="A173" s="11">
        <v>172</v>
      </c>
      <c r="B173" s="25" t="s">
        <v>369</v>
      </c>
      <c r="C173" s="28" t="s">
        <v>34</v>
      </c>
      <c r="D173" s="28" t="s">
        <v>35</v>
      </c>
      <c r="E173" s="28" t="s">
        <v>58</v>
      </c>
      <c r="F173" s="25" t="s">
        <v>304</v>
      </c>
      <c r="G173" s="11">
        <v>4</v>
      </c>
      <c r="H173" s="11">
        <v>5000</v>
      </c>
      <c r="I173" s="25" t="s">
        <v>226</v>
      </c>
      <c r="J173" s="25" t="s">
        <v>227</v>
      </c>
      <c r="K173" s="11">
        <v>7755332211</v>
      </c>
      <c r="L173" s="25" t="s">
        <v>228</v>
      </c>
      <c r="M173" s="25" t="s">
        <v>229</v>
      </c>
      <c r="N173" s="27" t="s">
        <v>53</v>
      </c>
      <c r="O173" s="27" t="s">
        <v>54</v>
      </c>
      <c r="P173" s="11">
        <v>24</v>
      </c>
      <c r="Q173" s="11">
        <v>800</v>
      </c>
      <c r="R173" s="11">
        <v>500</v>
      </c>
      <c r="S173" s="25" t="s">
        <v>55</v>
      </c>
      <c r="T173" s="11">
        <f>SUM(Procurement_data[[#This Row],[ Unit Price (USD) ]]*Procurement_data[[#This Row],[ Quantity ]])</f>
        <v>20000</v>
      </c>
      <c r="U173" s="11">
        <f t="shared" si="2"/>
        <v>26</v>
      </c>
    </row>
    <row r="174" spans="1:21">
      <c r="A174" s="11">
        <v>173</v>
      </c>
      <c r="B174" s="25" t="s">
        <v>370</v>
      </c>
      <c r="C174" s="28" t="s">
        <v>89</v>
      </c>
      <c r="D174" s="28" t="s">
        <v>90</v>
      </c>
      <c r="E174" s="28" t="s">
        <v>36</v>
      </c>
      <c r="F174" s="25" t="s">
        <v>103</v>
      </c>
      <c r="G174" s="11">
        <v>2</v>
      </c>
      <c r="H174" s="11">
        <v>30000</v>
      </c>
      <c r="I174" s="25" t="s">
        <v>104</v>
      </c>
      <c r="J174" s="25" t="s">
        <v>105</v>
      </c>
      <c r="K174" s="11">
        <v>6677889900</v>
      </c>
      <c r="L174" s="25" t="s">
        <v>106</v>
      </c>
      <c r="M174" s="25" t="s">
        <v>107</v>
      </c>
      <c r="N174" s="27" t="s">
        <v>97</v>
      </c>
      <c r="O174" s="27" t="s">
        <v>98</v>
      </c>
      <c r="P174" s="11">
        <v>36</v>
      </c>
      <c r="Q174" s="11">
        <v>1500</v>
      </c>
      <c r="R174" s="11">
        <v>800</v>
      </c>
      <c r="S174" s="25" t="s">
        <v>66</v>
      </c>
      <c r="T174" s="11">
        <f>SUM(Procurement_data[[#This Row],[ Unit Price (USD) ]]*Procurement_data[[#This Row],[ Quantity ]])</f>
        <v>60000</v>
      </c>
      <c r="U174" s="11">
        <f t="shared" si="2"/>
        <v>26</v>
      </c>
    </row>
    <row r="175" spans="1:21">
      <c r="A175" s="11">
        <v>174</v>
      </c>
      <c r="B175" s="25" t="s">
        <v>371</v>
      </c>
      <c r="C175" s="28" t="s">
        <v>111</v>
      </c>
      <c r="D175" s="28" t="s">
        <v>112</v>
      </c>
      <c r="E175" s="28" t="s">
        <v>47</v>
      </c>
      <c r="F175" s="25" t="s">
        <v>343</v>
      </c>
      <c r="G175" s="11">
        <v>7</v>
      </c>
      <c r="H175" s="11">
        <v>20000</v>
      </c>
      <c r="I175" s="25" t="s">
        <v>344</v>
      </c>
      <c r="J175" s="25" t="s">
        <v>50</v>
      </c>
      <c r="K175" s="11">
        <v>3322114455</v>
      </c>
      <c r="L175" s="25" t="s">
        <v>345</v>
      </c>
      <c r="M175" s="25" t="s">
        <v>52</v>
      </c>
      <c r="N175" s="27" t="s">
        <v>64</v>
      </c>
      <c r="O175" s="27" t="s">
        <v>65</v>
      </c>
      <c r="P175" s="11">
        <v>36</v>
      </c>
      <c r="Q175" s="11">
        <v>2500</v>
      </c>
      <c r="R175" s="11">
        <v>1500</v>
      </c>
      <c r="S175" s="25" t="s">
        <v>32</v>
      </c>
      <c r="T175" s="11">
        <f>SUM(Procurement_data[[#This Row],[ Unit Price (USD) ]]*Procurement_data[[#This Row],[ Quantity ]])</f>
        <v>140000</v>
      </c>
      <c r="U175" s="11">
        <f t="shared" si="2"/>
        <v>23</v>
      </c>
    </row>
    <row r="176" spans="1:21">
      <c r="A176" s="11">
        <v>175</v>
      </c>
      <c r="B176" s="25" t="s">
        <v>373</v>
      </c>
      <c r="C176" s="28" t="s">
        <v>79</v>
      </c>
      <c r="D176" s="28" t="s">
        <v>80</v>
      </c>
      <c r="E176" s="28" t="s">
        <v>36</v>
      </c>
      <c r="F176" s="25" t="s">
        <v>37</v>
      </c>
      <c r="G176" s="11">
        <v>1</v>
      </c>
      <c r="H176" s="11">
        <v>200000</v>
      </c>
      <c r="I176" s="25" t="s">
        <v>399</v>
      </c>
      <c r="J176" s="25" t="s">
        <v>27</v>
      </c>
      <c r="K176" s="11">
        <v>1122334455</v>
      </c>
      <c r="L176" s="25" t="s">
        <v>400</v>
      </c>
      <c r="M176" s="25" t="s">
        <v>29</v>
      </c>
      <c r="N176" s="27" t="s">
        <v>236</v>
      </c>
      <c r="O176" s="27" t="s">
        <v>401</v>
      </c>
      <c r="P176" s="11">
        <v>60</v>
      </c>
      <c r="Q176" s="11">
        <v>5000</v>
      </c>
      <c r="R176" s="11">
        <v>3000</v>
      </c>
      <c r="S176" s="25" t="s">
        <v>32</v>
      </c>
      <c r="T176" s="11">
        <f>SUM(Procurement_data[[#This Row],[ Unit Price (USD) ]]*Procurement_data[[#This Row],[ Quantity ]])</f>
        <v>200000</v>
      </c>
      <c r="U176" s="11">
        <f t="shared" si="2"/>
        <v>29</v>
      </c>
    </row>
    <row r="177" spans="1:21">
      <c r="A177" s="11">
        <v>176</v>
      </c>
      <c r="B177" s="25" t="s">
        <v>381</v>
      </c>
      <c r="C177" s="28" t="s">
        <v>382</v>
      </c>
      <c r="D177" s="28" t="s">
        <v>383</v>
      </c>
      <c r="E177" s="28" t="s">
        <v>58</v>
      </c>
      <c r="F177" s="25" t="s">
        <v>364</v>
      </c>
      <c r="G177" s="11">
        <v>5</v>
      </c>
      <c r="H177" s="11">
        <v>5000</v>
      </c>
      <c r="I177" s="25" t="s">
        <v>226</v>
      </c>
      <c r="J177" s="25" t="s">
        <v>227</v>
      </c>
      <c r="K177" s="11">
        <v>7755332211</v>
      </c>
      <c r="L177" s="25" t="s">
        <v>228</v>
      </c>
      <c r="M177" s="25" t="s">
        <v>229</v>
      </c>
      <c r="N177" s="27" t="s">
        <v>42</v>
      </c>
      <c r="O177" s="27" t="s">
        <v>43</v>
      </c>
      <c r="P177" s="11">
        <v>24</v>
      </c>
      <c r="Q177" s="11">
        <v>1000</v>
      </c>
      <c r="R177" s="11">
        <v>500</v>
      </c>
      <c r="S177" s="25" t="s">
        <v>55</v>
      </c>
      <c r="T177" s="11">
        <f>SUM(Procurement_data[[#This Row],[ Unit Price (USD) ]]*Procurement_data[[#This Row],[ Quantity ]])</f>
        <v>25000</v>
      </c>
      <c r="U177" s="11">
        <f t="shared" si="2"/>
        <v>27</v>
      </c>
    </row>
    <row r="178" spans="1:21">
      <c r="A178" s="11">
        <v>177</v>
      </c>
      <c r="B178" s="25" t="s">
        <v>384</v>
      </c>
      <c r="C178" s="28" t="s">
        <v>175</v>
      </c>
      <c r="D178" s="28" t="s">
        <v>385</v>
      </c>
      <c r="E178" s="28" t="s">
        <v>133</v>
      </c>
      <c r="F178" s="25" t="s">
        <v>134</v>
      </c>
      <c r="G178" s="11">
        <v>8</v>
      </c>
      <c r="H178" s="11">
        <v>10000</v>
      </c>
      <c r="I178" s="25" t="s">
        <v>396</v>
      </c>
      <c r="J178" s="25" t="s">
        <v>397</v>
      </c>
      <c r="K178" s="11">
        <v>3322114455</v>
      </c>
      <c r="L178" s="25" t="s">
        <v>398</v>
      </c>
      <c r="M178" s="25" t="s">
        <v>29</v>
      </c>
      <c r="N178" s="27" t="s">
        <v>30</v>
      </c>
      <c r="O178" s="27" t="s">
        <v>31</v>
      </c>
      <c r="P178" s="11">
        <v>36</v>
      </c>
      <c r="Q178" s="11">
        <v>1200</v>
      </c>
      <c r="R178" s="11">
        <v>800</v>
      </c>
      <c r="S178" s="25" t="s">
        <v>32</v>
      </c>
      <c r="T178" s="11">
        <f>SUM(Procurement_data[[#This Row],[ Unit Price (USD) ]]*Procurement_data[[#This Row],[ Quantity ]])</f>
        <v>80000</v>
      </c>
      <c r="U178" s="11">
        <f t="shared" si="2"/>
        <v>26</v>
      </c>
    </row>
    <row r="179" spans="1:21">
      <c r="A179" s="11">
        <v>178</v>
      </c>
      <c r="B179" s="25" t="s">
        <v>386</v>
      </c>
      <c r="C179" s="28" t="s">
        <v>387</v>
      </c>
      <c r="D179" s="28" t="s">
        <v>388</v>
      </c>
      <c r="E179" s="28" t="s">
        <v>47</v>
      </c>
      <c r="F179" s="25" t="s">
        <v>348</v>
      </c>
      <c r="G179" s="11">
        <v>3</v>
      </c>
      <c r="H179" s="11">
        <v>50000</v>
      </c>
      <c r="I179" s="25" t="s">
        <v>240</v>
      </c>
      <c r="J179" s="25" t="s">
        <v>50</v>
      </c>
      <c r="K179" s="11">
        <v>3322114455</v>
      </c>
      <c r="L179" s="25" t="s">
        <v>241</v>
      </c>
      <c r="M179" s="25" t="s">
        <v>52</v>
      </c>
      <c r="N179" s="27" t="s">
        <v>76</v>
      </c>
      <c r="O179" s="27" t="s">
        <v>77</v>
      </c>
      <c r="P179" s="11">
        <v>36</v>
      </c>
      <c r="Q179" s="11">
        <v>1800</v>
      </c>
      <c r="R179" s="11">
        <v>1000</v>
      </c>
      <c r="S179" s="25" t="s">
        <v>55</v>
      </c>
      <c r="T179" s="11">
        <f>SUM(Procurement_data[[#This Row],[ Unit Price (USD) ]]*Procurement_data[[#This Row],[ Quantity ]])</f>
        <v>150000</v>
      </c>
      <c r="U179" s="11">
        <f t="shared" si="2"/>
        <v>23</v>
      </c>
    </row>
    <row r="180" spans="1:21">
      <c r="A180" s="11">
        <v>179</v>
      </c>
      <c r="B180" s="25" t="s">
        <v>389</v>
      </c>
      <c r="C180" s="28" t="s">
        <v>148</v>
      </c>
      <c r="D180" s="28" t="s">
        <v>149</v>
      </c>
      <c r="E180" s="28" t="s">
        <v>58</v>
      </c>
      <c r="F180" s="25" t="s">
        <v>225</v>
      </c>
      <c r="G180" s="11">
        <v>2</v>
      </c>
      <c r="H180" s="11">
        <v>8000</v>
      </c>
      <c r="I180" s="25" t="s">
        <v>226</v>
      </c>
      <c r="J180" s="25" t="s">
        <v>227</v>
      </c>
      <c r="K180" s="11">
        <v>7755332211</v>
      </c>
      <c r="L180" s="25" t="s">
        <v>228</v>
      </c>
      <c r="M180" s="25" t="s">
        <v>229</v>
      </c>
      <c r="N180" s="27" t="s">
        <v>42</v>
      </c>
      <c r="O180" s="27" t="s">
        <v>43</v>
      </c>
      <c r="P180" s="11">
        <v>24</v>
      </c>
      <c r="Q180" s="11">
        <v>1000</v>
      </c>
      <c r="R180" s="11">
        <v>500</v>
      </c>
      <c r="S180" s="25" t="s">
        <v>55</v>
      </c>
      <c r="T180" s="11">
        <f>SUM(Procurement_data[[#This Row],[ Unit Price (USD) ]]*Procurement_data[[#This Row],[ Quantity ]])</f>
        <v>16000</v>
      </c>
      <c r="U180" s="11">
        <f t="shared" si="2"/>
        <v>27</v>
      </c>
    </row>
    <row r="181" spans="1:21">
      <c r="A181" s="11">
        <v>180</v>
      </c>
      <c r="B181" s="25" t="s">
        <v>391</v>
      </c>
      <c r="C181" s="28" t="s">
        <v>157</v>
      </c>
      <c r="D181" s="28" t="s">
        <v>158</v>
      </c>
      <c r="E181" s="28" t="s">
        <v>36</v>
      </c>
      <c r="F181" s="25" t="s">
        <v>372</v>
      </c>
      <c r="G181" s="11">
        <v>6</v>
      </c>
      <c r="H181" s="11">
        <v>40000</v>
      </c>
      <c r="I181" s="25" t="s">
        <v>72</v>
      </c>
      <c r="J181" s="25" t="s">
        <v>73</v>
      </c>
      <c r="K181" s="11">
        <v>6677889900</v>
      </c>
      <c r="L181" s="25" t="s">
        <v>74</v>
      </c>
      <c r="M181" s="25" t="s">
        <v>75</v>
      </c>
      <c r="N181" s="27" t="s">
        <v>76</v>
      </c>
      <c r="O181" s="27" t="s">
        <v>77</v>
      </c>
      <c r="P181" s="11">
        <v>36</v>
      </c>
      <c r="Q181" s="11">
        <v>2000</v>
      </c>
      <c r="R181" s="11">
        <v>1200</v>
      </c>
      <c r="S181" s="25" t="s">
        <v>32</v>
      </c>
      <c r="T181" s="11">
        <f>SUM(Procurement_data[[#This Row],[ Unit Price (USD) ]]*Procurement_data[[#This Row],[ Quantity ]])</f>
        <v>240000</v>
      </c>
      <c r="U181" s="11">
        <f t="shared" si="2"/>
        <v>23</v>
      </c>
    </row>
    <row r="182" spans="1:21">
      <c r="A182" s="11">
        <v>181</v>
      </c>
      <c r="B182" s="25" t="s">
        <v>402</v>
      </c>
      <c r="C182" s="28" t="s">
        <v>131</v>
      </c>
      <c r="D182" s="28" t="s">
        <v>132</v>
      </c>
      <c r="E182" s="28" t="s">
        <v>47</v>
      </c>
      <c r="F182" s="25" t="s">
        <v>343</v>
      </c>
      <c r="G182" s="11">
        <v>5</v>
      </c>
      <c r="H182" s="11">
        <v>20000</v>
      </c>
      <c r="I182" s="25" t="s">
        <v>344</v>
      </c>
      <c r="J182" s="25" t="s">
        <v>50</v>
      </c>
      <c r="K182" s="11">
        <v>3322114455</v>
      </c>
      <c r="L182" s="25" t="s">
        <v>345</v>
      </c>
      <c r="M182" s="25" t="s">
        <v>52</v>
      </c>
      <c r="N182" s="27" t="s">
        <v>64</v>
      </c>
      <c r="O182" s="27" t="s">
        <v>65</v>
      </c>
      <c r="P182" s="11">
        <v>36</v>
      </c>
      <c r="Q182" s="11">
        <v>2500</v>
      </c>
      <c r="R182" s="11">
        <v>1500</v>
      </c>
      <c r="S182" s="25" t="s">
        <v>32</v>
      </c>
      <c r="T182" s="11">
        <f>SUM(Procurement_data[[#This Row],[ Unit Price (USD) ]]*Procurement_data[[#This Row],[ Quantity ]])</f>
        <v>100000</v>
      </c>
      <c r="U182" s="11">
        <f t="shared" si="2"/>
        <v>23</v>
      </c>
    </row>
    <row r="183" spans="1:21">
      <c r="A183" s="11">
        <v>182</v>
      </c>
      <c r="B183" s="25" t="s">
        <v>403</v>
      </c>
      <c r="C183" s="28" t="s">
        <v>243</v>
      </c>
      <c r="D183" s="28" t="s">
        <v>404</v>
      </c>
      <c r="E183" s="28" t="s">
        <v>58</v>
      </c>
      <c r="F183" s="25" t="s">
        <v>364</v>
      </c>
      <c r="G183" s="11">
        <v>3</v>
      </c>
      <c r="H183" s="11">
        <v>5000</v>
      </c>
      <c r="I183" s="25" t="s">
        <v>226</v>
      </c>
      <c r="J183" s="25" t="s">
        <v>227</v>
      </c>
      <c r="K183" s="11">
        <v>7755332211</v>
      </c>
      <c r="L183" s="25" t="s">
        <v>228</v>
      </c>
      <c r="M183" s="25" t="s">
        <v>229</v>
      </c>
      <c r="N183" s="27" t="s">
        <v>30</v>
      </c>
      <c r="O183" s="27" t="s">
        <v>31</v>
      </c>
      <c r="P183" s="11">
        <v>24</v>
      </c>
      <c r="Q183" s="11">
        <v>800</v>
      </c>
      <c r="R183" s="11">
        <v>500</v>
      </c>
      <c r="S183" s="25" t="s">
        <v>55</v>
      </c>
      <c r="T183" s="11">
        <f>SUM(Procurement_data[[#This Row],[ Unit Price (USD) ]]*Procurement_data[[#This Row],[ Quantity ]])</f>
        <v>15000</v>
      </c>
      <c r="U183" s="11">
        <f t="shared" si="2"/>
        <v>26</v>
      </c>
    </row>
    <row r="184" spans="1:21">
      <c r="A184" s="11">
        <v>183</v>
      </c>
      <c r="B184" s="25" t="s">
        <v>405</v>
      </c>
      <c r="C184" s="28" t="s">
        <v>139</v>
      </c>
      <c r="D184" s="28" t="s">
        <v>140</v>
      </c>
      <c r="E184" s="28" t="s">
        <v>36</v>
      </c>
      <c r="F184" s="25" t="s">
        <v>245</v>
      </c>
      <c r="G184" s="11">
        <v>1</v>
      </c>
      <c r="H184" s="11">
        <v>80000</v>
      </c>
      <c r="I184" s="25" t="s">
        <v>392</v>
      </c>
      <c r="J184" s="25" t="s">
        <v>61</v>
      </c>
      <c r="K184" s="11">
        <v>7755332211</v>
      </c>
      <c r="L184" s="25" t="s">
        <v>393</v>
      </c>
      <c r="M184" s="25" t="s">
        <v>86</v>
      </c>
      <c r="N184" s="27" t="s">
        <v>394</v>
      </c>
      <c r="O184" s="27" t="s">
        <v>395</v>
      </c>
      <c r="P184" s="11">
        <v>60</v>
      </c>
      <c r="Q184" s="11">
        <v>3000</v>
      </c>
      <c r="R184" s="11">
        <v>2000</v>
      </c>
      <c r="S184" s="25" t="s">
        <v>32</v>
      </c>
      <c r="T184" s="11">
        <f>SUM(Procurement_data[[#This Row],[ Unit Price (USD) ]]*Procurement_data[[#This Row],[ Quantity ]])</f>
        <v>80000</v>
      </c>
      <c r="U184" s="11">
        <f t="shared" si="2"/>
        <v>25</v>
      </c>
    </row>
    <row r="185" spans="1:21">
      <c r="A185" s="11">
        <v>184</v>
      </c>
      <c r="B185" s="25" t="s">
        <v>406</v>
      </c>
      <c r="C185" s="28" t="s">
        <v>200</v>
      </c>
      <c r="D185" s="28" t="s">
        <v>201</v>
      </c>
      <c r="E185" s="28" t="s">
        <v>133</v>
      </c>
      <c r="F185" s="25" t="s">
        <v>134</v>
      </c>
      <c r="G185" s="11">
        <v>6</v>
      </c>
      <c r="H185" s="11">
        <v>10000</v>
      </c>
      <c r="I185" s="25" t="s">
        <v>396</v>
      </c>
      <c r="J185" s="25" t="s">
        <v>397</v>
      </c>
      <c r="K185" s="11">
        <v>3322114455</v>
      </c>
      <c r="L185" s="25" t="s">
        <v>398</v>
      </c>
      <c r="M185" s="25" t="s">
        <v>29</v>
      </c>
      <c r="N185" s="27" t="s">
        <v>30</v>
      </c>
      <c r="O185" s="27" t="s">
        <v>31</v>
      </c>
      <c r="P185" s="11">
        <v>36</v>
      </c>
      <c r="Q185" s="11">
        <v>1200</v>
      </c>
      <c r="R185" s="11">
        <v>800</v>
      </c>
      <c r="S185" s="25" t="s">
        <v>32</v>
      </c>
      <c r="T185" s="11">
        <f>SUM(Procurement_data[[#This Row],[ Unit Price (USD) ]]*Procurement_data[[#This Row],[ Quantity ]])</f>
        <v>60000</v>
      </c>
      <c r="U185" s="11">
        <f t="shared" si="2"/>
        <v>26</v>
      </c>
    </row>
    <row r="186" spans="1:21">
      <c r="A186" s="11">
        <v>185</v>
      </c>
      <c r="B186" s="25" t="s">
        <v>407</v>
      </c>
      <c r="C186" s="28" t="s">
        <v>249</v>
      </c>
      <c r="D186" s="28" t="s">
        <v>250</v>
      </c>
      <c r="E186" s="28" t="s">
        <v>47</v>
      </c>
      <c r="F186" s="25" t="s">
        <v>348</v>
      </c>
      <c r="G186" s="11">
        <v>4</v>
      </c>
      <c r="H186" s="11">
        <v>50000</v>
      </c>
      <c r="I186" s="25" t="s">
        <v>240</v>
      </c>
      <c r="J186" s="25" t="s">
        <v>50</v>
      </c>
      <c r="K186" s="11">
        <v>3322114455</v>
      </c>
      <c r="L186" s="25" t="s">
        <v>241</v>
      </c>
      <c r="M186" s="25" t="s">
        <v>52</v>
      </c>
      <c r="N186" s="27" t="s">
        <v>76</v>
      </c>
      <c r="O186" s="27" t="s">
        <v>77</v>
      </c>
      <c r="P186" s="11">
        <v>36</v>
      </c>
      <c r="Q186" s="11">
        <v>1800</v>
      </c>
      <c r="R186" s="11">
        <v>1000</v>
      </c>
      <c r="S186" s="25" t="s">
        <v>55</v>
      </c>
      <c r="T186" s="11">
        <f>SUM(Procurement_data[[#This Row],[ Unit Price (USD) ]]*Procurement_data[[#This Row],[ Quantity ]])</f>
        <v>200000</v>
      </c>
      <c r="U186" s="11">
        <f t="shared" si="2"/>
        <v>23</v>
      </c>
    </row>
    <row r="187" spans="1:21">
      <c r="A187" s="11">
        <v>186</v>
      </c>
      <c r="B187" s="25" t="s">
        <v>408</v>
      </c>
      <c r="C187" s="28" t="s">
        <v>409</v>
      </c>
      <c r="D187" s="28" t="s">
        <v>410</v>
      </c>
      <c r="E187" s="28" t="s">
        <v>58</v>
      </c>
      <c r="F187" s="25" t="s">
        <v>225</v>
      </c>
      <c r="G187" s="11">
        <v>7</v>
      </c>
      <c r="H187" s="11">
        <v>8000</v>
      </c>
      <c r="I187" s="25" t="s">
        <v>226</v>
      </c>
      <c r="J187" s="25" t="s">
        <v>227</v>
      </c>
      <c r="K187" s="11">
        <v>7755332211</v>
      </c>
      <c r="L187" s="25" t="s">
        <v>228</v>
      </c>
      <c r="M187" s="25" t="s">
        <v>229</v>
      </c>
      <c r="N187" s="27" t="s">
        <v>42</v>
      </c>
      <c r="O187" s="27" t="s">
        <v>43</v>
      </c>
      <c r="P187" s="11">
        <v>24</v>
      </c>
      <c r="Q187" s="11">
        <v>1000</v>
      </c>
      <c r="R187" s="11">
        <v>500</v>
      </c>
      <c r="S187" s="25" t="s">
        <v>55</v>
      </c>
      <c r="T187" s="11">
        <f>SUM(Procurement_data[[#This Row],[ Unit Price (USD) ]]*Procurement_data[[#This Row],[ Quantity ]])</f>
        <v>56000</v>
      </c>
      <c r="U187" s="11">
        <f t="shared" si="2"/>
        <v>27</v>
      </c>
    </row>
    <row r="188" spans="1:21">
      <c r="A188" s="11">
        <v>187</v>
      </c>
      <c r="B188" s="25" t="s">
        <v>411</v>
      </c>
      <c r="C188" s="28" t="s">
        <v>260</v>
      </c>
      <c r="D188" s="28" t="s">
        <v>261</v>
      </c>
      <c r="E188" s="28" t="s">
        <v>36</v>
      </c>
      <c r="F188" s="25" t="s">
        <v>37</v>
      </c>
      <c r="G188" s="11">
        <v>2</v>
      </c>
      <c r="H188" s="11">
        <v>200000</v>
      </c>
      <c r="I188" s="25" t="s">
        <v>399</v>
      </c>
      <c r="J188" s="25" t="s">
        <v>27</v>
      </c>
      <c r="K188" s="11">
        <v>1122334455</v>
      </c>
      <c r="L188" s="25" t="s">
        <v>400</v>
      </c>
      <c r="M188" s="25" t="s">
        <v>29</v>
      </c>
      <c r="N188" s="27" t="s">
        <v>236</v>
      </c>
      <c r="O188" s="27" t="s">
        <v>401</v>
      </c>
      <c r="P188" s="11">
        <v>60</v>
      </c>
      <c r="Q188" s="11">
        <v>5000</v>
      </c>
      <c r="R188" s="11">
        <v>3000</v>
      </c>
      <c r="S188" s="25" t="s">
        <v>32</v>
      </c>
      <c r="T188" s="11">
        <f>SUM(Procurement_data[[#This Row],[ Unit Price (USD) ]]*Procurement_data[[#This Row],[ Quantity ]])</f>
        <v>400000</v>
      </c>
      <c r="U188" s="11">
        <f t="shared" si="2"/>
        <v>29</v>
      </c>
    </row>
    <row r="189" spans="1:21">
      <c r="A189" s="11">
        <v>188</v>
      </c>
      <c r="B189" s="25" t="s">
        <v>412</v>
      </c>
      <c r="C189" s="28" t="s">
        <v>243</v>
      </c>
      <c r="D189" s="28" t="s">
        <v>244</v>
      </c>
      <c r="E189" s="28" t="s">
        <v>58</v>
      </c>
      <c r="F189" s="25" t="s">
        <v>304</v>
      </c>
      <c r="G189" s="11">
        <v>5</v>
      </c>
      <c r="H189" s="11">
        <v>5000</v>
      </c>
      <c r="I189" s="25" t="s">
        <v>226</v>
      </c>
      <c r="J189" s="25" t="s">
        <v>227</v>
      </c>
      <c r="K189" s="11">
        <v>7755332211</v>
      </c>
      <c r="L189" s="25" t="s">
        <v>228</v>
      </c>
      <c r="M189" s="25" t="s">
        <v>229</v>
      </c>
      <c r="N189" s="27" t="s">
        <v>97</v>
      </c>
      <c r="O189" s="27" t="s">
        <v>98</v>
      </c>
      <c r="P189" s="11">
        <v>24</v>
      </c>
      <c r="Q189" s="11">
        <v>800</v>
      </c>
      <c r="R189" s="11">
        <v>500</v>
      </c>
      <c r="S189" s="25" t="s">
        <v>55</v>
      </c>
      <c r="T189" s="11">
        <f>SUM(Procurement_data[[#This Row],[ Unit Price (USD) ]]*Procurement_data[[#This Row],[ Quantity ]])</f>
        <v>25000</v>
      </c>
      <c r="U189" s="11">
        <f t="shared" si="2"/>
        <v>26</v>
      </c>
    </row>
    <row r="190" spans="1:21">
      <c r="A190" s="11">
        <v>189</v>
      </c>
      <c r="B190" s="25" t="s">
        <v>413</v>
      </c>
      <c r="C190" s="28" t="s">
        <v>306</v>
      </c>
      <c r="D190" s="28" t="s">
        <v>414</v>
      </c>
      <c r="E190" s="28" t="s">
        <v>133</v>
      </c>
      <c r="F190" s="25" t="s">
        <v>59</v>
      </c>
      <c r="G190" s="11">
        <v>3</v>
      </c>
      <c r="H190" s="11">
        <v>40000</v>
      </c>
      <c r="I190" s="25" t="s">
        <v>272</v>
      </c>
      <c r="J190" s="25" t="s">
        <v>61</v>
      </c>
      <c r="K190" s="11">
        <v>7755332211</v>
      </c>
      <c r="L190" s="25" t="s">
        <v>273</v>
      </c>
      <c r="M190" s="25" t="s">
        <v>63</v>
      </c>
      <c r="N190" s="27" t="s">
        <v>217</v>
      </c>
      <c r="O190" s="27" t="s">
        <v>210</v>
      </c>
      <c r="P190" s="11">
        <v>48</v>
      </c>
      <c r="Q190" s="11">
        <v>2000</v>
      </c>
      <c r="R190" s="11">
        <v>1200</v>
      </c>
      <c r="S190" s="25" t="s">
        <v>32</v>
      </c>
      <c r="T190" s="11">
        <f>SUM(Procurement_data[[#This Row],[ Unit Price (USD) ]]*Procurement_data[[#This Row],[ Quantity ]])</f>
        <v>120000</v>
      </c>
      <c r="U190" s="11">
        <f t="shared" si="2"/>
        <v>26</v>
      </c>
    </row>
    <row r="191" spans="1:21">
      <c r="A191" s="11">
        <v>190</v>
      </c>
      <c r="B191" s="25" t="s">
        <v>415</v>
      </c>
      <c r="C191" s="28" t="s">
        <v>68</v>
      </c>
      <c r="D191" s="28" t="s">
        <v>69</v>
      </c>
      <c r="E191" s="28" t="s">
        <v>58</v>
      </c>
      <c r="F191" s="25" t="s">
        <v>416</v>
      </c>
      <c r="G191" s="11">
        <v>6</v>
      </c>
      <c r="H191" s="11">
        <v>8000</v>
      </c>
      <c r="I191" s="25" t="s">
        <v>226</v>
      </c>
      <c r="J191" s="25" t="s">
        <v>227</v>
      </c>
      <c r="K191" s="11">
        <v>7755332211</v>
      </c>
      <c r="L191" s="25" t="s">
        <v>228</v>
      </c>
      <c r="M191" s="25" t="s">
        <v>229</v>
      </c>
      <c r="N191" s="27" t="s">
        <v>42</v>
      </c>
      <c r="O191" s="27" t="s">
        <v>43</v>
      </c>
      <c r="P191" s="11">
        <v>24</v>
      </c>
      <c r="Q191" s="11">
        <v>1000</v>
      </c>
      <c r="R191" s="11">
        <v>500</v>
      </c>
      <c r="S191" s="25" t="s">
        <v>55</v>
      </c>
      <c r="T191" s="11">
        <f>SUM(Procurement_data[[#This Row],[ Unit Price (USD) ]]*Procurement_data[[#This Row],[ Quantity ]])</f>
        <v>48000</v>
      </c>
      <c r="U191" s="11">
        <f t="shared" si="2"/>
        <v>27</v>
      </c>
    </row>
    <row r="192" spans="1:21">
      <c r="A192" s="11">
        <v>191</v>
      </c>
      <c r="B192" s="25" t="s">
        <v>417</v>
      </c>
      <c r="C192" s="28" t="s">
        <v>187</v>
      </c>
      <c r="D192" s="28" t="s">
        <v>188</v>
      </c>
      <c r="E192" s="28" t="s">
        <v>36</v>
      </c>
      <c r="F192" s="25" t="s">
        <v>103</v>
      </c>
      <c r="G192" s="11">
        <v>4</v>
      </c>
      <c r="H192" s="11">
        <v>30000</v>
      </c>
      <c r="I192" s="25" t="s">
        <v>104</v>
      </c>
      <c r="J192" s="25" t="s">
        <v>105</v>
      </c>
      <c r="K192" s="11">
        <v>6677889900</v>
      </c>
      <c r="L192" s="25" t="s">
        <v>106</v>
      </c>
      <c r="M192" s="25" t="s">
        <v>107</v>
      </c>
      <c r="N192" s="27" t="s">
        <v>418</v>
      </c>
      <c r="O192" s="27" t="s">
        <v>76</v>
      </c>
      <c r="P192" s="11">
        <v>36</v>
      </c>
      <c r="Q192" s="11">
        <v>1500</v>
      </c>
      <c r="R192" s="11">
        <v>800</v>
      </c>
      <c r="S192" s="25" t="s">
        <v>66</v>
      </c>
      <c r="T192" s="11">
        <f>SUM(Procurement_data[[#This Row],[ Unit Price (USD) ]]*Procurement_data[[#This Row],[ Quantity ]])</f>
        <v>120000</v>
      </c>
      <c r="U192" s="11">
        <f t="shared" si="2"/>
        <v>24</v>
      </c>
    </row>
    <row r="193" spans="1:21">
      <c r="A193" s="11">
        <v>192</v>
      </c>
      <c r="B193" s="25" t="s">
        <v>419</v>
      </c>
      <c r="C193" s="28" t="s">
        <v>45</v>
      </c>
      <c r="D193" s="28" t="s">
        <v>46</v>
      </c>
      <c r="E193" s="28" t="s">
        <v>133</v>
      </c>
      <c r="F193" s="25" t="s">
        <v>134</v>
      </c>
      <c r="G193" s="11">
        <v>7</v>
      </c>
      <c r="H193" s="11">
        <v>10000</v>
      </c>
      <c r="I193" s="25" t="s">
        <v>396</v>
      </c>
      <c r="J193" s="25" t="s">
        <v>397</v>
      </c>
      <c r="K193" s="11">
        <v>3322114455</v>
      </c>
      <c r="L193" s="25" t="s">
        <v>398</v>
      </c>
      <c r="M193" s="25" t="s">
        <v>29</v>
      </c>
      <c r="N193" s="27" t="s">
        <v>108</v>
      </c>
      <c r="O193" s="27" t="s">
        <v>109</v>
      </c>
      <c r="P193" s="11">
        <v>36</v>
      </c>
      <c r="Q193" s="11">
        <v>1200</v>
      </c>
      <c r="R193" s="11">
        <v>800</v>
      </c>
      <c r="S193" s="25" t="s">
        <v>32</v>
      </c>
      <c r="T193" s="11">
        <f>SUM(Procurement_data[[#This Row],[ Unit Price (USD) ]]*Procurement_data[[#This Row],[ Quantity ]])</f>
        <v>70000</v>
      </c>
      <c r="U193" s="11">
        <f t="shared" si="2"/>
        <v>26</v>
      </c>
    </row>
    <row r="194" spans="1:21">
      <c r="A194" s="11">
        <v>193</v>
      </c>
      <c r="B194" s="25" t="s">
        <v>420</v>
      </c>
      <c r="C194" s="28" t="s">
        <v>193</v>
      </c>
      <c r="D194" s="28" t="s">
        <v>194</v>
      </c>
      <c r="E194" s="28" t="s">
        <v>58</v>
      </c>
      <c r="F194" s="25" t="s">
        <v>364</v>
      </c>
      <c r="G194" s="11">
        <v>2</v>
      </c>
      <c r="H194" s="11">
        <v>5000</v>
      </c>
      <c r="I194" s="25" t="s">
        <v>226</v>
      </c>
      <c r="J194" s="25" t="s">
        <v>227</v>
      </c>
      <c r="K194" s="11">
        <v>7755332211</v>
      </c>
      <c r="L194" s="25" t="s">
        <v>228</v>
      </c>
      <c r="M194" s="25" t="s">
        <v>229</v>
      </c>
      <c r="N194" s="27" t="s">
        <v>210</v>
      </c>
      <c r="O194" s="27" t="s">
        <v>206</v>
      </c>
      <c r="P194" s="11">
        <v>24</v>
      </c>
      <c r="Q194" s="11">
        <v>800</v>
      </c>
      <c r="R194" s="11">
        <v>500</v>
      </c>
      <c r="S194" s="25" t="s">
        <v>55</v>
      </c>
      <c r="T194" s="11">
        <f>SUM(Procurement_data[[#This Row],[ Unit Price (USD) ]]*Procurement_data[[#This Row],[ Quantity ]])</f>
        <v>10000</v>
      </c>
      <c r="U194" s="11">
        <f t="shared" ref="U194:U257" si="3">O194-N194</f>
        <v>24</v>
      </c>
    </row>
    <row r="195" spans="1:21">
      <c r="A195" s="11">
        <v>194</v>
      </c>
      <c r="B195" s="25" t="s">
        <v>421</v>
      </c>
      <c r="C195" s="28" t="s">
        <v>131</v>
      </c>
      <c r="D195" s="28" t="s">
        <v>422</v>
      </c>
      <c r="E195" s="28" t="s">
        <v>36</v>
      </c>
      <c r="F195" s="25" t="s">
        <v>245</v>
      </c>
      <c r="G195" s="11">
        <v>5</v>
      </c>
      <c r="H195" s="11">
        <v>80000</v>
      </c>
      <c r="I195" s="25" t="s">
        <v>392</v>
      </c>
      <c r="J195" s="25" t="s">
        <v>61</v>
      </c>
      <c r="K195" s="11">
        <v>7755332211</v>
      </c>
      <c r="L195" s="25" t="s">
        <v>393</v>
      </c>
      <c r="M195" s="25" t="s">
        <v>86</v>
      </c>
      <c r="N195" s="27" t="s">
        <v>76</v>
      </c>
      <c r="O195" s="27" t="s">
        <v>77</v>
      </c>
      <c r="P195" s="11">
        <v>60</v>
      </c>
      <c r="Q195" s="11">
        <v>3000</v>
      </c>
      <c r="R195" s="11">
        <v>2000</v>
      </c>
      <c r="S195" s="25" t="s">
        <v>32</v>
      </c>
      <c r="T195" s="11">
        <f>SUM(Procurement_data[[#This Row],[ Unit Price (USD) ]]*Procurement_data[[#This Row],[ Quantity ]])</f>
        <v>400000</v>
      </c>
      <c r="U195" s="11">
        <f t="shared" si="3"/>
        <v>23</v>
      </c>
    </row>
    <row r="196" spans="1:21">
      <c r="A196" s="11">
        <v>195</v>
      </c>
      <c r="B196" s="25" t="s">
        <v>423</v>
      </c>
      <c r="C196" s="28" t="s">
        <v>424</v>
      </c>
      <c r="D196" s="28" t="s">
        <v>425</v>
      </c>
      <c r="E196" s="28" t="s">
        <v>47</v>
      </c>
      <c r="F196" s="25" t="s">
        <v>348</v>
      </c>
      <c r="G196" s="11">
        <v>3</v>
      </c>
      <c r="H196" s="11">
        <v>50000</v>
      </c>
      <c r="I196" s="25" t="s">
        <v>240</v>
      </c>
      <c r="J196" s="25" t="s">
        <v>50</v>
      </c>
      <c r="K196" s="11">
        <v>3322114455</v>
      </c>
      <c r="L196" s="25" t="s">
        <v>241</v>
      </c>
      <c r="M196" s="25" t="s">
        <v>52</v>
      </c>
      <c r="N196" s="27" t="s">
        <v>206</v>
      </c>
      <c r="O196" s="27" t="s">
        <v>128</v>
      </c>
      <c r="P196" s="11">
        <v>36</v>
      </c>
      <c r="Q196" s="11">
        <v>1800</v>
      </c>
      <c r="R196" s="11">
        <v>1000</v>
      </c>
      <c r="S196" s="25" t="s">
        <v>55</v>
      </c>
      <c r="T196" s="11">
        <f>SUM(Procurement_data[[#This Row],[ Unit Price (USD) ]]*Procurement_data[[#This Row],[ Quantity ]])</f>
        <v>150000</v>
      </c>
      <c r="U196" s="11">
        <f t="shared" si="3"/>
        <v>26</v>
      </c>
    </row>
    <row r="197" spans="1:21">
      <c r="A197" s="11">
        <v>196</v>
      </c>
      <c r="B197" s="25" t="s">
        <v>426</v>
      </c>
      <c r="C197" s="28" t="s">
        <v>179</v>
      </c>
      <c r="D197" s="28" t="s">
        <v>180</v>
      </c>
      <c r="E197" s="28" t="s">
        <v>58</v>
      </c>
      <c r="F197" s="25" t="s">
        <v>225</v>
      </c>
      <c r="G197" s="11">
        <v>6</v>
      </c>
      <c r="H197" s="11">
        <v>8000</v>
      </c>
      <c r="I197" s="25" t="s">
        <v>226</v>
      </c>
      <c r="J197" s="25" t="s">
        <v>227</v>
      </c>
      <c r="K197" s="11">
        <v>7755332211</v>
      </c>
      <c r="L197" s="25" t="s">
        <v>228</v>
      </c>
      <c r="M197" s="25" t="s">
        <v>229</v>
      </c>
      <c r="N197" s="27" t="s">
        <v>42</v>
      </c>
      <c r="O197" s="27" t="s">
        <v>43</v>
      </c>
      <c r="P197" s="11">
        <v>24</v>
      </c>
      <c r="Q197" s="11">
        <v>1000</v>
      </c>
      <c r="R197" s="11">
        <v>500</v>
      </c>
      <c r="S197" s="25" t="s">
        <v>55</v>
      </c>
      <c r="T197" s="11">
        <f>SUM(Procurement_data[[#This Row],[ Unit Price (USD) ]]*Procurement_data[[#This Row],[ Quantity ]])</f>
        <v>48000</v>
      </c>
      <c r="U197" s="11">
        <f t="shared" si="3"/>
        <v>27</v>
      </c>
    </row>
    <row r="198" spans="1:21">
      <c r="A198" s="11">
        <v>197</v>
      </c>
      <c r="B198" s="25" t="s">
        <v>427</v>
      </c>
      <c r="C198" s="28" t="s">
        <v>121</v>
      </c>
      <c r="D198" s="28" t="s">
        <v>122</v>
      </c>
      <c r="E198" s="28" t="s">
        <v>133</v>
      </c>
      <c r="F198" s="25" t="s">
        <v>59</v>
      </c>
      <c r="G198" s="11">
        <v>2</v>
      </c>
      <c r="H198" s="11">
        <v>40000</v>
      </c>
      <c r="I198" s="25" t="s">
        <v>272</v>
      </c>
      <c r="J198" s="25" t="s">
        <v>61</v>
      </c>
      <c r="K198" s="11">
        <v>7755332211</v>
      </c>
      <c r="L198" s="25" t="s">
        <v>273</v>
      </c>
      <c r="M198" s="25" t="s">
        <v>63</v>
      </c>
      <c r="N198" s="27" t="s">
        <v>217</v>
      </c>
      <c r="O198" s="27" t="s">
        <v>210</v>
      </c>
      <c r="P198" s="11">
        <v>48</v>
      </c>
      <c r="Q198" s="11">
        <v>2000</v>
      </c>
      <c r="R198" s="11">
        <v>1200</v>
      </c>
      <c r="S198" s="25" t="s">
        <v>32</v>
      </c>
      <c r="T198" s="11">
        <f>SUM(Procurement_data[[#This Row],[ Unit Price (USD) ]]*Procurement_data[[#This Row],[ Quantity ]])</f>
        <v>80000</v>
      </c>
      <c r="U198" s="11">
        <f t="shared" si="3"/>
        <v>26</v>
      </c>
    </row>
    <row r="199" spans="1:21">
      <c r="A199" s="11">
        <v>198</v>
      </c>
      <c r="B199" s="25" t="s">
        <v>428</v>
      </c>
      <c r="C199" s="28" t="s">
        <v>68</v>
      </c>
      <c r="D199" s="28" t="s">
        <v>429</v>
      </c>
      <c r="E199" s="28" t="s">
        <v>36</v>
      </c>
      <c r="F199" s="25" t="s">
        <v>37</v>
      </c>
      <c r="G199" s="11">
        <v>1</v>
      </c>
      <c r="H199" s="11">
        <v>200000</v>
      </c>
      <c r="I199" s="25" t="s">
        <v>399</v>
      </c>
      <c r="J199" s="25" t="s">
        <v>27</v>
      </c>
      <c r="K199" s="11">
        <v>1122334455</v>
      </c>
      <c r="L199" s="25" t="s">
        <v>400</v>
      </c>
      <c r="M199" s="25" t="s">
        <v>29</v>
      </c>
      <c r="N199" s="27" t="s">
        <v>236</v>
      </c>
      <c r="O199" s="27" t="s">
        <v>401</v>
      </c>
      <c r="P199" s="11">
        <v>60</v>
      </c>
      <c r="Q199" s="11">
        <v>5000</v>
      </c>
      <c r="R199" s="11">
        <v>3000</v>
      </c>
      <c r="S199" s="25" t="s">
        <v>32</v>
      </c>
      <c r="T199" s="11">
        <f>SUM(Procurement_data[[#This Row],[ Unit Price (USD) ]]*Procurement_data[[#This Row],[ Quantity ]])</f>
        <v>200000</v>
      </c>
      <c r="U199" s="11">
        <f t="shared" si="3"/>
        <v>29</v>
      </c>
    </row>
    <row r="200" spans="1:21">
      <c r="A200" s="11">
        <v>199</v>
      </c>
      <c r="B200" s="25" t="s">
        <v>430</v>
      </c>
      <c r="C200" s="28" t="s">
        <v>212</v>
      </c>
      <c r="D200" s="28" t="s">
        <v>213</v>
      </c>
      <c r="E200" s="28" t="s">
        <v>58</v>
      </c>
      <c r="F200" s="25" t="s">
        <v>304</v>
      </c>
      <c r="G200" s="11">
        <v>4</v>
      </c>
      <c r="H200" s="11">
        <v>5000</v>
      </c>
      <c r="I200" s="25" t="s">
        <v>226</v>
      </c>
      <c r="J200" s="25" t="s">
        <v>227</v>
      </c>
      <c r="K200" s="11">
        <v>7755332211</v>
      </c>
      <c r="L200" s="25" t="s">
        <v>228</v>
      </c>
      <c r="M200" s="25" t="s">
        <v>229</v>
      </c>
      <c r="N200" s="27" t="s">
        <v>97</v>
      </c>
      <c r="O200" s="27" t="s">
        <v>98</v>
      </c>
      <c r="P200" s="11">
        <v>24</v>
      </c>
      <c r="Q200" s="11">
        <v>800</v>
      </c>
      <c r="R200" s="11">
        <v>500</v>
      </c>
      <c r="S200" s="25" t="s">
        <v>55</v>
      </c>
      <c r="T200" s="11">
        <f>SUM(Procurement_data[[#This Row],[ Unit Price (USD) ]]*Procurement_data[[#This Row],[ Quantity ]])</f>
        <v>20000</v>
      </c>
      <c r="U200" s="11">
        <f t="shared" si="3"/>
        <v>26</v>
      </c>
    </row>
    <row r="201" spans="1:21">
      <c r="A201" s="11">
        <v>200</v>
      </c>
      <c r="B201" s="25" t="s">
        <v>431</v>
      </c>
      <c r="C201" s="28" t="s">
        <v>275</v>
      </c>
      <c r="D201" s="28" t="s">
        <v>276</v>
      </c>
      <c r="E201" s="28" t="s">
        <v>133</v>
      </c>
      <c r="F201" s="25" t="s">
        <v>134</v>
      </c>
      <c r="G201" s="11">
        <v>8</v>
      </c>
      <c r="H201" s="11">
        <v>10000</v>
      </c>
      <c r="I201" s="25" t="s">
        <v>396</v>
      </c>
      <c r="J201" s="25" t="s">
        <v>397</v>
      </c>
      <c r="K201" s="11">
        <v>3322114455</v>
      </c>
      <c r="L201" s="25" t="s">
        <v>398</v>
      </c>
      <c r="M201" s="25" t="s">
        <v>29</v>
      </c>
      <c r="N201" s="27" t="s">
        <v>30</v>
      </c>
      <c r="O201" s="27" t="s">
        <v>31</v>
      </c>
      <c r="P201" s="11">
        <v>36</v>
      </c>
      <c r="Q201" s="11">
        <v>1200</v>
      </c>
      <c r="R201" s="11">
        <v>800</v>
      </c>
      <c r="S201" s="25" t="s">
        <v>32</v>
      </c>
      <c r="T201" s="11">
        <f>SUM(Procurement_data[[#This Row],[ Unit Price (USD) ]]*Procurement_data[[#This Row],[ Quantity ]])</f>
        <v>80000</v>
      </c>
      <c r="U201" s="11">
        <f t="shared" si="3"/>
        <v>26</v>
      </c>
    </row>
    <row r="202" spans="1:21">
      <c r="A202" s="11">
        <v>201</v>
      </c>
      <c r="B202" s="25" t="s">
        <v>386</v>
      </c>
      <c r="C202" s="28" t="s">
        <v>387</v>
      </c>
      <c r="D202" s="28" t="s">
        <v>388</v>
      </c>
      <c r="E202" s="28" t="s">
        <v>36</v>
      </c>
      <c r="F202" s="25" t="s">
        <v>103</v>
      </c>
      <c r="G202" s="11">
        <v>6</v>
      </c>
      <c r="H202" s="11">
        <v>30000</v>
      </c>
      <c r="I202" s="25" t="s">
        <v>104</v>
      </c>
      <c r="J202" s="25" t="s">
        <v>105</v>
      </c>
      <c r="K202" s="11">
        <v>6677889900</v>
      </c>
      <c r="L202" s="25" t="s">
        <v>106</v>
      </c>
      <c r="M202" s="25" t="s">
        <v>107</v>
      </c>
      <c r="N202" s="27" t="s">
        <v>97</v>
      </c>
      <c r="O202" s="27" t="s">
        <v>98</v>
      </c>
      <c r="P202" s="11">
        <v>36</v>
      </c>
      <c r="Q202" s="11">
        <v>1500</v>
      </c>
      <c r="R202" s="11">
        <v>800</v>
      </c>
      <c r="S202" s="25" t="s">
        <v>66</v>
      </c>
      <c r="T202" s="11">
        <f>SUM(Procurement_data[[#This Row],[ Unit Price (USD) ]]*Procurement_data[[#This Row],[ Quantity ]])</f>
        <v>180000</v>
      </c>
      <c r="U202" s="11">
        <f t="shared" si="3"/>
        <v>26</v>
      </c>
    </row>
    <row r="203" spans="1:21">
      <c r="A203" s="11">
        <v>202</v>
      </c>
      <c r="B203" s="25" t="s">
        <v>432</v>
      </c>
      <c r="C203" s="28" t="s">
        <v>100</v>
      </c>
      <c r="D203" s="28" t="s">
        <v>101</v>
      </c>
      <c r="E203" s="28" t="s">
        <v>58</v>
      </c>
      <c r="F203" s="25" t="s">
        <v>225</v>
      </c>
      <c r="G203" s="11">
        <v>3</v>
      </c>
      <c r="H203" s="11">
        <v>8000</v>
      </c>
      <c r="I203" s="25" t="s">
        <v>226</v>
      </c>
      <c r="J203" s="25" t="s">
        <v>227</v>
      </c>
      <c r="K203" s="11">
        <v>7755332211</v>
      </c>
      <c r="L203" s="25" t="s">
        <v>228</v>
      </c>
      <c r="M203" s="25" t="s">
        <v>229</v>
      </c>
      <c r="N203" s="27" t="s">
        <v>42</v>
      </c>
      <c r="O203" s="27" t="s">
        <v>43</v>
      </c>
      <c r="P203" s="11">
        <v>24</v>
      </c>
      <c r="Q203" s="11">
        <v>1000</v>
      </c>
      <c r="R203" s="11">
        <v>500</v>
      </c>
      <c r="S203" s="25" t="s">
        <v>55</v>
      </c>
      <c r="T203" s="11">
        <f>SUM(Procurement_data[[#This Row],[ Unit Price (USD) ]]*Procurement_data[[#This Row],[ Quantity ]])</f>
        <v>24000</v>
      </c>
      <c r="U203" s="11">
        <f t="shared" si="3"/>
        <v>27</v>
      </c>
    </row>
    <row r="204" spans="1:21">
      <c r="A204" s="11">
        <v>203</v>
      </c>
      <c r="B204" s="25" t="s">
        <v>433</v>
      </c>
      <c r="C204" s="28" t="s">
        <v>434</v>
      </c>
      <c r="D204" s="28" t="s">
        <v>435</v>
      </c>
      <c r="E204" s="28" t="s">
        <v>47</v>
      </c>
      <c r="F204" s="25" t="s">
        <v>378</v>
      </c>
      <c r="G204" s="11">
        <v>4</v>
      </c>
      <c r="H204" s="11">
        <v>60000</v>
      </c>
      <c r="I204" s="25" t="s">
        <v>379</v>
      </c>
      <c r="J204" s="25" t="s">
        <v>162</v>
      </c>
      <c r="K204" s="11">
        <v>3322114455</v>
      </c>
      <c r="L204" s="25" t="s">
        <v>380</v>
      </c>
      <c r="M204" s="25" t="s">
        <v>164</v>
      </c>
      <c r="N204" s="27" t="s">
        <v>31</v>
      </c>
      <c r="O204" s="27" t="s">
        <v>87</v>
      </c>
      <c r="P204" s="11">
        <v>48</v>
      </c>
      <c r="Q204" s="11">
        <v>2500</v>
      </c>
      <c r="R204" s="11">
        <v>1500</v>
      </c>
      <c r="S204" s="25" t="s">
        <v>32</v>
      </c>
      <c r="T204" s="11">
        <f>SUM(Procurement_data[[#This Row],[ Unit Price (USD) ]]*Procurement_data[[#This Row],[ Quantity ]])</f>
        <v>240000</v>
      </c>
      <c r="U204" s="11">
        <f t="shared" si="3"/>
        <v>25</v>
      </c>
    </row>
    <row r="205" spans="1:21">
      <c r="A205" s="11">
        <v>204</v>
      </c>
      <c r="B205" s="25" t="s">
        <v>436</v>
      </c>
      <c r="C205" s="28" t="s">
        <v>166</v>
      </c>
      <c r="D205" s="28" t="s">
        <v>167</v>
      </c>
      <c r="E205" s="28" t="s">
        <v>133</v>
      </c>
      <c r="F205" s="25" t="s">
        <v>134</v>
      </c>
      <c r="G205" s="11">
        <v>5</v>
      </c>
      <c r="H205" s="11">
        <v>10000</v>
      </c>
      <c r="I205" s="25" t="s">
        <v>396</v>
      </c>
      <c r="J205" s="25" t="s">
        <v>397</v>
      </c>
      <c r="K205" s="11">
        <v>3322114455</v>
      </c>
      <c r="L205" s="25" t="s">
        <v>398</v>
      </c>
      <c r="M205" s="25" t="s">
        <v>29</v>
      </c>
      <c r="N205" s="27" t="s">
        <v>30</v>
      </c>
      <c r="O205" s="27" t="s">
        <v>31</v>
      </c>
      <c r="P205" s="11">
        <v>36</v>
      </c>
      <c r="Q205" s="11">
        <v>1200</v>
      </c>
      <c r="R205" s="11">
        <v>800</v>
      </c>
      <c r="S205" s="25" t="s">
        <v>32</v>
      </c>
      <c r="T205" s="11">
        <f>SUM(Procurement_data[[#This Row],[ Unit Price (USD) ]]*Procurement_data[[#This Row],[ Quantity ]])</f>
        <v>50000</v>
      </c>
      <c r="U205" s="11">
        <f t="shared" si="3"/>
        <v>26</v>
      </c>
    </row>
    <row r="206" spans="1:21">
      <c r="A206" s="11">
        <v>205</v>
      </c>
      <c r="B206" s="25" t="s">
        <v>437</v>
      </c>
      <c r="C206" s="28" t="s">
        <v>220</v>
      </c>
      <c r="D206" s="28" t="s">
        <v>221</v>
      </c>
      <c r="E206" s="28" t="s">
        <v>47</v>
      </c>
      <c r="F206" s="25" t="s">
        <v>348</v>
      </c>
      <c r="G206" s="11">
        <v>2</v>
      </c>
      <c r="H206" s="11">
        <v>50000</v>
      </c>
      <c r="I206" s="25" t="s">
        <v>240</v>
      </c>
      <c r="J206" s="25" t="s">
        <v>50</v>
      </c>
      <c r="K206" s="11">
        <v>3322114455</v>
      </c>
      <c r="L206" s="25" t="s">
        <v>241</v>
      </c>
      <c r="M206" s="25" t="s">
        <v>52</v>
      </c>
      <c r="N206" s="27" t="s">
        <v>76</v>
      </c>
      <c r="O206" s="27" t="s">
        <v>77</v>
      </c>
      <c r="P206" s="11">
        <v>36</v>
      </c>
      <c r="Q206" s="11">
        <v>1800</v>
      </c>
      <c r="R206" s="11">
        <v>1000</v>
      </c>
      <c r="S206" s="25" t="s">
        <v>55</v>
      </c>
      <c r="T206" s="11">
        <f>SUM(Procurement_data[[#This Row],[ Unit Price (USD) ]]*Procurement_data[[#This Row],[ Quantity ]])</f>
        <v>100000</v>
      </c>
      <c r="U206" s="11">
        <f t="shared" si="3"/>
        <v>23</v>
      </c>
    </row>
    <row r="207" spans="1:21">
      <c r="A207" s="11">
        <v>206</v>
      </c>
      <c r="B207" s="25" t="s">
        <v>438</v>
      </c>
      <c r="C207" s="28" t="s">
        <v>439</v>
      </c>
      <c r="D207" s="28" t="s">
        <v>440</v>
      </c>
      <c r="E207" s="28" t="s">
        <v>36</v>
      </c>
      <c r="F207" s="25" t="s">
        <v>245</v>
      </c>
      <c r="G207" s="11">
        <v>8</v>
      </c>
      <c r="H207" s="11">
        <v>80000</v>
      </c>
      <c r="I207" s="25" t="s">
        <v>392</v>
      </c>
      <c r="J207" s="25" t="s">
        <v>61</v>
      </c>
      <c r="K207" s="11">
        <v>7755332211</v>
      </c>
      <c r="L207" s="25" t="s">
        <v>393</v>
      </c>
      <c r="M207" s="25" t="s">
        <v>86</v>
      </c>
      <c r="N207" s="27" t="s">
        <v>394</v>
      </c>
      <c r="O207" s="27" t="s">
        <v>395</v>
      </c>
      <c r="P207" s="11">
        <v>60</v>
      </c>
      <c r="Q207" s="11">
        <v>3000</v>
      </c>
      <c r="R207" s="11">
        <v>2000</v>
      </c>
      <c r="S207" s="25" t="s">
        <v>32</v>
      </c>
      <c r="T207" s="11">
        <f>SUM(Procurement_data[[#This Row],[ Unit Price (USD) ]]*Procurement_data[[#This Row],[ Quantity ]])</f>
        <v>640000</v>
      </c>
      <c r="U207" s="11">
        <f t="shared" si="3"/>
        <v>25</v>
      </c>
    </row>
    <row r="208" spans="1:21">
      <c r="A208" s="11">
        <v>207</v>
      </c>
      <c r="B208" s="25" t="s">
        <v>412</v>
      </c>
      <c r="C208" s="28" t="s">
        <v>243</v>
      </c>
      <c r="D208" s="28" t="s">
        <v>244</v>
      </c>
      <c r="E208" s="28" t="s">
        <v>58</v>
      </c>
      <c r="F208" s="25" t="s">
        <v>364</v>
      </c>
      <c r="G208" s="11">
        <v>3</v>
      </c>
      <c r="H208" s="11">
        <v>5000</v>
      </c>
      <c r="I208" s="25" t="s">
        <v>226</v>
      </c>
      <c r="J208" s="25" t="s">
        <v>227</v>
      </c>
      <c r="K208" s="11">
        <v>7755332211</v>
      </c>
      <c r="L208" s="25" t="s">
        <v>228</v>
      </c>
      <c r="M208" s="25" t="s">
        <v>229</v>
      </c>
      <c r="N208" s="27" t="s">
        <v>210</v>
      </c>
      <c r="O208" s="27" t="s">
        <v>206</v>
      </c>
      <c r="P208" s="11">
        <v>24</v>
      </c>
      <c r="Q208" s="11">
        <v>800</v>
      </c>
      <c r="R208" s="11">
        <v>500</v>
      </c>
      <c r="S208" s="25" t="s">
        <v>55</v>
      </c>
      <c r="T208" s="11">
        <f>SUM(Procurement_data[[#This Row],[ Unit Price (USD) ]]*Procurement_data[[#This Row],[ Quantity ]])</f>
        <v>15000</v>
      </c>
      <c r="U208" s="11">
        <f t="shared" si="3"/>
        <v>24</v>
      </c>
    </row>
    <row r="209" spans="1:21">
      <c r="A209" s="11">
        <v>208</v>
      </c>
      <c r="B209" s="25" t="s">
        <v>423</v>
      </c>
      <c r="C209" s="28" t="s">
        <v>424</v>
      </c>
      <c r="D209" s="28" t="s">
        <v>425</v>
      </c>
      <c r="E209" s="28" t="s">
        <v>36</v>
      </c>
      <c r="F209" s="25" t="s">
        <v>103</v>
      </c>
      <c r="G209" s="11">
        <v>6</v>
      </c>
      <c r="H209" s="11">
        <v>30000</v>
      </c>
      <c r="I209" s="25" t="s">
        <v>104</v>
      </c>
      <c r="J209" s="25" t="s">
        <v>105</v>
      </c>
      <c r="K209" s="11">
        <v>6677889900</v>
      </c>
      <c r="L209" s="25" t="s">
        <v>106</v>
      </c>
      <c r="M209" s="25" t="s">
        <v>107</v>
      </c>
      <c r="N209" s="27" t="s">
        <v>418</v>
      </c>
      <c r="O209" s="27" t="s">
        <v>76</v>
      </c>
      <c r="P209" s="11">
        <v>36</v>
      </c>
      <c r="Q209" s="11">
        <v>1500</v>
      </c>
      <c r="R209" s="11">
        <v>800</v>
      </c>
      <c r="S209" s="25" t="s">
        <v>66</v>
      </c>
      <c r="T209" s="11">
        <f>SUM(Procurement_data[[#This Row],[ Unit Price (USD) ]]*Procurement_data[[#This Row],[ Quantity ]])</f>
        <v>180000</v>
      </c>
      <c r="U209" s="11">
        <f t="shared" si="3"/>
        <v>24</v>
      </c>
    </row>
    <row r="210" spans="1:21">
      <c r="A210" s="11">
        <v>209</v>
      </c>
      <c r="B210" s="25" t="s">
        <v>411</v>
      </c>
      <c r="C210" s="28" t="s">
        <v>260</v>
      </c>
      <c r="D210" s="28" t="s">
        <v>261</v>
      </c>
      <c r="E210" s="28" t="s">
        <v>133</v>
      </c>
      <c r="F210" s="25" t="s">
        <v>59</v>
      </c>
      <c r="G210" s="11">
        <v>2</v>
      </c>
      <c r="H210" s="11">
        <v>40000</v>
      </c>
      <c r="I210" s="25" t="s">
        <v>272</v>
      </c>
      <c r="J210" s="25" t="s">
        <v>61</v>
      </c>
      <c r="K210" s="11">
        <v>7755332211</v>
      </c>
      <c r="L210" s="25" t="s">
        <v>273</v>
      </c>
      <c r="M210" s="25" t="s">
        <v>63</v>
      </c>
      <c r="N210" s="27" t="s">
        <v>217</v>
      </c>
      <c r="O210" s="27" t="s">
        <v>210</v>
      </c>
      <c r="P210" s="11">
        <v>48</v>
      </c>
      <c r="Q210" s="11">
        <v>2000</v>
      </c>
      <c r="R210" s="11">
        <v>1200</v>
      </c>
      <c r="S210" s="25" t="s">
        <v>32</v>
      </c>
      <c r="T210" s="11">
        <f>SUM(Procurement_data[[#This Row],[ Unit Price (USD) ]]*Procurement_data[[#This Row],[ Quantity ]])</f>
        <v>80000</v>
      </c>
      <c r="U210" s="11">
        <f t="shared" si="3"/>
        <v>26</v>
      </c>
    </row>
    <row r="211" spans="1:21">
      <c r="A211" s="11">
        <v>210</v>
      </c>
      <c r="B211" s="25" t="s">
        <v>441</v>
      </c>
      <c r="C211" s="28" t="s">
        <v>434</v>
      </c>
      <c r="D211" s="28" t="s">
        <v>442</v>
      </c>
      <c r="E211" s="28" t="s">
        <v>58</v>
      </c>
      <c r="F211" s="25" t="s">
        <v>304</v>
      </c>
      <c r="G211" s="11">
        <v>4</v>
      </c>
      <c r="H211" s="11">
        <v>5000</v>
      </c>
      <c r="I211" s="25" t="s">
        <v>226</v>
      </c>
      <c r="J211" s="25" t="s">
        <v>227</v>
      </c>
      <c r="K211" s="11">
        <v>7755332211</v>
      </c>
      <c r="L211" s="25" t="s">
        <v>228</v>
      </c>
      <c r="M211" s="25" t="s">
        <v>229</v>
      </c>
      <c r="N211" s="27" t="s">
        <v>97</v>
      </c>
      <c r="O211" s="27" t="s">
        <v>98</v>
      </c>
      <c r="P211" s="11">
        <v>24</v>
      </c>
      <c r="Q211" s="11">
        <v>800</v>
      </c>
      <c r="R211" s="11">
        <v>500</v>
      </c>
      <c r="S211" s="25" t="s">
        <v>55</v>
      </c>
      <c r="T211" s="11">
        <f>SUM(Procurement_data[[#This Row],[ Unit Price (USD) ]]*Procurement_data[[#This Row],[ Quantity ]])</f>
        <v>20000</v>
      </c>
      <c r="U211" s="11">
        <f t="shared" si="3"/>
        <v>26</v>
      </c>
    </row>
    <row r="212" spans="1:21">
      <c r="A212" s="11">
        <v>211</v>
      </c>
      <c r="B212" s="25" t="s">
        <v>417</v>
      </c>
      <c r="C212" s="28" t="s">
        <v>187</v>
      </c>
      <c r="D212" s="28" t="s">
        <v>188</v>
      </c>
      <c r="E212" s="28" t="s">
        <v>47</v>
      </c>
      <c r="F212" s="25" t="s">
        <v>343</v>
      </c>
      <c r="G212" s="11">
        <v>3</v>
      </c>
      <c r="H212" s="11">
        <v>20000</v>
      </c>
      <c r="I212" s="25" t="s">
        <v>344</v>
      </c>
      <c r="J212" s="25" t="s">
        <v>50</v>
      </c>
      <c r="K212" s="11">
        <v>3322114455</v>
      </c>
      <c r="L212" s="25" t="s">
        <v>345</v>
      </c>
      <c r="M212" s="25" t="s">
        <v>52</v>
      </c>
      <c r="N212" s="27" t="s">
        <v>64</v>
      </c>
      <c r="O212" s="27" t="s">
        <v>65</v>
      </c>
      <c r="P212" s="11">
        <v>36</v>
      </c>
      <c r="Q212" s="11">
        <v>2500</v>
      </c>
      <c r="R212" s="11">
        <v>1500</v>
      </c>
      <c r="S212" s="25" t="s">
        <v>32</v>
      </c>
      <c r="T212" s="11">
        <f>SUM(Procurement_data[[#This Row],[ Unit Price (USD) ]]*Procurement_data[[#This Row],[ Quantity ]])</f>
        <v>60000</v>
      </c>
      <c r="U212" s="11">
        <f t="shared" si="3"/>
        <v>23</v>
      </c>
    </row>
    <row r="213" spans="1:21">
      <c r="A213" s="11">
        <v>212</v>
      </c>
      <c r="B213" s="25" t="s">
        <v>432</v>
      </c>
      <c r="C213" s="28" t="s">
        <v>100</v>
      </c>
      <c r="D213" s="28" t="s">
        <v>101</v>
      </c>
      <c r="E213" s="28" t="s">
        <v>36</v>
      </c>
      <c r="F213" s="25" t="s">
        <v>37</v>
      </c>
      <c r="G213" s="11">
        <v>2</v>
      </c>
      <c r="H213" s="11">
        <v>200000</v>
      </c>
      <c r="I213" s="25" t="s">
        <v>399</v>
      </c>
      <c r="J213" s="25" t="s">
        <v>27</v>
      </c>
      <c r="K213" s="11">
        <v>1122334455</v>
      </c>
      <c r="L213" s="25" t="s">
        <v>400</v>
      </c>
      <c r="M213" s="25" t="s">
        <v>29</v>
      </c>
      <c r="N213" s="27" t="s">
        <v>236</v>
      </c>
      <c r="O213" s="27" t="s">
        <v>401</v>
      </c>
      <c r="P213" s="11">
        <v>60</v>
      </c>
      <c r="Q213" s="11">
        <v>5000</v>
      </c>
      <c r="R213" s="11">
        <v>3000</v>
      </c>
      <c r="S213" s="25" t="s">
        <v>32</v>
      </c>
      <c r="T213" s="11">
        <f>SUM(Procurement_data[[#This Row],[ Unit Price (USD) ]]*Procurement_data[[#This Row],[ Quantity ]])</f>
        <v>400000</v>
      </c>
      <c r="U213" s="11">
        <f t="shared" si="3"/>
        <v>29</v>
      </c>
    </row>
    <row r="214" spans="1:21">
      <c r="A214" s="11">
        <v>213</v>
      </c>
      <c r="B214" s="25" t="s">
        <v>433</v>
      </c>
      <c r="C214" s="28" t="s">
        <v>434</v>
      </c>
      <c r="D214" s="28" t="s">
        <v>435</v>
      </c>
      <c r="E214" s="28" t="s">
        <v>58</v>
      </c>
      <c r="F214" s="25" t="s">
        <v>225</v>
      </c>
      <c r="G214" s="11">
        <v>5</v>
      </c>
      <c r="H214" s="11">
        <v>8000</v>
      </c>
      <c r="I214" s="25" t="s">
        <v>226</v>
      </c>
      <c r="J214" s="25" t="s">
        <v>227</v>
      </c>
      <c r="K214" s="11">
        <v>7755332211</v>
      </c>
      <c r="L214" s="25" t="s">
        <v>228</v>
      </c>
      <c r="M214" s="25" t="s">
        <v>229</v>
      </c>
      <c r="N214" s="27" t="s">
        <v>42</v>
      </c>
      <c r="O214" s="27" t="s">
        <v>43</v>
      </c>
      <c r="P214" s="11">
        <v>24</v>
      </c>
      <c r="Q214" s="11">
        <v>1000</v>
      </c>
      <c r="R214" s="11">
        <v>500</v>
      </c>
      <c r="S214" s="25" t="s">
        <v>55</v>
      </c>
      <c r="T214" s="11">
        <f>SUM(Procurement_data[[#This Row],[ Unit Price (USD) ]]*Procurement_data[[#This Row],[ Quantity ]])</f>
        <v>40000</v>
      </c>
      <c r="U214" s="11">
        <f t="shared" si="3"/>
        <v>27</v>
      </c>
    </row>
    <row r="215" spans="1:21">
      <c r="A215" s="11">
        <v>214</v>
      </c>
      <c r="B215" s="25" t="s">
        <v>436</v>
      </c>
      <c r="C215" s="28" t="s">
        <v>166</v>
      </c>
      <c r="D215" s="28" t="s">
        <v>167</v>
      </c>
      <c r="E215" s="28" t="s">
        <v>133</v>
      </c>
      <c r="F215" s="25" t="s">
        <v>134</v>
      </c>
      <c r="G215" s="11">
        <v>6</v>
      </c>
      <c r="H215" s="11">
        <v>10000</v>
      </c>
      <c r="I215" s="25" t="s">
        <v>396</v>
      </c>
      <c r="J215" s="25" t="s">
        <v>397</v>
      </c>
      <c r="K215" s="11">
        <v>3322114455</v>
      </c>
      <c r="L215" s="25" t="s">
        <v>398</v>
      </c>
      <c r="M215" s="25" t="s">
        <v>29</v>
      </c>
      <c r="N215" s="27" t="s">
        <v>30</v>
      </c>
      <c r="O215" s="27" t="s">
        <v>31</v>
      </c>
      <c r="P215" s="11">
        <v>36</v>
      </c>
      <c r="Q215" s="11">
        <v>1200</v>
      </c>
      <c r="R215" s="11">
        <v>800</v>
      </c>
      <c r="S215" s="25" t="s">
        <v>32</v>
      </c>
      <c r="T215" s="11">
        <f>SUM(Procurement_data[[#This Row],[ Unit Price (USD) ]]*Procurement_data[[#This Row],[ Quantity ]])</f>
        <v>60000</v>
      </c>
      <c r="U215" s="11">
        <f t="shared" si="3"/>
        <v>26</v>
      </c>
    </row>
    <row r="216" spans="1:21">
      <c r="A216" s="11">
        <v>215</v>
      </c>
      <c r="B216" s="25" t="s">
        <v>437</v>
      </c>
      <c r="C216" s="28" t="s">
        <v>220</v>
      </c>
      <c r="D216" s="28" t="s">
        <v>221</v>
      </c>
      <c r="E216" s="28" t="s">
        <v>58</v>
      </c>
      <c r="F216" s="25" t="s">
        <v>304</v>
      </c>
      <c r="G216" s="11">
        <v>3</v>
      </c>
      <c r="H216" s="11">
        <v>5000</v>
      </c>
      <c r="I216" s="25" t="s">
        <v>226</v>
      </c>
      <c r="J216" s="25" t="s">
        <v>227</v>
      </c>
      <c r="K216" s="11">
        <v>7755332211</v>
      </c>
      <c r="L216" s="25" t="s">
        <v>228</v>
      </c>
      <c r="M216" s="25" t="s">
        <v>229</v>
      </c>
      <c r="N216" s="27" t="s">
        <v>97</v>
      </c>
      <c r="O216" s="27" t="s">
        <v>98</v>
      </c>
      <c r="P216" s="11">
        <v>24</v>
      </c>
      <c r="Q216" s="11">
        <v>800</v>
      </c>
      <c r="R216" s="11">
        <v>500</v>
      </c>
      <c r="S216" s="25" t="s">
        <v>55</v>
      </c>
      <c r="T216" s="11">
        <f>SUM(Procurement_data[[#This Row],[ Unit Price (USD) ]]*Procurement_data[[#This Row],[ Quantity ]])</f>
        <v>15000</v>
      </c>
      <c r="U216" s="11">
        <f t="shared" si="3"/>
        <v>26</v>
      </c>
    </row>
    <row r="217" spans="1:21">
      <c r="A217" s="11">
        <v>216</v>
      </c>
      <c r="B217" s="25" t="s">
        <v>438</v>
      </c>
      <c r="C217" s="28" t="s">
        <v>439</v>
      </c>
      <c r="D217" s="28" t="s">
        <v>440</v>
      </c>
      <c r="E217" s="28" t="s">
        <v>47</v>
      </c>
      <c r="F217" s="25" t="s">
        <v>348</v>
      </c>
      <c r="G217" s="11">
        <v>4</v>
      </c>
      <c r="H217" s="11">
        <v>50000</v>
      </c>
      <c r="I217" s="25" t="s">
        <v>240</v>
      </c>
      <c r="J217" s="25" t="s">
        <v>50</v>
      </c>
      <c r="K217" s="11">
        <v>3322114455</v>
      </c>
      <c r="L217" s="25" t="s">
        <v>241</v>
      </c>
      <c r="M217" s="25" t="s">
        <v>52</v>
      </c>
      <c r="N217" s="27" t="s">
        <v>76</v>
      </c>
      <c r="O217" s="27" t="s">
        <v>77</v>
      </c>
      <c r="P217" s="11">
        <v>36</v>
      </c>
      <c r="Q217" s="11">
        <v>1800</v>
      </c>
      <c r="R217" s="11">
        <v>1000</v>
      </c>
      <c r="S217" s="25" t="s">
        <v>55</v>
      </c>
      <c r="T217" s="11">
        <f>SUM(Procurement_data[[#This Row],[ Unit Price (USD) ]]*Procurement_data[[#This Row],[ Quantity ]])</f>
        <v>200000</v>
      </c>
      <c r="U217" s="11">
        <f t="shared" si="3"/>
        <v>23</v>
      </c>
    </row>
    <row r="218" spans="1:21">
      <c r="A218" s="11">
        <v>217</v>
      </c>
      <c r="B218" s="25" t="s">
        <v>412</v>
      </c>
      <c r="C218" s="28" t="s">
        <v>243</v>
      </c>
      <c r="D218" s="28" t="s">
        <v>244</v>
      </c>
      <c r="E218" s="28" t="s">
        <v>36</v>
      </c>
      <c r="F218" s="25" t="s">
        <v>103</v>
      </c>
      <c r="G218" s="11">
        <v>2</v>
      </c>
      <c r="H218" s="11">
        <v>30000</v>
      </c>
      <c r="I218" s="25" t="s">
        <v>104</v>
      </c>
      <c r="J218" s="25" t="s">
        <v>105</v>
      </c>
      <c r="K218" s="11">
        <v>6677889900</v>
      </c>
      <c r="L218" s="25" t="s">
        <v>106</v>
      </c>
      <c r="M218" s="25" t="s">
        <v>107</v>
      </c>
      <c r="N218" s="27" t="s">
        <v>418</v>
      </c>
      <c r="O218" s="27" t="s">
        <v>76</v>
      </c>
      <c r="P218" s="11">
        <v>36</v>
      </c>
      <c r="Q218" s="11">
        <v>1500</v>
      </c>
      <c r="R218" s="11">
        <v>800</v>
      </c>
      <c r="S218" s="25" t="s">
        <v>66</v>
      </c>
      <c r="T218" s="11">
        <f>SUM(Procurement_data[[#This Row],[ Unit Price (USD) ]]*Procurement_data[[#This Row],[ Quantity ]])</f>
        <v>60000</v>
      </c>
      <c r="U218" s="11">
        <f t="shared" si="3"/>
        <v>24</v>
      </c>
    </row>
    <row r="219" spans="1:21">
      <c r="A219" s="11">
        <v>218</v>
      </c>
      <c r="B219" s="25" t="s">
        <v>423</v>
      </c>
      <c r="C219" s="28" t="s">
        <v>424</v>
      </c>
      <c r="D219" s="28" t="s">
        <v>425</v>
      </c>
      <c r="E219" s="28" t="s">
        <v>133</v>
      </c>
      <c r="F219" s="25" t="s">
        <v>59</v>
      </c>
      <c r="G219" s="11">
        <v>5</v>
      </c>
      <c r="H219" s="11">
        <v>40000</v>
      </c>
      <c r="I219" s="25" t="s">
        <v>272</v>
      </c>
      <c r="J219" s="25" t="s">
        <v>61</v>
      </c>
      <c r="K219" s="11">
        <v>7755332211</v>
      </c>
      <c r="L219" s="25" t="s">
        <v>273</v>
      </c>
      <c r="M219" s="25" t="s">
        <v>63</v>
      </c>
      <c r="N219" s="27" t="s">
        <v>217</v>
      </c>
      <c r="O219" s="27" t="s">
        <v>210</v>
      </c>
      <c r="P219" s="11">
        <v>48</v>
      </c>
      <c r="Q219" s="11">
        <v>2000</v>
      </c>
      <c r="R219" s="11">
        <v>1200</v>
      </c>
      <c r="S219" s="25" t="s">
        <v>32</v>
      </c>
      <c r="T219" s="11">
        <f>SUM(Procurement_data[[#This Row],[ Unit Price (USD) ]]*Procurement_data[[#This Row],[ Quantity ]])</f>
        <v>200000</v>
      </c>
      <c r="U219" s="11">
        <f t="shared" si="3"/>
        <v>26</v>
      </c>
    </row>
    <row r="220" spans="1:21">
      <c r="A220" s="11">
        <v>219</v>
      </c>
      <c r="B220" s="25" t="s">
        <v>411</v>
      </c>
      <c r="C220" s="28" t="s">
        <v>260</v>
      </c>
      <c r="D220" s="28" t="s">
        <v>261</v>
      </c>
      <c r="E220" s="28" t="s">
        <v>58</v>
      </c>
      <c r="F220" s="25" t="s">
        <v>364</v>
      </c>
      <c r="G220" s="11">
        <v>3</v>
      </c>
      <c r="H220" s="11">
        <v>5000</v>
      </c>
      <c r="I220" s="25" t="s">
        <v>226</v>
      </c>
      <c r="J220" s="25" t="s">
        <v>227</v>
      </c>
      <c r="K220" s="11">
        <v>7755332211</v>
      </c>
      <c r="L220" s="25" t="s">
        <v>228</v>
      </c>
      <c r="M220" s="25" t="s">
        <v>229</v>
      </c>
      <c r="N220" s="27" t="s">
        <v>210</v>
      </c>
      <c r="O220" s="27" t="s">
        <v>206</v>
      </c>
      <c r="P220" s="11">
        <v>24</v>
      </c>
      <c r="Q220" s="11">
        <v>800</v>
      </c>
      <c r="R220" s="11">
        <v>500</v>
      </c>
      <c r="S220" s="25" t="s">
        <v>55</v>
      </c>
      <c r="T220" s="11">
        <f>SUM(Procurement_data[[#This Row],[ Unit Price (USD) ]]*Procurement_data[[#This Row],[ Quantity ]])</f>
        <v>15000</v>
      </c>
      <c r="U220" s="11">
        <f t="shared" si="3"/>
        <v>24</v>
      </c>
    </row>
    <row r="221" spans="1:21">
      <c r="A221" s="11">
        <v>220</v>
      </c>
      <c r="B221" s="25" t="s">
        <v>441</v>
      </c>
      <c r="C221" s="28" t="s">
        <v>434</v>
      </c>
      <c r="D221" s="28" t="s">
        <v>442</v>
      </c>
      <c r="E221" s="28" t="s">
        <v>36</v>
      </c>
      <c r="F221" s="25" t="s">
        <v>245</v>
      </c>
      <c r="G221" s="11">
        <v>7</v>
      </c>
      <c r="H221" s="11">
        <v>80000</v>
      </c>
      <c r="I221" s="25" t="s">
        <v>392</v>
      </c>
      <c r="J221" s="25" t="s">
        <v>61</v>
      </c>
      <c r="K221" s="11">
        <v>7755332211</v>
      </c>
      <c r="L221" s="25" t="s">
        <v>393</v>
      </c>
      <c r="M221" s="25" t="s">
        <v>86</v>
      </c>
      <c r="N221" s="27" t="s">
        <v>394</v>
      </c>
      <c r="O221" s="27" t="s">
        <v>395</v>
      </c>
      <c r="P221" s="11">
        <v>60</v>
      </c>
      <c r="Q221" s="11">
        <v>3000</v>
      </c>
      <c r="R221" s="11">
        <v>2000</v>
      </c>
      <c r="S221" s="25" t="s">
        <v>32</v>
      </c>
      <c r="T221" s="11">
        <f>SUM(Procurement_data[[#This Row],[ Unit Price (USD) ]]*Procurement_data[[#This Row],[ Quantity ]])</f>
        <v>560000</v>
      </c>
      <c r="U221" s="11">
        <f t="shared" si="3"/>
        <v>25</v>
      </c>
    </row>
    <row r="222" spans="1:21">
      <c r="A222" s="11">
        <v>221</v>
      </c>
      <c r="B222" s="25" t="s">
        <v>420</v>
      </c>
      <c r="C222" s="28" t="s">
        <v>193</v>
      </c>
      <c r="D222" s="28" t="s">
        <v>194</v>
      </c>
      <c r="E222" s="28" t="s">
        <v>47</v>
      </c>
      <c r="F222" s="25" t="s">
        <v>343</v>
      </c>
      <c r="G222" s="11">
        <v>4</v>
      </c>
      <c r="H222" s="11">
        <v>20000</v>
      </c>
      <c r="I222" s="25" t="s">
        <v>344</v>
      </c>
      <c r="J222" s="25" t="s">
        <v>50</v>
      </c>
      <c r="K222" s="11">
        <v>3322114455</v>
      </c>
      <c r="L222" s="25" t="s">
        <v>345</v>
      </c>
      <c r="M222" s="25" t="s">
        <v>52</v>
      </c>
      <c r="N222" s="27" t="s">
        <v>443</v>
      </c>
      <c r="O222" s="27" t="s">
        <v>98</v>
      </c>
      <c r="P222" s="11">
        <v>36</v>
      </c>
      <c r="Q222" s="11">
        <v>2500</v>
      </c>
      <c r="R222" s="11">
        <v>1500</v>
      </c>
      <c r="S222" s="25" t="s">
        <v>32</v>
      </c>
      <c r="T222" s="11">
        <f>SUM(Procurement_data[[#This Row],[ Unit Price (USD) ]]*Procurement_data[[#This Row],[ Quantity ]])</f>
        <v>80000</v>
      </c>
      <c r="U222" s="11">
        <f t="shared" si="3"/>
        <v>23</v>
      </c>
    </row>
    <row r="223" spans="1:21">
      <c r="A223" s="11">
        <v>222</v>
      </c>
      <c r="B223" s="25" t="s">
        <v>386</v>
      </c>
      <c r="C223" s="28" t="s">
        <v>387</v>
      </c>
      <c r="D223" s="28" t="s">
        <v>388</v>
      </c>
      <c r="E223" s="28" t="s">
        <v>133</v>
      </c>
      <c r="F223" s="25" t="s">
        <v>134</v>
      </c>
      <c r="G223" s="11">
        <v>2</v>
      </c>
      <c r="H223" s="11">
        <v>10000</v>
      </c>
      <c r="I223" s="25" t="s">
        <v>396</v>
      </c>
      <c r="J223" s="25" t="s">
        <v>397</v>
      </c>
      <c r="K223" s="11">
        <v>3322114455</v>
      </c>
      <c r="L223" s="25" t="s">
        <v>398</v>
      </c>
      <c r="M223" s="25" t="s">
        <v>29</v>
      </c>
      <c r="N223" s="27" t="s">
        <v>43</v>
      </c>
      <c r="O223" s="27" t="s">
        <v>444</v>
      </c>
      <c r="P223" s="11">
        <v>36</v>
      </c>
      <c r="Q223" s="11">
        <v>1200</v>
      </c>
      <c r="R223" s="11">
        <v>800</v>
      </c>
      <c r="S223" s="25" t="s">
        <v>32</v>
      </c>
      <c r="T223" s="11">
        <f>SUM(Procurement_data[[#This Row],[ Unit Price (USD) ]]*Procurement_data[[#This Row],[ Quantity ]])</f>
        <v>20000</v>
      </c>
      <c r="U223" s="11">
        <f t="shared" si="3"/>
        <v>25</v>
      </c>
    </row>
    <row r="224" spans="1:21">
      <c r="A224" s="11">
        <v>223</v>
      </c>
      <c r="B224" s="25" t="s">
        <v>432</v>
      </c>
      <c r="C224" s="28" t="s">
        <v>100</v>
      </c>
      <c r="D224" s="28" t="s">
        <v>101</v>
      </c>
      <c r="E224" s="28" t="s">
        <v>36</v>
      </c>
      <c r="F224" s="25" t="s">
        <v>37</v>
      </c>
      <c r="G224" s="11">
        <v>3</v>
      </c>
      <c r="H224" s="11">
        <v>200000</v>
      </c>
      <c r="I224" s="25" t="s">
        <v>399</v>
      </c>
      <c r="J224" s="25" t="s">
        <v>27</v>
      </c>
      <c r="K224" s="11">
        <v>1122334455</v>
      </c>
      <c r="L224" s="25" t="s">
        <v>400</v>
      </c>
      <c r="M224" s="25" t="s">
        <v>29</v>
      </c>
      <c r="N224" s="27" t="s">
        <v>445</v>
      </c>
      <c r="O224" s="27" t="s">
        <v>129</v>
      </c>
      <c r="P224" s="11">
        <v>60</v>
      </c>
      <c r="Q224" s="11">
        <v>5000</v>
      </c>
      <c r="R224" s="11">
        <v>3000</v>
      </c>
      <c r="S224" s="25" t="s">
        <v>32</v>
      </c>
      <c r="T224" s="11">
        <f>SUM(Procurement_data[[#This Row],[ Unit Price (USD) ]]*Procurement_data[[#This Row],[ Quantity ]])</f>
        <v>600000</v>
      </c>
      <c r="U224" s="11">
        <f t="shared" si="3"/>
        <v>29</v>
      </c>
    </row>
    <row r="225" spans="1:21">
      <c r="A225" s="11">
        <v>224</v>
      </c>
      <c r="B225" s="25" t="s">
        <v>433</v>
      </c>
      <c r="C225" s="28" t="s">
        <v>434</v>
      </c>
      <c r="D225" s="28" t="s">
        <v>435</v>
      </c>
      <c r="E225" s="28" t="s">
        <v>58</v>
      </c>
      <c r="F225" s="25" t="s">
        <v>225</v>
      </c>
      <c r="G225" s="11">
        <v>6</v>
      </c>
      <c r="H225" s="11">
        <v>8000</v>
      </c>
      <c r="I225" s="25" t="s">
        <v>226</v>
      </c>
      <c r="J225" s="25" t="s">
        <v>227</v>
      </c>
      <c r="K225" s="11">
        <v>7755332211</v>
      </c>
      <c r="L225" s="25" t="s">
        <v>228</v>
      </c>
      <c r="M225" s="25" t="s">
        <v>229</v>
      </c>
      <c r="N225" s="27" t="s">
        <v>446</v>
      </c>
      <c r="O225" s="27" t="s">
        <v>43</v>
      </c>
      <c r="P225" s="11">
        <v>24</v>
      </c>
      <c r="Q225" s="11">
        <v>1000</v>
      </c>
      <c r="R225" s="11">
        <v>500</v>
      </c>
      <c r="S225" s="25" t="s">
        <v>55</v>
      </c>
      <c r="T225" s="11">
        <f>SUM(Procurement_data[[#This Row],[ Unit Price (USD) ]]*Procurement_data[[#This Row],[ Quantity ]])</f>
        <v>48000</v>
      </c>
      <c r="U225" s="11">
        <f t="shared" si="3"/>
        <v>25</v>
      </c>
    </row>
    <row r="226" spans="1:21">
      <c r="A226" s="11">
        <v>225</v>
      </c>
      <c r="B226" s="25" t="s">
        <v>436</v>
      </c>
      <c r="C226" s="28" t="s">
        <v>166</v>
      </c>
      <c r="D226" s="28" t="s">
        <v>167</v>
      </c>
      <c r="E226" s="28" t="s">
        <v>133</v>
      </c>
      <c r="F226" s="25" t="s">
        <v>59</v>
      </c>
      <c r="G226" s="11">
        <v>4</v>
      </c>
      <c r="H226" s="11">
        <v>40000</v>
      </c>
      <c r="I226" s="25" t="s">
        <v>272</v>
      </c>
      <c r="J226" s="25" t="s">
        <v>61</v>
      </c>
      <c r="K226" s="11">
        <v>7755332211</v>
      </c>
      <c r="L226" s="25" t="s">
        <v>273</v>
      </c>
      <c r="M226" s="25" t="s">
        <v>63</v>
      </c>
      <c r="N226" s="27" t="s">
        <v>119</v>
      </c>
      <c r="O226" s="27" t="s">
        <v>42</v>
      </c>
      <c r="P226" s="11">
        <v>48</v>
      </c>
      <c r="Q226" s="11">
        <v>2000</v>
      </c>
      <c r="R226" s="11">
        <v>1200</v>
      </c>
      <c r="S226" s="25" t="s">
        <v>32</v>
      </c>
      <c r="T226" s="11">
        <f>SUM(Procurement_data[[#This Row],[ Unit Price (USD) ]]*Procurement_data[[#This Row],[ Quantity ]])</f>
        <v>160000</v>
      </c>
      <c r="U226" s="11">
        <f t="shared" si="3"/>
        <v>26</v>
      </c>
    </row>
    <row r="227" spans="1:21">
      <c r="A227" s="11">
        <v>226</v>
      </c>
      <c r="B227" s="25" t="s">
        <v>437</v>
      </c>
      <c r="C227" s="28" t="s">
        <v>220</v>
      </c>
      <c r="D227" s="28" t="s">
        <v>221</v>
      </c>
      <c r="E227" s="28" t="s">
        <v>58</v>
      </c>
      <c r="F227" s="25" t="s">
        <v>304</v>
      </c>
      <c r="G227" s="11">
        <v>2</v>
      </c>
      <c r="H227" s="11">
        <v>5000</v>
      </c>
      <c r="I227" s="25" t="s">
        <v>226</v>
      </c>
      <c r="J227" s="25" t="s">
        <v>227</v>
      </c>
      <c r="K227" s="11">
        <v>7755332211</v>
      </c>
      <c r="L227" s="25" t="s">
        <v>228</v>
      </c>
      <c r="M227" s="25" t="s">
        <v>229</v>
      </c>
      <c r="N227" s="27" t="s">
        <v>236</v>
      </c>
      <c r="O227" s="27" t="s">
        <v>98</v>
      </c>
      <c r="P227" s="11">
        <v>24</v>
      </c>
      <c r="Q227" s="11">
        <v>800</v>
      </c>
      <c r="R227" s="11">
        <v>500</v>
      </c>
      <c r="S227" s="25" t="s">
        <v>55</v>
      </c>
      <c r="T227" s="11">
        <f>SUM(Procurement_data[[#This Row],[ Unit Price (USD) ]]*Procurement_data[[#This Row],[ Quantity ]])</f>
        <v>10000</v>
      </c>
      <c r="U227" s="11">
        <f t="shared" si="3"/>
        <v>24</v>
      </c>
    </row>
    <row r="228" spans="1:21">
      <c r="A228" s="11">
        <v>227</v>
      </c>
      <c r="B228" s="25" t="s">
        <v>438</v>
      </c>
      <c r="C228" s="28" t="s">
        <v>439</v>
      </c>
      <c r="D228" s="28" t="s">
        <v>440</v>
      </c>
      <c r="E228" s="28" t="s">
        <v>47</v>
      </c>
      <c r="F228" s="25" t="s">
        <v>348</v>
      </c>
      <c r="G228" s="11">
        <v>5</v>
      </c>
      <c r="H228" s="11">
        <v>50000</v>
      </c>
      <c r="I228" s="25" t="s">
        <v>240</v>
      </c>
      <c r="J228" s="25" t="s">
        <v>50</v>
      </c>
      <c r="K228" s="11">
        <v>3322114455</v>
      </c>
      <c r="L228" s="25" t="s">
        <v>241</v>
      </c>
      <c r="M228" s="25" t="s">
        <v>52</v>
      </c>
      <c r="N228" s="27" t="s">
        <v>30</v>
      </c>
      <c r="O228" s="27" t="s">
        <v>31</v>
      </c>
      <c r="P228" s="11">
        <v>36</v>
      </c>
      <c r="Q228" s="11">
        <v>1800</v>
      </c>
      <c r="R228" s="11">
        <v>1000</v>
      </c>
      <c r="S228" s="25" t="s">
        <v>55</v>
      </c>
      <c r="T228" s="11">
        <f>SUM(Procurement_data[[#This Row],[ Unit Price (USD) ]]*Procurement_data[[#This Row],[ Quantity ]])</f>
        <v>250000</v>
      </c>
      <c r="U228" s="11">
        <f t="shared" si="3"/>
        <v>26</v>
      </c>
    </row>
    <row r="229" spans="1:21">
      <c r="A229" s="11">
        <v>228</v>
      </c>
      <c r="B229" s="25" t="s">
        <v>412</v>
      </c>
      <c r="C229" s="28" t="s">
        <v>243</v>
      </c>
      <c r="D229" s="28" t="s">
        <v>244</v>
      </c>
      <c r="E229" s="28" t="s">
        <v>36</v>
      </c>
      <c r="F229" s="25" t="s">
        <v>103</v>
      </c>
      <c r="G229" s="11">
        <v>3</v>
      </c>
      <c r="H229" s="11">
        <v>30000</v>
      </c>
      <c r="I229" s="25" t="s">
        <v>104</v>
      </c>
      <c r="J229" s="25" t="s">
        <v>105</v>
      </c>
      <c r="K229" s="11">
        <v>6677889900</v>
      </c>
      <c r="L229" s="25" t="s">
        <v>106</v>
      </c>
      <c r="M229" s="25" t="s">
        <v>107</v>
      </c>
      <c r="N229" s="27" t="s">
        <v>206</v>
      </c>
      <c r="O229" s="27" t="s">
        <v>128</v>
      </c>
      <c r="P229" s="11">
        <v>36</v>
      </c>
      <c r="Q229" s="11">
        <v>1500</v>
      </c>
      <c r="R229" s="11">
        <v>800</v>
      </c>
      <c r="S229" s="25" t="s">
        <v>66</v>
      </c>
      <c r="T229" s="11">
        <f>SUM(Procurement_data[[#This Row],[ Unit Price (USD) ]]*Procurement_data[[#This Row],[ Quantity ]])</f>
        <v>90000</v>
      </c>
      <c r="U229" s="11">
        <f t="shared" si="3"/>
        <v>26</v>
      </c>
    </row>
    <row r="230" spans="1:21">
      <c r="A230" s="11">
        <v>229</v>
      </c>
      <c r="B230" s="25" t="s">
        <v>423</v>
      </c>
      <c r="C230" s="28" t="s">
        <v>424</v>
      </c>
      <c r="D230" s="28" t="s">
        <v>425</v>
      </c>
      <c r="E230" s="28" t="s">
        <v>133</v>
      </c>
      <c r="F230" s="25" t="s">
        <v>134</v>
      </c>
      <c r="G230" s="11">
        <v>6</v>
      </c>
      <c r="H230" s="11">
        <v>10000</v>
      </c>
      <c r="I230" s="25" t="s">
        <v>396</v>
      </c>
      <c r="J230" s="25" t="s">
        <v>397</v>
      </c>
      <c r="K230" s="11">
        <v>3322114455</v>
      </c>
      <c r="L230" s="25" t="s">
        <v>398</v>
      </c>
      <c r="M230" s="25" t="s">
        <v>29</v>
      </c>
      <c r="N230" s="27" t="s">
        <v>76</v>
      </c>
      <c r="O230" s="27" t="s">
        <v>77</v>
      </c>
      <c r="P230" s="11">
        <v>36</v>
      </c>
      <c r="Q230" s="11">
        <v>1200</v>
      </c>
      <c r="R230" s="11">
        <v>800</v>
      </c>
      <c r="S230" s="25" t="s">
        <v>32</v>
      </c>
      <c r="T230" s="11">
        <f>SUM(Procurement_data[[#This Row],[ Unit Price (USD) ]]*Procurement_data[[#This Row],[ Quantity ]])</f>
        <v>60000</v>
      </c>
      <c r="U230" s="11">
        <f t="shared" si="3"/>
        <v>23</v>
      </c>
    </row>
    <row r="231" spans="1:21">
      <c r="A231" s="11">
        <v>230</v>
      </c>
      <c r="B231" s="25" t="s">
        <v>411</v>
      </c>
      <c r="C231" s="28" t="s">
        <v>260</v>
      </c>
      <c r="D231" s="28" t="s">
        <v>261</v>
      </c>
      <c r="E231" s="28" t="s">
        <v>58</v>
      </c>
      <c r="F231" s="25" t="s">
        <v>364</v>
      </c>
      <c r="G231" s="11">
        <v>4</v>
      </c>
      <c r="H231" s="11">
        <v>5000</v>
      </c>
      <c r="I231" s="25" t="s">
        <v>226</v>
      </c>
      <c r="J231" s="25" t="s">
        <v>227</v>
      </c>
      <c r="K231" s="11">
        <v>7755332211</v>
      </c>
      <c r="L231" s="25" t="s">
        <v>228</v>
      </c>
      <c r="M231" s="25" t="s">
        <v>229</v>
      </c>
      <c r="N231" s="27" t="s">
        <v>97</v>
      </c>
      <c r="O231" s="27" t="s">
        <v>98</v>
      </c>
      <c r="P231" s="11">
        <v>24</v>
      </c>
      <c r="Q231" s="11">
        <v>800</v>
      </c>
      <c r="R231" s="11">
        <v>500</v>
      </c>
      <c r="S231" s="25" t="s">
        <v>55</v>
      </c>
      <c r="T231" s="11">
        <f>SUM(Procurement_data[[#This Row],[ Unit Price (USD) ]]*Procurement_data[[#This Row],[ Quantity ]])</f>
        <v>20000</v>
      </c>
      <c r="U231" s="11">
        <f t="shared" si="3"/>
        <v>26</v>
      </c>
    </row>
    <row r="232" spans="1:21">
      <c r="A232" s="11">
        <v>231</v>
      </c>
      <c r="B232" s="25" t="s">
        <v>441</v>
      </c>
      <c r="C232" s="28" t="s">
        <v>434</v>
      </c>
      <c r="D232" s="28" t="s">
        <v>442</v>
      </c>
      <c r="E232" s="28" t="s">
        <v>47</v>
      </c>
      <c r="F232" s="25" t="s">
        <v>343</v>
      </c>
      <c r="G232" s="11">
        <v>2</v>
      </c>
      <c r="H232" s="11">
        <v>20000</v>
      </c>
      <c r="I232" s="25" t="s">
        <v>344</v>
      </c>
      <c r="J232" s="25" t="s">
        <v>50</v>
      </c>
      <c r="K232" s="11">
        <v>3322114455</v>
      </c>
      <c r="L232" s="25" t="s">
        <v>345</v>
      </c>
      <c r="M232" s="25" t="s">
        <v>52</v>
      </c>
      <c r="N232" s="27" t="s">
        <v>64</v>
      </c>
      <c r="O232" s="27" t="s">
        <v>65</v>
      </c>
      <c r="P232" s="11">
        <v>36</v>
      </c>
      <c r="Q232" s="11">
        <v>2500</v>
      </c>
      <c r="R232" s="11">
        <v>1500</v>
      </c>
      <c r="S232" s="25" t="s">
        <v>32</v>
      </c>
      <c r="T232" s="11">
        <f>SUM(Procurement_data[[#This Row],[ Unit Price (USD) ]]*Procurement_data[[#This Row],[ Quantity ]])</f>
        <v>40000</v>
      </c>
      <c r="U232" s="11">
        <f t="shared" si="3"/>
        <v>23</v>
      </c>
    </row>
    <row r="233" spans="1:21">
      <c r="A233" s="11">
        <v>232</v>
      </c>
      <c r="B233" s="25" t="s">
        <v>420</v>
      </c>
      <c r="C233" s="28" t="s">
        <v>193</v>
      </c>
      <c r="D233" s="28" t="s">
        <v>194</v>
      </c>
      <c r="E233" s="28" t="s">
        <v>36</v>
      </c>
      <c r="F233" s="25" t="s">
        <v>37</v>
      </c>
      <c r="G233" s="11">
        <v>1</v>
      </c>
      <c r="H233" s="11">
        <v>200000</v>
      </c>
      <c r="I233" s="25" t="s">
        <v>399</v>
      </c>
      <c r="J233" s="25" t="s">
        <v>27</v>
      </c>
      <c r="K233" s="11">
        <v>1122334455</v>
      </c>
      <c r="L233" s="25" t="s">
        <v>400</v>
      </c>
      <c r="M233" s="25" t="s">
        <v>29</v>
      </c>
      <c r="N233" s="27" t="s">
        <v>236</v>
      </c>
      <c r="O233" s="27" t="s">
        <v>401</v>
      </c>
      <c r="P233" s="11">
        <v>60</v>
      </c>
      <c r="Q233" s="11">
        <v>5000</v>
      </c>
      <c r="R233" s="11">
        <v>3000</v>
      </c>
      <c r="S233" s="25" t="s">
        <v>32</v>
      </c>
      <c r="T233" s="11">
        <f>SUM(Procurement_data[[#This Row],[ Unit Price (USD) ]]*Procurement_data[[#This Row],[ Quantity ]])</f>
        <v>200000</v>
      </c>
      <c r="U233" s="11">
        <f t="shared" si="3"/>
        <v>29</v>
      </c>
    </row>
    <row r="234" spans="1:21">
      <c r="A234" s="11">
        <v>233</v>
      </c>
      <c r="B234" s="25" t="s">
        <v>386</v>
      </c>
      <c r="C234" s="28" t="s">
        <v>387</v>
      </c>
      <c r="D234" s="28" t="s">
        <v>388</v>
      </c>
      <c r="E234" s="28" t="s">
        <v>58</v>
      </c>
      <c r="F234" s="25" t="s">
        <v>225</v>
      </c>
      <c r="G234" s="11">
        <v>3</v>
      </c>
      <c r="H234" s="11">
        <v>8000</v>
      </c>
      <c r="I234" s="25" t="s">
        <v>226</v>
      </c>
      <c r="J234" s="25" t="s">
        <v>227</v>
      </c>
      <c r="K234" s="11">
        <v>7755332211</v>
      </c>
      <c r="L234" s="25" t="s">
        <v>228</v>
      </c>
      <c r="M234" s="25" t="s">
        <v>229</v>
      </c>
      <c r="N234" s="27" t="s">
        <v>42</v>
      </c>
      <c r="O234" s="27" t="s">
        <v>43</v>
      </c>
      <c r="P234" s="11">
        <v>24</v>
      </c>
      <c r="Q234" s="11">
        <v>1000</v>
      </c>
      <c r="R234" s="11">
        <v>500</v>
      </c>
      <c r="S234" s="25" t="s">
        <v>55</v>
      </c>
      <c r="T234" s="11">
        <f>SUM(Procurement_data[[#This Row],[ Unit Price (USD) ]]*Procurement_data[[#This Row],[ Quantity ]])</f>
        <v>24000</v>
      </c>
      <c r="U234" s="11">
        <f t="shared" si="3"/>
        <v>27</v>
      </c>
    </row>
    <row r="235" spans="1:21">
      <c r="A235" s="11">
        <v>234</v>
      </c>
      <c r="B235" s="25" t="s">
        <v>432</v>
      </c>
      <c r="C235" s="28" t="s">
        <v>100</v>
      </c>
      <c r="D235" s="28" t="s">
        <v>101</v>
      </c>
      <c r="E235" s="28" t="s">
        <v>133</v>
      </c>
      <c r="F235" s="25" t="s">
        <v>134</v>
      </c>
      <c r="G235" s="11">
        <v>4</v>
      </c>
      <c r="H235" s="11">
        <v>10000</v>
      </c>
      <c r="I235" s="25" t="s">
        <v>396</v>
      </c>
      <c r="J235" s="25" t="s">
        <v>397</v>
      </c>
      <c r="K235" s="11">
        <v>3322114455</v>
      </c>
      <c r="L235" s="25" t="s">
        <v>398</v>
      </c>
      <c r="M235" s="25" t="s">
        <v>29</v>
      </c>
      <c r="N235" s="27" t="s">
        <v>30</v>
      </c>
      <c r="O235" s="27" t="s">
        <v>31</v>
      </c>
      <c r="P235" s="11">
        <v>36</v>
      </c>
      <c r="Q235" s="11">
        <v>1200</v>
      </c>
      <c r="R235" s="11">
        <v>800</v>
      </c>
      <c r="S235" s="25" t="s">
        <v>32</v>
      </c>
      <c r="T235" s="11">
        <f>SUM(Procurement_data[[#This Row],[ Unit Price (USD) ]]*Procurement_data[[#This Row],[ Quantity ]])</f>
        <v>40000</v>
      </c>
      <c r="U235" s="11">
        <f t="shared" si="3"/>
        <v>26</v>
      </c>
    </row>
    <row r="236" spans="1:21">
      <c r="A236" s="11">
        <v>235</v>
      </c>
      <c r="B236" s="25" t="s">
        <v>433</v>
      </c>
      <c r="C236" s="28" t="s">
        <v>434</v>
      </c>
      <c r="D236" s="28" t="s">
        <v>435</v>
      </c>
      <c r="E236" s="28" t="s">
        <v>58</v>
      </c>
      <c r="F236" s="25" t="s">
        <v>304</v>
      </c>
      <c r="G236" s="11">
        <v>5</v>
      </c>
      <c r="H236" s="11">
        <v>5000</v>
      </c>
      <c r="I236" s="25" t="s">
        <v>226</v>
      </c>
      <c r="J236" s="25" t="s">
        <v>227</v>
      </c>
      <c r="K236" s="11">
        <v>7755332211</v>
      </c>
      <c r="L236" s="25" t="s">
        <v>228</v>
      </c>
      <c r="M236" s="25" t="s">
        <v>229</v>
      </c>
      <c r="N236" s="27" t="s">
        <v>97</v>
      </c>
      <c r="O236" s="27" t="s">
        <v>98</v>
      </c>
      <c r="P236" s="11">
        <v>24</v>
      </c>
      <c r="Q236" s="11">
        <v>800</v>
      </c>
      <c r="R236" s="11">
        <v>500</v>
      </c>
      <c r="S236" s="25" t="s">
        <v>55</v>
      </c>
      <c r="T236" s="11">
        <f>SUM(Procurement_data[[#This Row],[ Unit Price (USD) ]]*Procurement_data[[#This Row],[ Quantity ]])</f>
        <v>25000</v>
      </c>
      <c r="U236" s="11">
        <f t="shared" si="3"/>
        <v>26</v>
      </c>
    </row>
    <row r="237" spans="1:21">
      <c r="A237" s="11">
        <v>236</v>
      </c>
      <c r="B237" s="25" t="s">
        <v>436</v>
      </c>
      <c r="C237" s="28" t="s">
        <v>166</v>
      </c>
      <c r="D237" s="28" t="s">
        <v>167</v>
      </c>
      <c r="E237" s="28" t="s">
        <v>36</v>
      </c>
      <c r="F237" s="25" t="s">
        <v>103</v>
      </c>
      <c r="G237" s="11">
        <v>2</v>
      </c>
      <c r="H237" s="11">
        <v>30000</v>
      </c>
      <c r="I237" s="25" t="s">
        <v>104</v>
      </c>
      <c r="J237" s="25" t="s">
        <v>105</v>
      </c>
      <c r="K237" s="11">
        <v>6677889900</v>
      </c>
      <c r="L237" s="25" t="s">
        <v>106</v>
      </c>
      <c r="M237" s="25" t="s">
        <v>107</v>
      </c>
      <c r="N237" s="27" t="s">
        <v>418</v>
      </c>
      <c r="O237" s="27" t="s">
        <v>76</v>
      </c>
      <c r="P237" s="11">
        <v>36</v>
      </c>
      <c r="Q237" s="11">
        <v>1500</v>
      </c>
      <c r="R237" s="11">
        <v>800</v>
      </c>
      <c r="S237" s="25" t="s">
        <v>66</v>
      </c>
      <c r="T237" s="11">
        <f>SUM(Procurement_data[[#This Row],[ Unit Price (USD) ]]*Procurement_data[[#This Row],[ Quantity ]])</f>
        <v>60000</v>
      </c>
      <c r="U237" s="11">
        <f t="shared" si="3"/>
        <v>24</v>
      </c>
    </row>
    <row r="238" spans="1:21">
      <c r="A238" s="11">
        <v>237</v>
      </c>
      <c r="B238" s="25" t="s">
        <v>437</v>
      </c>
      <c r="C238" s="28" t="s">
        <v>220</v>
      </c>
      <c r="D238" s="28" t="s">
        <v>221</v>
      </c>
      <c r="E238" s="28" t="s">
        <v>47</v>
      </c>
      <c r="F238" s="25" t="s">
        <v>348</v>
      </c>
      <c r="G238" s="11">
        <v>3</v>
      </c>
      <c r="H238" s="11">
        <v>50000</v>
      </c>
      <c r="I238" s="25" t="s">
        <v>240</v>
      </c>
      <c r="J238" s="25" t="s">
        <v>50</v>
      </c>
      <c r="K238" s="11">
        <v>3322114455</v>
      </c>
      <c r="L238" s="25" t="s">
        <v>241</v>
      </c>
      <c r="M238" s="25" t="s">
        <v>52</v>
      </c>
      <c r="N238" s="27" t="s">
        <v>76</v>
      </c>
      <c r="O238" s="27" t="s">
        <v>77</v>
      </c>
      <c r="P238" s="11">
        <v>36</v>
      </c>
      <c r="Q238" s="11">
        <v>1800</v>
      </c>
      <c r="R238" s="11">
        <v>1000</v>
      </c>
      <c r="S238" s="25" t="s">
        <v>55</v>
      </c>
      <c r="T238" s="11">
        <f>SUM(Procurement_data[[#This Row],[ Unit Price (USD) ]]*Procurement_data[[#This Row],[ Quantity ]])</f>
        <v>150000</v>
      </c>
      <c r="U238" s="11">
        <f t="shared" si="3"/>
        <v>23</v>
      </c>
    </row>
    <row r="239" spans="1:21">
      <c r="A239" s="11">
        <v>238</v>
      </c>
      <c r="B239" s="25" t="s">
        <v>438</v>
      </c>
      <c r="C239" s="28" t="s">
        <v>439</v>
      </c>
      <c r="D239" s="28" t="s">
        <v>440</v>
      </c>
      <c r="E239" s="28" t="s">
        <v>133</v>
      </c>
      <c r="F239" s="25" t="s">
        <v>59</v>
      </c>
      <c r="G239" s="11">
        <v>5</v>
      </c>
      <c r="H239" s="11">
        <v>40000</v>
      </c>
      <c r="I239" s="25" t="s">
        <v>272</v>
      </c>
      <c r="J239" s="25" t="s">
        <v>61</v>
      </c>
      <c r="K239" s="11">
        <v>7755332211</v>
      </c>
      <c r="L239" s="25" t="s">
        <v>273</v>
      </c>
      <c r="M239" s="25" t="s">
        <v>63</v>
      </c>
      <c r="N239" s="27" t="s">
        <v>217</v>
      </c>
      <c r="O239" s="27" t="s">
        <v>210</v>
      </c>
      <c r="P239" s="11">
        <v>48</v>
      </c>
      <c r="Q239" s="11">
        <v>2000</v>
      </c>
      <c r="R239" s="11">
        <v>1200</v>
      </c>
      <c r="S239" s="25" t="s">
        <v>32</v>
      </c>
      <c r="T239" s="11">
        <f>SUM(Procurement_data[[#This Row],[ Unit Price (USD) ]]*Procurement_data[[#This Row],[ Quantity ]])</f>
        <v>200000</v>
      </c>
      <c r="U239" s="11">
        <f t="shared" si="3"/>
        <v>26</v>
      </c>
    </row>
    <row r="240" spans="1:21">
      <c r="A240" s="11">
        <v>239</v>
      </c>
      <c r="B240" s="25" t="s">
        <v>412</v>
      </c>
      <c r="C240" s="28" t="s">
        <v>243</v>
      </c>
      <c r="D240" s="28" t="s">
        <v>244</v>
      </c>
      <c r="E240" s="28" t="s">
        <v>58</v>
      </c>
      <c r="F240" s="25" t="s">
        <v>364</v>
      </c>
      <c r="G240" s="11">
        <v>3</v>
      </c>
      <c r="H240" s="11">
        <v>5000</v>
      </c>
      <c r="I240" s="25" t="s">
        <v>226</v>
      </c>
      <c r="J240" s="25" t="s">
        <v>227</v>
      </c>
      <c r="K240" s="11">
        <v>7755332211</v>
      </c>
      <c r="L240" s="25" t="s">
        <v>228</v>
      </c>
      <c r="M240" s="25" t="s">
        <v>229</v>
      </c>
      <c r="N240" s="27" t="s">
        <v>210</v>
      </c>
      <c r="O240" s="27" t="s">
        <v>206</v>
      </c>
      <c r="P240" s="11">
        <v>24</v>
      </c>
      <c r="Q240" s="11">
        <v>800</v>
      </c>
      <c r="R240" s="11">
        <v>500</v>
      </c>
      <c r="S240" s="25" t="s">
        <v>55</v>
      </c>
      <c r="T240" s="11">
        <f>SUM(Procurement_data[[#This Row],[ Unit Price (USD) ]]*Procurement_data[[#This Row],[ Quantity ]])</f>
        <v>15000</v>
      </c>
      <c r="U240" s="11">
        <f t="shared" si="3"/>
        <v>24</v>
      </c>
    </row>
    <row r="241" spans="1:21">
      <c r="A241" s="11">
        <v>240</v>
      </c>
      <c r="B241" s="25" t="s">
        <v>423</v>
      </c>
      <c r="C241" s="28" t="s">
        <v>424</v>
      </c>
      <c r="D241" s="28" t="s">
        <v>425</v>
      </c>
      <c r="E241" s="28" t="s">
        <v>36</v>
      </c>
      <c r="F241" s="25" t="s">
        <v>245</v>
      </c>
      <c r="G241" s="11">
        <v>7</v>
      </c>
      <c r="H241" s="11">
        <v>80000</v>
      </c>
      <c r="I241" s="25" t="s">
        <v>392</v>
      </c>
      <c r="J241" s="25" t="s">
        <v>61</v>
      </c>
      <c r="K241" s="11">
        <v>7755332211</v>
      </c>
      <c r="L241" s="25" t="s">
        <v>393</v>
      </c>
      <c r="M241" s="25" t="s">
        <v>86</v>
      </c>
      <c r="N241" s="27" t="s">
        <v>394</v>
      </c>
      <c r="O241" s="27" t="s">
        <v>395</v>
      </c>
      <c r="P241" s="11">
        <v>60</v>
      </c>
      <c r="Q241" s="11">
        <v>3000</v>
      </c>
      <c r="R241" s="11">
        <v>2000</v>
      </c>
      <c r="S241" s="25" t="s">
        <v>32</v>
      </c>
      <c r="T241" s="11">
        <f>SUM(Procurement_data[[#This Row],[ Unit Price (USD) ]]*Procurement_data[[#This Row],[ Quantity ]])</f>
        <v>560000</v>
      </c>
      <c r="U241" s="11">
        <f t="shared" si="3"/>
        <v>25</v>
      </c>
    </row>
    <row r="242" spans="1:21">
      <c r="A242" s="11">
        <v>241</v>
      </c>
      <c r="B242" s="25" t="s">
        <v>411</v>
      </c>
      <c r="C242" s="28" t="s">
        <v>260</v>
      </c>
      <c r="D242" s="28" t="s">
        <v>261</v>
      </c>
      <c r="E242" s="28" t="s">
        <v>47</v>
      </c>
      <c r="F242" s="25" t="s">
        <v>343</v>
      </c>
      <c r="G242" s="11">
        <v>4</v>
      </c>
      <c r="H242" s="11">
        <v>20000</v>
      </c>
      <c r="I242" s="25" t="s">
        <v>344</v>
      </c>
      <c r="J242" s="25" t="s">
        <v>50</v>
      </c>
      <c r="K242" s="11">
        <v>3322114455</v>
      </c>
      <c r="L242" s="25" t="s">
        <v>345</v>
      </c>
      <c r="M242" s="25" t="s">
        <v>52</v>
      </c>
      <c r="N242" s="27" t="s">
        <v>443</v>
      </c>
      <c r="O242" s="27" t="s">
        <v>98</v>
      </c>
      <c r="P242" s="11">
        <v>36</v>
      </c>
      <c r="Q242" s="11">
        <v>2500</v>
      </c>
      <c r="R242" s="11">
        <v>1500</v>
      </c>
      <c r="S242" s="25" t="s">
        <v>32</v>
      </c>
      <c r="T242" s="11">
        <f>SUM(Procurement_data[[#This Row],[ Unit Price (USD) ]]*Procurement_data[[#This Row],[ Quantity ]])</f>
        <v>80000</v>
      </c>
      <c r="U242" s="11">
        <f t="shared" si="3"/>
        <v>23</v>
      </c>
    </row>
    <row r="243" spans="1:21">
      <c r="A243" s="11">
        <v>242</v>
      </c>
      <c r="B243" s="25" t="s">
        <v>441</v>
      </c>
      <c r="C243" s="28" t="s">
        <v>434</v>
      </c>
      <c r="D243" s="28" t="s">
        <v>442</v>
      </c>
      <c r="E243" s="28" t="s">
        <v>36</v>
      </c>
      <c r="F243" s="25" t="s">
        <v>37</v>
      </c>
      <c r="G243" s="11">
        <v>2</v>
      </c>
      <c r="H243" s="11">
        <v>200000</v>
      </c>
      <c r="I243" s="25" t="s">
        <v>399</v>
      </c>
      <c r="J243" s="25" t="s">
        <v>27</v>
      </c>
      <c r="K243" s="11">
        <v>1122334455</v>
      </c>
      <c r="L243" s="25" t="s">
        <v>400</v>
      </c>
      <c r="M243" s="25" t="s">
        <v>29</v>
      </c>
      <c r="N243" s="27" t="s">
        <v>445</v>
      </c>
      <c r="O243" s="27" t="s">
        <v>129</v>
      </c>
      <c r="P243" s="11">
        <v>60</v>
      </c>
      <c r="Q243" s="11">
        <v>5000</v>
      </c>
      <c r="R243" s="11">
        <v>3000</v>
      </c>
      <c r="S243" s="25" t="s">
        <v>32</v>
      </c>
      <c r="T243" s="11">
        <f>SUM(Procurement_data[[#This Row],[ Unit Price (USD) ]]*Procurement_data[[#This Row],[ Quantity ]])</f>
        <v>400000</v>
      </c>
      <c r="U243" s="11">
        <f t="shared" si="3"/>
        <v>29</v>
      </c>
    </row>
    <row r="244" spans="1:21">
      <c r="A244" s="11">
        <v>243</v>
      </c>
      <c r="B244" s="25" t="s">
        <v>420</v>
      </c>
      <c r="C244" s="28" t="s">
        <v>193</v>
      </c>
      <c r="D244" s="28" t="s">
        <v>194</v>
      </c>
      <c r="E244" s="28" t="s">
        <v>58</v>
      </c>
      <c r="F244" s="25" t="s">
        <v>225</v>
      </c>
      <c r="G244" s="11">
        <v>3</v>
      </c>
      <c r="H244" s="11">
        <v>8000</v>
      </c>
      <c r="I244" s="25" t="s">
        <v>226</v>
      </c>
      <c r="J244" s="25" t="s">
        <v>227</v>
      </c>
      <c r="K244" s="11">
        <v>7755332211</v>
      </c>
      <c r="L244" s="25" t="s">
        <v>228</v>
      </c>
      <c r="M244" s="25" t="s">
        <v>229</v>
      </c>
      <c r="N244" s="27" t="s">
        <v>30</v>
      </c>
      <c r="O244" s="27" t="s">
        <v>31</v>
      </c>
      <c r="P244" s="11">
        <v>24</v>
      </c>
      <c r="Q244" s="11">
        <v>1000</v>
      </c>
      <c r="R244" s="11">
        <v>500</v>
      </c>
      <c r="S244" s="25" t="s">
        <v>55</v>
      </c>
      <c r="T244" s="11">
        <f>SUM(Procurement_data[[#This Row],[ Unit Price (USD) ]]*Procurement_data[[#This Row],[ Quantity ]])</f>
        <v>24000</v>
      </c>
      <c r="U244" s="11">
        <f t="shared" si="3"/>
        <v>26</v>
      </c>
    </row>
    <row r="245" spans="1:21">
      <c r="A245" s="11">
        <v>244</v>
      </c>
      <c r="B245" s="25" t="s">
        <v>386</v>
      </c>
      <c r="C245" s="28" t="s">
        <v>387</v>
      </c>
      <c r="D245" s="28" t="s">
        <v>388</v>
      </c>
      <c r="E245" s="28" t="s">
        <v>133</v>
      </c>
      <c r="F245" s="25" t="s">
        <v>134</v>
      </c>
      <c r="G245" s="11">
        <v>2</v>
      </c>
      <c r="H245" s="11">
        <v>10000</v>
      </c>
      <c r="I245" s="25" t="s">
        <v>396</v>
      </c>
      <c r="J245" s="25" t="s">
        <v>397</v>
      </c>
      <c r="K245" s="11">
        <v>3322114455</v>
      </c>
      <c r="L245" s="25" t="s">
        <v>398</v>
      </c>
      <c r="M245" s="25" t="s">
        <v>29</v>
      </c>
      <c r="N245" s="27" t="s">
        <v>43</v>
      </c>
      <c r="O245" s="27" t="s">
        <v>444</v>
      </c>
      <c r="P245" s="11">
        <v>36</v>
      </c>
      <c r="Q245" s="11">
        <v>1200</v>
      </c>
      <c r="R245" s="11">
        <v>800</v>
      </c>
      <c r="S245" s="25" t="s">
        <v>32</v>
      </c>
      <c r="T245" s="11">
        <f>SUM(Procurement_data[[#This Row],[ Unit Price (USD) ]]*Procurement_data[[#This Row],[ Quantity ]])</f>
        <v>20000</v>
      </c>
      <c r="U245" s="11">
        <f t="shared" si="3"/>
        <v>25</v>
      </c>
    </row>
    <row r="246" spans="1:21">
      <c r="A246" s="11">
        <v>245</v>
      </c>
      <c r="B246" s="25" t="s">
        <v>432</v>
      </c>
      <c r="C246" s="28" t="s">
        <v>100</v>
      </c>
      <c r="D246" s="28" t="s">
        <v>101</v>
      </c>
      <c r="E246" s="28" t="s">
        <v>36</v>
      </c>
      <c r="F246" s="25" t="s">
        <v>103</v>
      </c>
      <c r="G246" s="11">
        <v>3</v>
      </c>
      <c r="H246" s="11">
        <v>30000</v>
      </c>
      <c r="I246" s="25" t="s">
        <v>104</v>
      </c>
      <c r="J246" s="25" t="s">
        <v>105</v>
      </c>
      <c r="K246" s="11">
        <v>6677889900</v>
      </c>
      <c r="L246" s="25" t="s">
        <v>106</v>
      </c>
      <c r="M246" s="25" t="s">
        <v>107</v>
      </c>
      <c r="N246" s="27" t="s">
        <v>206</v>
      </c>
      <c r="O246" s="27" t="s">
        <v>128</v>
      </c>
      <c r="P246" s="11">
        <v>36</v>
      </c>
      <c r="Q246" s="11">
        <v>1500</v>
      </c>
      <c r="R246" s="11">
        <v>800</v>
      </c>
      <c r="S246" s="25" t="s">
        <v>66</v>
      </c>
      <c r="T246" s="11">
        <f>SUM(Procurement_data[[#This Row],[ Unit Price (USD) ]]*Procurement_data[[#This Row],[ Quantity ]])</f>
        <v>90000</v>
      </c>
      <c r="U246" s="11">
        <f t="shared" si="3"/>
        <v>26</v>
      </c>
    </row>
    <row r="247" spans="1:21">
      <c r="A247" s="11">
        <v>246</v>
      </c>
      <c r="B247" s="25" t="s">
        <v>433</v>
      </c>
      <c r="C247" s="28" t="s">
        <v>434</v>
      </c>
      <c r="D247" s="28" t="s">
        <v>435</v>
      </c>
      <c r="E247" s="28" t="s">
        <v>58</v>
      </c>
      <c r="F247" s="25" t="s">
        <v>304</v>
      </c>
      <c r="G247" s="11">
        <v>4</v>
      </c>
      <c r="H247" s="11">
        <v>5000</v>
      </c>
      <c r="I247" s="25" t="s">
        <v>226</v>
      </c>
      <c r="J247" s="25" t="s">
        <v>227</v>
      </c>
      <c r="K247" s="11">
        <v>7755332211</v>
      </c>
      <c r="L247" s="25" t="s">
        <v>228</v>
      </c>
      <c r="M247" s="25" t="s">
        <v>229</v>
      </c>
      <c r="N247" s="27" t="s">
        <v>236</v>
      </c>
      <c r="O247" s="27" t="s">
        <v>98</v>
      </c>
      <c r="P247" s="11">
        <v>24</v>
      </c>
      <c r="Q247" s="11">
        <v>800</v>
      </c>
      <c r="R247" s="11">
        <v>500</v>
      </c>
      <c r="S247" s="25" t="s">
        <v>55</v>
      </c>
      <c r="T247" s="11">
        <f>SUM(Procurement_data[[#This Row],[ Unit Price (USD) ]]*Procurement_data[[#This Row],[ Quantity ]])</f>
        <v>20000</v>
      </c>
      <c r="U247" s="11">
        <f t="shared" si="3"/>
        <v>24</v>
      </c>
    </row>
    <row r="248" spans="1:21">
      <c r="A248" s="11">
        <v>247</v>
      </c>
      <c r="B248" s="25" t="s">
        <v>436</v>
      </c>
      <c r="C248" s="28" t="s">
        <v>166</v>
      </c>
      <c r="D248" s="28" t="s">
        <v>167</v>
      </c>
      <c r="E248" s="28" t="s">
        <v>47</v>
      </c>
      <c r="F248" s="25" t="s">
        <v>348</v>
      </c>
      <c r="G248" s="11">
        <v>5</v>
      </c>
      <c r="H248" s="11">
        <v>50000</v>
      </c>
      <c r="I248" s="25" t="s">
        <v>240</v>
      </c>
      <c r="J248" s="25" t="s">
        <v>50</v>
      </c>
      <c r="K248" s="11">
        <v>3322114455</v>
      </c>
      <c r="L248" s="25" t="s">
        <v>241</v>
      </c>
      <c r="M248" s="25" t="s">
        <v>52</v>
      </c>
      <c r="N248" s="27" t="s">
        <v>30</v>
      </c>
      <c r="O248" s="27" t="s">
        <v>31</v>
      </c>
      <c r="P248" s="11">
        <v>36</v>
      </c>
      <c r="Q248" s="11">
        <v>1800</v>
      </c>
      <c r="R248" s="11">
        <v>1000</v>
      </c>
      <c r="S248" s="25" t="s">
        <v>55</v>
      </c>
      <c r="T248" s="11">
        <f>SUM(Procurement_data[[#This Row],[ Unit Price (USD) ]]*Procurement_data[[#This Row],[ Quantity ]])</f>
        <v>250000</v>
      </c>
      <c r="U248" s="11">
        <f t="shared" si="3"/>
        <v>26</v>
      </c>
    </row>
    <row r="249" spans="1:21">
      <c r="A249" s="11">
        <v>248</v>
      </c>
      <c r="B249" s="25" t="s">
        <v>437</v>
      </c>
      <c r="C249" s="28" t="s">
        <v>220</v>
      </c>
      <c r="D249" s="28" t="s">
        <v>221</v>
      </c>
      <c r="E249" s="28" t="s">
        <v>133</v>
      </c>
      <c r="F249" s="25" t="s">
        <v>59</v>
      </c>
      <c r="G249" s="11">
        <v>2</v>
      </c>
      <c r="H249" s="11">
        <v>40000</v>
      </c>
      <c r="I249" s="25" t="s">
        <v>272</v>
      </c>
      <c r="J249" s="25" t="s">
        <v>61</v>
      </c>
      <c r="K249" s="11">
        <v>7755332211</v>
      </c>
      <c r="L249" s="25" t="s">
        <v>273</v>
      </c>
      <c r="M249" s="25" t="s">
        <v>63</v>
      </c>
      <c r="N249" s="27" t="s">
        <v>217</v>
      </c>
      <c r="O249" s="27" t="s">
        <v>210</v>
      </c>
      <c r="P249" s="11">
        <v>48</v>
      </c>
      <c r="Q249" s="11">
        <v>2000</v>
      </c>
      <c r="R249" s="11">
        <v>1200</v>
      </c>
      <c r="S249" s="25" t="s">
        <v>32</v>
      </c>
      <c r="T249" s="11">
        <f>SUM(Procurement_data[[#This Row],[ Unit Price (USD) ]]*Procurement_data[[#This Row],[ Quantity ]])</f>
        <v>80000</v>
      </c>
      <c r="U249" s="11">
        <f t="shared" si="3"/>
        <v>26</v>
      </c>
    </row>
    <row r="250" spans="1:21">
      <c r="A250" s="11">
        <v>249</v>
      </c>
      <c r="B250" s="25" t="s">
        <v>438</v>
      </c>
      <c r="C250" s="28" t="s">
        <v>439</v>
      </c>
      <c r="D250" s="28" t="s">
        <v>440</v>
      </c>
      <c r="E250" s="28" t="s">
        <v>58</v>
      </c>
      <c r="F250" s="25" t="s">
        <v>364</v>
      </c>
      <c r="G250" s="11">
        <v>3</v>
      </c>
      <c r="H250" s="11">
        <v>5000</v>
      </c>
      <c r="I250" s="25" t="s">
        <v>226</v>
      </c>
      <c r="J250" s="25" t="s">
        <v>227</v>
      </c>
      <c r="K250" s="11">
        <v>7755332211</v>
      </c>
      <c r="L250" s="25" t="s">
        <v>228</v>
      </c>
      <c r="M250" s="25" t="s">
        <v>229</v>
      </c>
      <c r="N250" s="27" t="s">
        <v>210</v>
      </c>
      <c r="O250" s="27" t="s">
        <v>206</v>
      </c>
      <c r="P250" s="11">
        <v>24</v>
      </c>
      <c r="Q250" s="11">
        <v>800</v>
      </c>
      <c r="R250" s="11">
        <v>500</v>
      </c>
      <c r="S250" s="25" t="s">
        <v>55</v>
      </c>
      <c r="T250" s="11">
        <f>SUM(Procurement_data[[#This Row],[ Unit Price (USD) ]]*Procurement_data[[#This Row],[ Quantity ]])</f>
        <v>15000</v>
      </c>
      <c r="U250" s="11">
        <f t="shared" si="3"/>
        <v>24</v>
      </c>
    </row>
    <row r="251" spans="1:21">
      <c r="A251" s="11">
        <v>250</v>
      </c>
      <c r="B251" s="25" t="s">
        <v>412</v>
      </c>
      <c r="C251" s="28" t="s">
        <v>243</v>
      </c>
      <c r="D251" s="28" t="s">
        <v>244</v>
      </c>
      <c r="E251" s="28" t="s">
        <v>36</v>
      </c>
      <c r="F251" s="25" t="s">
        <v>245</v>
      </c>
      <c r="G251" s="11">
        <v>7</v>
      </c>
      <c r="H251" s="11">
        <v>80000</v>
      </c>
      <c r="I251" s="25" t="s">
        <v>392</v>
      </c>
      <c r="J251" s="25" t="s">
        <v>61</v>
      </c>
      <c r="K251" s="11">
        <v>7755332211</v>
      </c>
      <c r="L251" s="25" t="s">
        <v>393</v>
      </c>
      <c r="M251" s="25" t="s">
        <v>86</v>
      </c>
      <c r="N251" s="27" t="s">
        <v>394</v>
      </c>
      <c r="O251" s="27" t="s">
        <v>395</v>
      </c>
      <c r="P251" s="11">
        <v>60</v>
      </c>
      <c r="Q251" s="11">
        <v>3000</v>
      </c>
      <c r="R251" s="11">
        <v>2000</v>
      </c>
      <c r="S251" s="25" t="s">
        <v>32</v>
      </c>
      <c r="T251" s="11">
        <f>SUM(Procurement_data[[#This Row],[ Unit Price (USD) ]]*Procurement_data[[#This Row],[ Quantity ]])</f>
        <v>560000</v>
      </c>
      <c r="U251" s="11">
        <f t="shared" si="3"/>
        <v>25</v>
      </c>
    </row>
    <row r="252" spans="1:21">
      <c r="A252" s="11">
        <v>251</v>
      </c>
      <c r="B252" s="25" t="s">
        <v>423</v>
      </c>
      <c r="C252" s="28" t="s">
        <v>424</v>
      </c>
      <c r="D252" s="28" t="s">
        <v>425</v>
      </c>
      <c r="E252" s="28" t="s">
        <v>47</v>
      </c>
      <c r="F252" s="25" t="s">
        <v>343</v>
      </c>
      <c r="G252" s="11">
        <v>4</v>
      </c>
      <c r="H252" s="11">
        <v>20000</v>
      </c>
      <c r="I252" s="25" t="s">
        <v>344</v>
      </c>
      <c r="J252" s="25" t="s">
        <v>50</v>
      </c>
      <c r="K252" s="11">
        <v>3322114455</v>
      </c>
      <c r="L252" s="25" t="s">
        <v>345</v>
      </c>
      <c r="M252" s="25" t="s">
        <v>52</v>
      </c>
      <c r="N252" s="27" t="s">
        <v>443</v>
      </c>
      <c r="O252" s="27" t="s">
        <v>98</v>
      </c>
      <c r="P252" s="11">
        <v>36</v>
      </c>
      <c r="Q252" s="11">
        <v>2500</v>
      </c>
      <c r="R252" s="11">
        <v>1500</v>
      </c>
      <c r="S252" s="25" t="s">
        <v>32</v>
      </c>
      <c r="T252" s="11">
        <f>SUM(Procurement_data[[#This Row],[ Unit Price (USD) ]]*Procurement_data[[#This Row],[ Quantity ]])</f>
        <v>80000</v>
      </c>
      <c r="U252" s="11">
        <f t="shared" si="3"/>
        <v>23</v>
      </c>
    </row>
    <row r="253" spans="1:21">
      <c r="A253" s="11">
        <v>252</v>
      </c>
      <c r="B253" s="25" t="s">
        <v>411</v>
      </c>
      <c r="C253" s="28" t="s">
        <v>260</v>
      </c>
      <c r="D253" s="28" t="s">
        <v>261</v>
      </c>
      <c r="E253" s="28" t="s">
        <v>133</v>
      </c>
      <c r="F253" s="25" t="s">
        <v>134</v>
      </c>
      <c r="G253" s="11">
        <v>2</v>
      </c>
      <c r="H253" s="11">
        <v>10000</v>
      </c>
      <c r="I253" s="25" t="s">
        <v>396</v>
      </c>
      <c r="J253" s="25" t="s">
        <v>397</v>
      </c>
      <c r="K253" s="11">
        <v>3322114455</v>
      </c>
      <c r="L253" s="25" t="s">
        <v>398</v>
      </c>
      <c r="M253" s="25" t="s">
        <v>29</v>
      </c>
      <c r="N253" s="27" t="s">
        <v>43</v>
      </c>
      <c r="O253" s="27" t="s">
        <v>444</v>
      </c>
      <c r="P253" s="11">
        <v>36</v>
      </c>
      <c r="Q253" s="11">
        <v>1200</v>
      </c>
      <c r="R253" s="11">
        <v>800</v>
      </c>
      <c r="S253" s="25" t="s">
        <v>32</v>
      </c>
      <c r="T253" s="11">
        <f>SUM(Procurement_data[[#This Row],[ Unit Price (USD) ]]*Procurement_data[[#This Row],[ Quantity ]])</f>
        <v>20000</v>
      </c>
      <c r="U253" s="11">
        <f t="shared" si="3"/>
        <v>25</v>
      </c>
    </row>
    <row r="254" spans="1:21">
      <c r="A254" s="11">
        <v>253</v>
      </c>
      <c r="B254" s="25" t="s">
        <v>441</v>
      </c>
      <c r="C254" s="28" t="s">
        <v>434</v>
      </c>
      <c r="D254" s="28" t="s">
        <v>442</v>
      </c>
      <c r="E254" s="28" t="s">
        <v>36</v>
      </c>
      <c r="F254" s="25" t="s">
        <v>103</v>
      </c>
      <c r="G254" s="11">
        <v>3</v>
      </c>
      <c r="H254" s="11">
        <v>30000</v>
      </c>
      <c r="I254" s="25" t="s">
        <v>104</v>
      </c>
      <c r="J254" s="25" t="s">
        <v>105</v>
      </c>
      <c r="K254" s="11">
        <v>6677889900</v>
      </c>
      <c r="L254" s="25" t="s">
        <v>106</v>
      </c>
      <c r="M254" s="25" t="s">
        <v>107</v>
      </c>
      <c r="N254" s="27" t="s">
        <v>418</v>
      </c>
      <c r="O254" s="27" t="s">
        <v>76</v>
      </c>
      <c r="P254" s="11">
        <v>36</v>
      </c>
      <c r="Q254" s="11">
        <v>1500</v>
      </c>
      <c r="R254" s="11">
        <v>800</v>
      </c>
      <c r="S254" s="25" t="s">
        <v>66</v>
      </c>
      <c r="T254" s="11">
        <f>SUM(Procurement_data[[#This Row],[ Unit Price (USD) ]]*Procurement_data[[#This Row],[ Quantity ]])</f>
        <v>90000</v>
      </c>
      <c r="U254" s="11">
        <f t="shared" si="3"/>
        <v>24</v>
      </c>
    </row>
    <row r="255" spans="1:21">
      <c r="A255" s="11">
        <v>254</v>
      </c>
      <c r="B255" s="25" t="s">
        <v>420</v>
      </c>
      <c r="C255" s="28" t="s">
        <v>193</v>
      </c>
      <c r="D255" s="28" t="s">
        <v>194</v>
      </c>
      <c r="E255" s="28" t="s">
        <v>47</v>
      </c>
      <c r="F255" s="25" t="s">
        <v>348</v>
      </c>
      <c r="G255" s="11">
        <v>4</v>
      </c>
      <c r="H255" s="11">
        <v>50000</v>
      </c>
      <c r="I255" s="25" t="s">
        <v>240</v>
      </c>
      <c r="J255" s="25" t="s">
        <v>50</v>
      </c>
      <c r="K255" s="11">
        <v>3322114455</v>
      </c>
      <c r="L255" s="25" t="s">
        <v>241</v>
      </c>
      <c r="M255" s="25" t="s">
        <v>52</v>
      </c>
      <c r="N255" s="27" t="s">
        <v>76</v>
      </c>
      <c r="O255" s="27" t="s">
        <v>77</v>
      </c>
      <c r="P255" s="11">
        <v>36</v>
      </c>
      <c r="Q255" s="11">
        <v>1800</v>
      </c>
      <c r="R255" s="11">
        <v>1000</v>
      </c>
      <c r="S255" s="25" t="s">
        <v>55</v>
      </c>
      <c r="T255" s="11">
        <f>SUM(Procurement_data[[#This Row],[ Unit Price (USD) ]]*Procurement_data[[#This Row],[ Quantity ]])</f>
        <v>200000</v>
      </c>
      <c r="U255" s="11">
        <f t="shared" si="3"/>
        <v>23</v>
      </c>
    </row>
    <row r="256" spans="1:21">
      <c r="A256" s="11">
        <v>255</v>
      </c>
      <c r="B256" s="25" t="s">
        <v>386</v>
      </c>
      <c r="C256" s="28" t="s">
        <v>387</v>
      </c>
      <c r="D256" s="28" t="s">
        <v>388</v>
      </c>
      <c r="E256" s="28" t="s">
        <v>58</v>
      </c>
      <c r="F256" s="25" t="s">
        <v>304</v>
      </c>
      <c r="G256" s="11">
        <v>5</v>
      </c>
      <c r="H256" s="11">
        <v>5000</v>
      </c>
      <c r="I256" s="25" t="s">
        <v>226</v>
      </c>
      <c r="J256" s="25" t="s">
        <v>227</v>
      </c>
      <c r="K256" s="11">
        <v>7755332211</v>
      </c>
      <c r="L256" s="25" t="s">
        <v>228</v>
      </c>
      <c r="M256" s="25" t="s">
        <v>229</v>
      </c>
      <c r="N256" s="27" t="s">
        <v>97</v>
      </c>
      <c r="O256" s="27" t="s">
        <v>98</v>
      </c>
      <c r="P256" s="11">
        <v>24</v>
      </c>
      <c r="Q256" s="11">
        <v>800</v>
      </c>
      <c r="R256" s="11">
        <v>500</v>
      </c>
      <c r="S256" s="25" t="s">
        <v>55</v>
      </c>
      <c r="T256" s="11">
        <f>SUM(Procurement_data[[#This Row],[ Unit Price (USD) ]]*Procurement_data[[#This Row],[ Quantity ]])</f>
        <v>25000</v>
      </c>
      <c r="U256" s="11">
        <f t="shared" si="3"/>
        <v>26</v>
      </c>
    </row>
    <row r="257" spans="1:21">
      <c r="A257" s="11">
        <v>256</v>
      </c>
      <c r="B257" s="25" t="s">
        <v>432</v>
      </c>
      <c r="C257" s="28" t="s">
        <v>100</v>
      </c>
      <c r="D257" s="28" t="s">
        <v>101</v>
      </c>
      <c r="E257" s="28" t="s">
        <v>133</v>
      </c>
      <c r="F257" s="25" t="s">
        <v>59</v>
      </c>
      <c r="G257" s="11">
        <v>3</v>
      </c>
      <c r="H257" s="11">
        <v>40000</v>
      </c>
      <c r="I257" s="25" t="s">
        <v>272</v>
      </c>
      <c r="J257" s="25" t="s">
        <v>61</v>
      </c>
      <c r="K257" s="11">
        <v>7755332211</v>
      </c>
      <c r="L257" s="25" t="s">
        <v>273</v>
      </c>
      <c r="M257" s="25" t="s">
        <v>63</v>
      </c>
      <c r="N257" s="27" t="s">
        <v>217</v>
      </c>
      <c r="O257" s="27" t="s">
        <v>210</v>
      </c>
      <c r="P257" s="11">
        <v>48</v>
      </c>
      <c r="Q257" s="11">
        <v>2000</v>
      </c>
      <c r="R257" s="11">
        <v>1200</v>
      </c>
      <c r="S257" s="25" t="s">
        <v>32</v>
      </c>
      <c r="T257" s="11">
        <f>SUM(Procurement_data[[#This Row],[ Unit Price (USD) ]]*Procurement_data[[#This Row],[ Quantity ]])</f>
        <v>120000</v>
      </c>
      <c r="U257" s="11">
        <f t="shared" si="3"/>
        <v>26</v>
      </c>
    </row>
    <row r="258" spans="1:21">
      <c r="A258" s="11">
        <v>257</v>
      </c>
      <c r="B258" s="25" t="s">
        <v>433</v>
      </c>
      <c r="C258" s="28" t="s">
        <v>434</v>
      </c>
      <c r="D258" s="28" t="s">
        <v>435</v>
      </c>
      <c r="E258" s="28" t="s">
        <v>58</v>
      </c>
      <c r="F258" s="25" t="s">
        <v>364</v>
      </c>
      <c r="G258" s="11">
        <v>4</v>
      </c>
      <c r="H258" s="11">
        <v>5000</v>
      </c>
      <c r="I258" s="25" t="s">
        <v>226</v>
      </c>
      <c r="J258" s="25" t="s">
        <v>227</v>
      </c>
      <c r="K258" s="11">
        <v>7755332211</v>
      </c>
      <c r="L258" s="25" t="s">
        <v>228</v>
      </c>
      <c r="M258" s="25" t="s">
        <v>229</v>
      </c>
      <c r="N258" s="27" t="s">
        <v>210</v>
      </c>
      <c r="O258" s="27" t="s">
        <v>206</v>
      </c>
      <c r="P258" s="11">
        <v>24</v>
      </c>
      <c r="Q258" s="11">
        <v>800</v>
      </c>
      <c r="R258" s="11">
        <v>500</v>
      </c>
      <c r="S258" s="25" t="s">
        <v>55</v>
      </c>
      <c r="T258" s="11">
        <f>SUM(Procurement_data[[#This Row],[ Unit Price (USD) ]]*Procurement_data[[#This Row],[ Quantity ]])</f>
        <v>20000</v>
      </c>
      <c r="U258" s="11">
        <f>O258-N258</f>
        <v>24</v>
      </c>
    </row>
    <row r="259" spans="1:21">
      <c r="A259" s="11">
        <v>258</v>
      </c>
      <c r="B259" s="25" t="s">
        <v>436</v>
      </c>
      <c r="C259" s="28" t="s">
        <v>166</v>
      </c>
      <c r="D259" s="28" t="s">
        <v>167</v>
      </c>
      <c r="E259" s="28" t="s">
        <v>36</v>
      </c>
      <c r="F259" s="25" t="s">
        <v>245</v>
      </c>
      <c r="G259" s="11">
        <v>7</v>
      </c>
      <c r="H259" s="11">
        <v>80000</v>
      </c>
      <c r="I259" s="25" t="s">
        <v>392</v>
      </c>
      <c r="J259" s="25" t="s">
        <v>61</v>
      </c>
      <c r="K259" s="11">
        <v>7755332211</v>
      </c>
      <c r="L259" s="25" t="s">
        <v>393</v>
      </c>
      <c r="M259" s="25" t="s">
        <v>86</v>
      </c>
      <c r="N259" s="27" t="s">
        <v>394</v>
      </c>
      <c r="O259" s="27" t="s">
        <v>395</v>
      </c>
      <c r="P259" s="11">
        <v>60</v>
      </c>
      <c r="Q259" s="11">
        <v>3000</v>
      </c>
      <c r="R259" s="11">
        <v>2000</v>
      </c>
      <c r="S259" s="25" t="s">
        <v>32</v>
      </c>
      <c r="T259" s="11">
        <f>SUM(Procurement_data[[#This Row],[ Unit Price (USD) ]]*Procurement_data[[#This Row],[ Quantity ]])</f>
        <v>560000</v>
      </c>
      <c r="U259" s="11">
        <f>O259-N259</f>
        <v>25</v>
      </c>
    </row>
    <row r="260" spans="1:21">
      <c r="A260" s="11">
        <v>259</v>
      </c>
      <c r="B260" s="25" t="s">
        <v>437</v>
      </c>
      <c r="C260" s="28" t="s">
        <v>220</v>
      </c>
      <c r="D260" s="28" t="s">
        <v>221</v>
      </c>
      <c r="E260" s="28" t="s">
        <v>47</v>
      </c>
      <c r="F260" s="25" t="s">
        <v>343</v>
      </c>
      <c r="G260" s="11">
        <v>2</v>
      </c>
      <c r="H260" s="11">
        <v>20000</v>
      </c>
      <c r="I260" s="25" t="s">
        <v>344</v>
      </c>
      <c r="J260" s="25" t="s">
        <v>50</v>
      </c>
      <c r="K260" s="11">
        <v>3322114455</v>
      </c>
      <c r="L260" s="25" t="s">
        <v>345</v>
      </c>
      <c r="M260" s="25" t="s">
        <v>52</v>
      </c>
      <c r="N260" s="27" t="s">
        <v>443</v>
      </c>
      <c r="O260" s="27" t="s">
        <v>98</v>
      </c>
      <c r="P260" s="11">
        <v>36</v>
      </c>
      <c r="Q260" s="11">
        <v>2500</v>
      </c>
      <c r="R260" s="11">
        <v>1500</v>
      </c>
      <c r="S260" s="25" t="s">
        <v>32</v>
      </c>
      <c r="T260" s="11">
        <f>SUM(Procurement_data[[#This Row],[ Unit Price (USD) ]]*Procurement_data[[#This Row],[ Quantity ]])</f>
        <v>40000</v>
      </c>
      <c r="U260" s="11">
        <f>O260-N260</f>
        <v>23</v>
      </c>
    </row>
    <row r="261" spans="1:21">
      <c r="A261" s="11">
        <v>260</v>
      </c>
      <c r="B261" s="25" t="s">
        <v>438</v>
      </c>
      <c r="C261" s="28" t="s">
        <v>439</v>
      </c>
      <c r="D261" s="28" t="s">
        <v>440</v>
      </c>
      <c r="E261" s="28" t="s">
        <v>133</v>
      </c>
      <c r="F261" s="25" t="s">
        <v>134</v>
      </c>
      <c r="G261" s="11">
        <v>3</v>
      </c>
      <c r="H261" s="11">
        <v>10000</v>
      </c>
      <c r="I261" s="25" t="s">
        <v>396</v>
      </c>
      <c r="J261" s="25" t="s">
        <v>397</v>
      </c>
      <c r="K261" s="11">
        <v>3322114455</v>
      </c>
      <c r="L261" s="25" t="s">
        <v>398</v>
      </c>
      <c r="M261" s="25" t="s">
        <v>29</v>
      </c>
      <c r="N261" s="27" t="s">
        <v>43</v>
      </c>
      <c r="O261" s="27" t="s">
        <v>444</v>
      </c>
      <c r="P261" s="11">
        <v>36</v>
      </c>
      <c r="Q261" s="11">
        <v>1200</v>
      </c>
      <c r="R261" s="11">
        <v>800</v>
      </c>
      <c r="S261" s="25" t="s">
        <v>32</v>
      </c>
      <c r="T261" s="11">
        <f>SUM(Procurement_data[[#This Row],[ Unit Price (USD) ]]*Procurement_data[[#This Row],[ Quantity ]])</f>
        <v>30000</v>
      </c>
      <c r="U261" s="11">
        <f>O261-N261</f>
        <v>25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4"/>
  <sheetViews>
    <sheetView topLeftCell="A90" workbookViewId="0">
      <selection activeCell="I103" sqref="I103"/>
    </sheetView>
  </sheetViews>
  <sheetFormatPr defaultColWidth="11" defaultRowHeight="15"/>
  <cols>
    <col min="1" max="1" width="13.5714285714286"/>
    <col min="2" max="2" width="24"/>
  </cols>
  <sheetData>
    <row r="1" spans="1:1">
      <c r="A1" t="s">
        <v>447</v>
      </c>
    </row>
    <row r="2" spans="1:1">
      <c r="A2" s="9">
        <v>20910500</v>
      </c>
    </row>
    <row r="4" spans="1:1">
      <c r="A4" t="s">
        <v>448</v>
      </c>
    </row>
    <row r="5" spans="1:1">
      <c r="A5" s="10">
        <v>275700</v>
      </c>
    </row>
    <row r="8" spans="1:1">
      <c r="A8" t="s">
        <v>449</v>
      </c>
    </row>
    <row r="9" spans="1:1">
      <c r="A9" s="10">
        <v>462600</v>
      </c>
    </row>
    <row r="12" spans="1:1">
      <c r="A12" s="11" t="s">
        <v>450</v>
      </c>
    </row>
    <row r="13" spans="1:1">
      <c r="A13" s="11">
        <v>260</v>
      </c>
    </row>
    <row r="16" spans="1:2">
      <c r="A16" t="s">
        <v>451</v>
      </c>
      <c r="B16" t="s">
        <v>452</v>
      </c>
    </row>
    <row r="17" spans="1:2">
      <c r="A17" s="3" t="s">
        <v>453</v>
      </c>
      <c r="B17" s="9">
        <v>1230000</v>
      </c>
    </row>
    <row r="18" spans="1:2">
      <c r="A18" s="3" t="s">
        <v>454</v>
      </c>
      <c r="B18" s="9">
        <v>1274000</v>
      </c>
    </row>
    <row r="19" spans="1:2">
      <c r="A19" s="3" t="s">
        <v>455</v>
      </c>
      <c r="B19" s="9">
        <v>1335000</v>
      </c>
    </row>
    <row r="20" spans="1:2">
      <c r="A20" s="3" t="s">
        <v>456</v>
      </c>
      <c r="B20" s="9">
        <v>1379000</v>
      </c>
    </row>
    <row r="21" spans="1:2">
      <c r="A21" s="3" t="s">
        <v>457</v>
      </c>
      <c r="B21" s="9">
        <v>1815000</v>
      </c>
    </row>
    <row r="22" spans="1:2">
      <c r="A22" s="3" t="s">
        <v>458</v>
      </c>
      <c r="B22" s="9">
        <v>7033000</v>
      </c>
    </row>
    <row r="32" spans="1:1">
      <c r="A32" s="11" t="s">
        <v>459</v>
      </c>
    </row>
    <row r="33" spans="1:1">
      <c r="A33" s="11">
        <v>612</v>
      </c>
    </row>
    <row r="36" spans="1:2">
      <c r="A36" s="11" t="s">
        <v>451</v>
      </c>
      <c r="B36" s="11" t="s">
        <v>460</v>
      </c>
    </row>
    <row r="37" spans="1:2">
      <c r="A37" s="12" t="s">
        <v>461</v>
      </c>
      <c r="B37" s="11">
        <v>57</v>
      </c>
    </row>
    <row r="38" spans="1:2">
      <c r="A38" s="12" t="s">
        <v>462</v>
      </c>
      <c r="B38" s="11">
        <v>45</v>
      </c>
    </row>
    <row r="39" spans="1:2">
      <c r="A39" s="12" t="s">
        <v>463</v>
      </c>
      <c r="B39" s="11">
        <v>39</v>
      </c>
    </row>
    <row r="40" spans="1:2">
      <c r="A40" s="12" t="s">
        <v>464</v>
      </c>
      <c r="B40" s="11">
        <v>36</v>
      </c>
    </row>
    <row r="41" spans="1:2">
      <c r="A41" s="12" t="s">
        <v>458</v>
      </c>
      <c r="B41" s="11">
        <v>177</v>
      </c>
    </row>
    <row r="53" spans="1:2">
      <c r="A53" t="s">
        <v>451</v>
      </c>
      <c r="B53" t="s">
        <v>465</v>
      </c>
    </row>
    <row r="54" spans="1:2">
      <c r="A54" s="3" t="s">
        <v>466</v>
      </c>
      <c r="B54" s="13">
        <v>45000</v>
      </c>
    </row>
    <row r="55" spans="1:2">
      <c r="A55" s="3" t="s">
        <v>467</v>
      </c>
      <c r="B55" s="13">
        <v>36000</v>
      </c>
    </row>
    <row r="56" spans="1:2">
      <c r="A56" s="3" t="s">
        <v>468</v>
      </c>
      <c r="B56" s="13">
        <v>35000</v>
      </c>
    </row>
    <row r="57" spans="1:2">
      <c r="A57" s="3" t="s">
        <v>469</v>
      </c>
      <c r="B57" s="13">
        <v>30600</v>
      </c>
    </row>
    <row r="58" spans="1:2">
      <c r="A58" s="3" t="s">
        <v>470</v>
      </c>
      <c r="B58" s="13">
        <v>30000</v>
      </c>
    </row>
    <row r="59" spans="1:2">
      <c r="A59" s="3" t="s">
        <v>458</v>
      </c>
      <c r="B59" s="13">
        <v>176600</v>
      </c>
    </row>
    <row r="70" spans="1:1">
      <c r="A70" s="11" t="s">
        <v>449</v>
      </c>
    </row>
    <row r="71" spans="1:1">
      <c r="A71" s="11">
        <v>612</v>
      </c>
    </row>
    <row r="73" spans="1:2">
      <c r="A73" t="s">
        <v>471</v>
      </c>
      <c r="B73" t="s">
        <v>472</v>
      </c>
    </row>
    <row r="74" spans="1:2">
      <c r="A74" t="s">
        <v>473</v>
      </c>
      <c r="B74" s="14">
        <v>10200</v>
      </c>
    </row>
    <row r="75" spans="1:2">
      <c r="A75" t="s">
        <v>474</v>
      </c>
      <c r="B75" s="14">
        <v>14000</v>
      </c>
    </row>
    <row r="76" spans="1:2">
      <c r="A76" t="s">
        <v>475</v>
      </c>
      <c r="B76" s="14">
        <v>11800</v>
      </c>
    </row>
    <row r="77" spans="1:2">
      <c r="A77" t="s">
        <v>476</v>
      </c>
      <c r="B77" s="14">
        <v>17500</v>
      </c>
    </row>
    <row r="78" spans="1:15">
      <c r="A78" t="s">
        <v>477</v>
      </c>
      <c r="B78" s="14">
        <v>20100</v>
      </c>
      <c r="M78" s="16"/>
      <c r="N78" s="17"/>
      <c r="O78" s="18"/>
    </row>
    <row r="79" spans="1:15">
      <c r="A79" t="s">
        <v>458</v>
      </c>
      <c r="B79" s="14">
        <v>73600</v>
      </c>
      <c r="M79" s="19"/>
      <c r="N79" s="20"/>
      <c r="O79" s="21"/>
    </row>
    <row r="80" spans="13:15">
      <c r="M80" s="19"/>
      <c r="N80" s="20"/>
      <c r="O80" s="21"/>
    </row>
    <row r="81" spans="13:15">
      <c r="M81" s="19"/>
      <c r="N81" s="20"/>
      <c r="O81" s="21"/>
    </row>
    <row r="82" spans="13:15">
      <c r="M82" s="19"/>
      <c r="N82" s="20"/>
      <c r="O82" s="21"/>
    </row>
    <row r="83" spans="13:15">
      <c r="M83" s="19"/>
      <c r="N83" s="20"/>
      <c r="O83" s="21"/>
    </row>
    <row r="84" spans="13:15">
      <c r="M84" s="19"/>
      <c r="N84" s="20"/>
      <c r="O84" s="21"/>
    </row>
    <row r="85" spans="13:15">
      <c r="M85" s="19"/>
      <c r="N85" s="20"/>
      <c r="O85" s="21"/>
    </row>
    <row r="86" spans="13:15">
      <c r="M86" s="19"/>
      <c r="N86" s="20"/>
      <c r="O86" s="21"/>
    </row>
    <row r="87" spans="13:15">
      <c r="M87" s="19"/>
      <c r="N87" s="20"/>
      <c r="O87" s="21"/>
    </row>
    <row r="88" spans="13:15">
      <c r="M88" s="19"/>
      <c r="N88" s="20"/>
      <c r="O88" s="21"/>
    </row>
    <row r="89" spans="13:15">
      <c r="M89" s="19"/>
      <c r="N89" s="20"/>
      <c r="O89" s="21"/>
    </row>
    <row r="90" spans="1:15">
      <c r="A90" s="11" t="s">
        <v>451</v>
      </c>
      <c r="B90" s="11" t="s">
        <v>450</v>
      </c>
      <c r="M90" s="19"/>
      <c r="N90" s="20"/>
      <c r="O90" s="21"/>
    </row>
    <row r="91" spans="1:15">
      <c r="A91" s="12" t="s">
        <v>478</v>
      </c>
      <c r="B91" s="11">
        <v>24</v>
      </c>
      <c r="M91" s="19"/>
      <c r="N91" s="20"/>
      <c r="O91" s="21"/>
    </row>
    <row r="92" spans="1:15">
      <c r="A92" s="12" t="s">
        <v>479</v>
      </c>
      <c r="B92" s="11">
        <v>27</v>
      </c>
      <c r="M92" s="19"/>
      <c r="N92" s="20"/>
      <c r="O92" s="21"/>
    </row>
    <row r="93" spans="1:15">
      <c r="A93" s="12" t="s">
        <v>480</v>
      </c>
      <c r="B93" s="11">
        <v>42</v>
      </c>
      <c r="M93" s="19"/>
      <c r="N93" s="20"/>
      <c r="O93" s="21"/>
    </row>
    <row r="94" spans="1:15">
      <c r="A94" s="12" t="s">
        <v>481</v>
      </c>
      <c r="B94" s="11">
        <v>44</v>
      </c>
      <c r="M94" s="19"/>
      <c r="N94" s="20"/>
      <c r="O94" s="21"/>
    </row>
    <row r="95" spans="1:15">
      <c r="A95" s="12" t="s">
        <v>482</v>
      </c>
      <c r="B95" s="11">
        <v>62</v>
      </c>
      <c r="M95" s="22"/>
      <c r="N95" s="23"/>
      <c r="O95" s="24"/>
    </row>
    <row r="96" spans="1:2">
      <c r="A96" s="12" t="s">
        <v>458</v>
      </c>
      <c r="B96" s="11">
        <v>199</v>
      </c>
    </row>
    <row r="108" spans="1:2">
      <c r="A108" t="s">
        <v>8</v>
      </c>
      <c r="B108" t="s">
        <v>483</v>
      </c>
    </row>
    <row r="109" spans="1:2">
      <c r="A109" t="s">
        <v>143</v>
      </c>
      <c r="B109" s="15">
        <v>26.3333333333333</v>
      </c>
    </row>
    <row r="110" spans="1:2">
      <c r="A110" t="s">
        <v>38</v>
      </c>
      <c r="B110" s="15">
        <v>26.3333333333333</v>
      </c>
    </row>
    <row r="111" spans="1:2">
      <c r="A111" t="s">
        <v>338</v>
      </c>
      <c r="B111" s="15">
        <v>27</v>
      </c>
    </row>
    <row r="112" spans="1:2">
      <c r="A112" t="s">
        <v>278</v>
      </c>
      <c r="B112" s="15">
        <v>27</v>
      </c>
    </row>
    <row r="113" spans="1:2">
      <c r="A113" t="s">
        <v>399</v>
      </c>
      <c r="B113" s="15">
        <v>29</v>
      </c>
    </row>
    <row r="114" spans="1:2">
      <c r="A114" t="s">
        <v>458</v>
      </c>
      <c r="B114" s="15">
        <v>27.7777777777778</v>
      </c>
    </row>
  </sheetData>
  <pageMargins left="0.7" right="0.7" top="0.75" bottom="0.75" header="0.3" footer="0.3"/>
  <headerFooter/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I5"/>
  <sheetViews>
    <sheetView showGridLines="0" tabSelected="1" zoomScale="90" zoomScaleNormal="90" workbookViewId="0">
      <selection activeCell="G25" sqref="G25"/>
    </sheetView>
  </sheetViews>
  <sheetFormatPr defaultColWidth="9.14285714285714" defaultRowHeight="15" outlineLevelRow="4"/>
  <cols>
    <col min="2" max="2" width="12.8571428571429"/>
    <col min="4" max="5" width="10"/>
    <col min="7" max="7" width="10"/>
  </cols>
  <sheetData>
    <row r="4" ht="15.75" spans="2:9">
      <c r="B4" s="1" t="s">
        <v>484</v>
      </c>
      <c r="D4" s="2" t="s">
        <v>485</v>
      </c>
      <c r="E4" s="3"/>
      <c r="G4" s="1" t="s">
        <v>486</v>
      </c>
      <c r="I4" s="7" t="s">
        <v>487</v>
      </c>
    </row>
    <row r="5" spans="2:9">
      <c r="B5" s="4">
        <f>'Pivot table'!A2</f>
        <v>20910500</v>
      </c>
      <c r="D5" s="5"/>
      <c r="E5" s="6">
        <f>'Pivot table'!A5</f>
        <v>275700</v>
      </c>
      <c r="G5" s="4">
        <f>'Pivot table'!A9</f>
        <v>462600</v>
      </c>
      <c r="I5" s="8">
        <f>'Pivot table'!A13</f>
        <v>260</v>
      </c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22B6C6-4712-4F0B-804D-CD92272CAA0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Procurement Data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NDIDIAMAKA</cp:lastModifiedBy>
  <dcterms:created xsi:type="dcterms:W3CDTF">2024-04-24T02:58:00Z</dcterms:created>
  <dcterms:modified xsi:type="dcterms:W3CDTF">2026-05-22T17:20:30Z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2024-12-17T09:26:55Z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677c7674-3f45-4eef-a8ae-7ac2705c850b</vt:lpwstr>
  </property>
  <property fmtid="{D5CDD505-2E9C-101B-9397-08002B2CF9AE}" pid="7" name="MSIP_Label_defa4170-0d19-0005-0004-bc88714345d2_ActionId">
    <vt:lpwstr>8b945fb3-03c0-475f-9890-48f9381d6a2c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EC40BAC92E944E5D8BAD4B573832FF61_12</vt:lpwstr>
  </property>
  <property fmtid="{D5CDD505-2E9C-101B-9397-08002B2CF9AE}" pid="10" name="KSOProductBuildVer">
    <vt:lpwstr>1033-12.2.0.23196</vt:lpwstr>
  </property>
</Properties>
</file>